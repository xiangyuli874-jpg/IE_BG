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AI\gongshibiao\"/>
    </mc:Choice>
  </mc:AlternateContent>
  <xr:revisionPtr revIDLastSave="0" documentId="13_ncr:1_{4170482E-B692-41E2-B7AE-1C4B5E650B39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工时测量记录表" sheetId="1" r:id="rId1"/>
    <sheet name="标准工时表" sheetId="2" r:id="rId2"/>
    <sheet name="平衡率及动作变异分析图" sheetId="5" r:id="rId3"/>
    <sheet name="打印表格" sheetId="6" r:id="rId4"/>
    <sheet name="测量记录 (打印版)" sheetId="9" r:id="rId5"/>
    <sheet name="评比系数" sheetId="3" r:id="rId6"/>
    <sheet name="宽放率" sheetId="4" r:id="rId7"/>
    <sheet name="工时分析" sheetId="7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_Fill" localSheetId="4" hidden="1">#REF!</definedName>
    <definedName name="_Fill" localSheetId="3" hidden="1">#REF!</definedName>
    <definedName name="_Fill" localSheetId="7" hidden="1">#REF!</definedName>
    <definedName name="_Fill" localSheetId="2" hidden="1">#REF!</definedName>
    <definedName name="_Fill" hidden="1">#REF!</definedName>
    <definedName name="_xlnm._FilterDatabase" localSheetId="1" hidden="1">标准工时表!$A$5:$P$638</definedName>
    <definedName name="_xlnm._FilterDatabase" localSheetId="4" hidden="1">'测量记录 (打印版)'!$A$4:$I$45</definedName>
    <definedName name="_xlnm._FilterDatabase" localSheetId="0" hidden="1">工时测量记录表!$A$4:$AX$637</definedName>
    <definedName name="A" localSheetId="4">#REF!</definedName>
    <definedName name="A" localSheetId="3">#REF!</definedName>
    <definedName name="A" localSheetId="7">#REF!</definedName>
    <definedName name="A">#REF!</definedName>
    <definedName name="Check" localSheetId="4">[1]產品基本信息!#REF!</definedName>
    <definedName name="Check" localSheetId="3">[1]產品基本信息!#REF!</definedName>
    <definedName name="Check" localSheetId="7">[2]產品基本信息!#REF!</definedName>
    <definedName name="Check">[1]產品基本信息!#REF!</definedName>
    <definedName name="Date" localSheetId="7">[2]產品基本信息!$B$9</definedName>
    <definedName name="Date">[1]產品基本信息!$B$9</definedName>
    <definedName name="Doc.No." localSheetId="7">[2]產品基本信息!$B$2</definedName>
    <definedName name="Doc.No.">[1]產品基本信息!$B$2</definedName>
    <definedName name="JPY" localSheetId="4">'[3]UPPER BLOCK'!#REF!</definedName>
    <definedName name="JPY" localSheetId="3">'[3]UPPER BLOCK'!#REF!</definedName>
    <definedName name="JPY" localSheetId="7">'[3]UPPER BLOCK'!#REF!</definedName>
    <definedName name="JPY">'[3]UPPER BLOCK'!#REF!</definedName>
    <definedName name="lll">[4]HDa16!$B$10:$D$143</definedName>
    <definedName name="Prepared" localSheetId="7">[2]產品基本信息!$B$5</definedName>
    <definedName name="Prepared">[1]產品基本信息!$B$5</definedName>
    <definedName name="_xlnm.Print_Area" localSheetId="3">打印表格!$A$1:$T$23</definedName>
    <definedName name="_xlnm.Print_Area" localSheetId="7">工时分析!$A$1:$S$109</definedName>
    <definedName name="Pro.Model" localSheetId="7">[2]產品基本信息!$B$4</definedName>
    <definedName name="Pro.Model">[1]產品基本信息!$B$4</definedName>
    <definedName name="qqq" localSheetId="4">#REF!</definedName>
    <definedName name="qqq" localSheetId="3">#REF!</definedName>
    <definedName name="qqq" localSheetId="7">#REF!</definedName>
    <definedName name="qqq">#REF!</definedName>
    <definedName name="TaxTV">10%</definedName>
    <definedName name="TaxXL">5%</definedName>
    <definedName name="USD" localSheetId="4">'[3]UPPER BLOCK'!#REF!</definedName>
    <definedName name="USD" localSheetId="3">'[3]UPPER BLOCK'!#REF!</definedName>
    <definedName name="USD" localSheetId="7">'[3]UPPER BLOCK'!#REF!</definedName>
    <definedName name="USD">'[3]UPPER BLOCK'!#REF!</definedName>
    <definedName name="ValidBOMRange" localSheetId="4">#REF!</definedName>
    <definedName name="ValidBOMRange" localSheetId="3">#REF!</definedName>
    <definedName name="ValidBOMRange" localSheetId="7">#REF!</definedName>
    <definedName name="ValidBOMRange">#REF!</definedName>
    <definedName name="Ver." localSheetId="7">[2]產品基本信息!$B$3</definedName>
    <definedName name="Ver.">[1]產品基本信息!$B$3</definedName>
    <definedName name="X72H046LineDft">'[5]72HX'!$F$921</definedName>
    <definedName name="X72H048LineDft">'[5]72HX'!$K$921</definedName>
    <definedName name="X72H051LineDft">'[5]72HX'!$U$921</definedName>
    <definedName name="X72H055LineDft">'[5]72HX'!$AE$921</definedName>
    <definedName name="X72H056LineDft">'[5]72HX'!$AJ$921</definedName>
    <definedName name="X72H057LineDft">'[5]72HX'!$AO$921</definedName>
    <definedName name="X72H058LineDft" localSheetId="4">'[5]72HX'!#REF!</definedName>
    <definedName name="X72H058LineDft" localSheetId="3">'[5]72HX'!#REF!</definedName>
    <definedName name="X72H058LineDft" localSheetId="7">'[5]72HX'!#REF!</definedName>
    <definedName name="X72H058LineDft">'[5]72HX'!#REF!</definedName>
    <definedName name="X72H058TotOkNo" localSheetId="4">'[5]72HX'!#REF!</definedName>
    <definedName name="X72H058TotOkNo" localSheetId="3">'[5]72HX'!#REF!</definedName>
    <definedName name="X72H058TotOkNo" localSheetId="7">'[5]72HX'!#REF!</definedName>
    <definedName name="X72H058TotOkNo">'[5]72HX'!#REF!</definedName>
    <definedName name="X72H058TotSftNo" localSheetId="4">'[5]72HX'!#REF!</definedName>
    <definedName name="X72H058TotSftNo" localSheetId="3">'[5]72HX'!#REF!</definedName>
    <definedName name="X72H058TotSftNo" localSheetId="7">'[5]72HX'!#REF!</definedName>
    <definedName name="X72H058TotSftNo">'[5]72HX'!#REF!</definedName>
    <definedName name="X72H063LineDft">'[5]72HX'!$AT$921</definedName>
    <definedName name="X72H067LineDft">'[5]72HX'!$BD$921</definedName>
    <definedName name="X72H069LineDft">'[5]72HX'!$BI$921</definedName>
    <definedName name="X72H072LineDft">'[5]72HX'!$BN$921</definedName>
    <definedName name="X75E004LineDft">'[5]75EX'!$F$921</definedName>
    <definedName name="X75E005LineDft">'[5]75EX'!$K$921</definedName>
    <definedName name="X75E006LineDft">'[5]75EX'!$P$921</definedName>
    <definedName name="X75E008LineDft">'[5]75EX'!$U$921</definedName>
    <definedName name="X75E009LineDft">'[5]75EX'!$Z$921</definedName>
    <definedName name="X75E010LineDft">'[5]75EX'!$AJ$921</definedName>
    <definedName name="X75E011LineDft">'[5]75EX'!$AO$921</definedName>
    <definedName name="X75E012LineDft">'[5]75EX'!$AT$921</definedName>
    <definedName name="X75E013LineDft">'[5]75EX'!$AY$921</definedName>
    <definedName name="X75E014LineDft">'[5]75EX'!$BD$921</definedName>
    <definedName name="X75E015LineDft">'[5]75EX'!$BI$921</definedName>
    <definedName name="X75E016LineDft">'[5]75EX'!$BN$921</definedName>
    <definedName name="X75E017LineDft">'[5]75EX'!$BS$921</definedName>
    <definedName name="X75E018LineDft" localSheetId="4">'[5]75EX'!#REF!</definedName>
    <definedName name="X75E018LineDft" localSheetId="3">'[5]75EX'!#REF!</definedName>
    <definedName name="X75E018LineDft" localSheetId="7">'[5]75EX'!#REF!</definedName>
    <definedName name="X75E018LineDft">'[5]75EX'!#REF!</definedName>
    <definedName name="X75E018TotOkNo" localSheetId="4">'[5]75EX'!#REF!</definedName>
    <definedName name="X75E018TotOkNo" localSheetId="3">'[5]75EX'!#REF!</definedName>
    <definedName name="X75E018TotOkNo" localSheetId="7">'[5]75EX'!#REF!</definedName>
    <definedName name="X75E018TotOkNo">'[5]75EX'!#REF!</definedName>
    <definedName name="X75E018TotSftNo" localSheetId="4">'[5]75EX'!#REF!</definedName>
    <definedName name="X75E018TotSftNo" localSheetId="3">'[5]75EX'!#REF!</definedName>
    <definedName name="X75E018TotSftNo" localSheetId="7">'[5]75EX'!#REF!</definedName>
    <definedName name="X75E018TotSftNo">'[5]75EX'!#REF!</definedName>
    <definedName name="X75E019LineDft">'[5]75EX'!$BX$921</definedName>
    <definedName name="Y72H017LineDft">'[5]72HY'!$F$921</definedName>
    <definedName name="Y72H028LineDft">'[5]72HY'!$K$921</definedName>
    <definedName name="Y72H030LineDft">'[5]72HY'!$U$921</definedName>
    <definedName name="Y72H032LineDft">'[5]72HY'!$Z$921</definedName>
    <definedName name="Y72H033LineDft">'[5]72HY'!$AE$921</definedName>
    <definedName name="Y72H035LineDft">'[5]72HY'!$AJ$921</definedName>
    <definedName name="Y75E001LineDft">'[5]75EY'!$F$921</definedName>
    <definedName name="Y75E004LineDft">'[5]75EY'!$K$921</definedName>
    <definedName name="Y75E005LineDft">'[5]75EY'!$P$921</definedName>
    <definedName name="Y75E006LineDft">'[5]75EY'!$U$921</definedName>
    <definedName name="Y75E007LineDft">'[5]75EY'!$Z$921</definedName>
    <definedName name="Y75E008LineDft">'[5]75EY'!$AE$921</definedName>
    <definedName name="Y75E009LineDft">'[5]75EY'!$AJ$921</definedName>
    <definedName name="Y75E010LineDft">'[5]75EY'!$AO$921</definedName>
    <definedName name="Y75E011LineDft">'[5]75EY'!$AT$921</definedName>
    <definedName name="Y75E012LineDft">'[5]75EY'!$AY$921</definedName>
    <definedName name="Y75E013LineDft">'[5]75EY'!$BD$921</definedName>
    <definedName name="Y75E013TotOkNo" localSheetId="4">'[5]75EY'!#REF!</definedName>
    <definedName name="Y75E013TotOkNo" localSheetId="3">'[5]75EY'!#REF!</definedName>
    <definedName name="Y75E013TotOkNo" localSheetId="7">'[5]75EY'!#REF!</definedName>
    <definedName name="Y75E013TotOkNo">'[5]75EY'!#REF!</definedName>
    <definedName name="Y75E013TotSftNo" localSheetId="4">'[5]75EY'!#REF!</definedName>
    <definedName name="Y75E013TotSftNo" localSheetId="3">'[5]75EY'!#REF!</definedName>
    <definedName name="Y75E013TotSftNo" localSheetId="7">'[5]75EY'!#REF!</definedName>
    <definedName name="Y75E013TotSftNo">'[5]75EY'!#REF!</definedName>
    <definedName name="Y75E014LineDft">'[5]75EY'!$BI$921</definedName>
    <definedName name="Y75E015LineDft">'[5]75EY'!$BN$921</definedName>
    <definedName name="解雄偉" localSheetId="4">#REF!</definedName>
    <definedName name="解雄偉" localSheetId="3">#REF!</definedName>
    <definedName name="解雄偉" localSheetId="7">#REF!</definedName>
    <definedName name="解雄偉">#REF!</definedName>
    <definedName name="楊烈" localSheetId="4">#REF!</definedName>
    <definedName name="楊烈" localSheetId="3">#REF!</definedName>
    <definedName name="楊烈" localSheetId="7">#REF!</definedName>
    <definedName name="楊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3" i="7" l="1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CC41" i="5"/>
  <c r="CB41" i="5"/>
  <c r="CA41" i="5"/>
  <c r="BZ41" i="5"/>
  <c r="BY41" i="5"/>
  <c r="BX41" i="5"/>
  <c r="BW41" i="5"/>
  <c r="BV41" i="5"/>
  <c r="BU41" i="5"/>
  <c r="BT41" i="5"/>
  <c r="BS41" i="5"/>
  <c r="BR41" i="5"/>
  <c r="BQ41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CF8" i="5"/>
  <c r="CF3" i="5"/>
  <c r="CF2" i="5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C638" i="2"/>
  <c r="C637" i="2"/>
  <c r="C636" i="2"/>
  <c r="C635" i="2"/>
  <c r="C634" i="2"/>
  <c r="C633" i="2"/>
  <c r="C632" i="2"/>
  <c r="L631" i="2"/>
  <c r="C631" i="2"/>
  <c r="B631" i="2"/>
  <c r="A631" i="2"/>
  <c r="K631" i="2" s="1"/>
  <c r="C630" i="2"/>
  <c r="C629" i="2"/>
  <c r="C628" i="2"/>
  <c r="C627" i="2"/>
  <c r="C626" i="2"/>
  <c r="C625" i="2"/>
  <c r="C624" i="2"/>
  <c r="L623" i="2"/>
  <c r="C623" i="2"/>
  <c r="B623" i="2"/>
  <c r="A623" i="2"/>
  <c r="C622" i="2"/>
  <c r="C621" i="2"/>
  <c r="C620" i="2"/>
  <c r="C619" i="2"/>
  <c r="C618" i="2"/>
  <c r="C617" i="2"/>
  <c r="C616" i="2"/>
  <c r="L615" i="2"/>
  <c r="C615" i="2"/>
  <c r="B615" i="2"/>
  <c r="A615" i="2"/>
  <c r="C614" i="2"/>
  <c r="C613" i="2"/>
  <c r="C612" i="2"/>
  <c r="C611" i="2"/>
  <c r="C610" i="2"/>
  <c r="C609" i="2"/>
  <c r="C608" i="2"/>
  <c r="L607" i="2"/>
  <c r="C607" i="2"/>
  <c r="B607" i="2"/>
  <c r="A607" i="2"/>
  <c r="C606" i="2"/>
  <c r="C605" i="2"/>
  <c r="C604" i="2"/>
  <c r="C603" i="2"/>
  <c r="C602" i="2"/>
  <c r="C601" i="2"/>
  <c r="C600" i="2"/>
  <c r="L599" i="2"/>
  <c r="C599" i="2"/>
  <c r="B599" i="2"/>
  <c r="A599" i="2"/>
  <c r="I599" i="2" s="1"/>
  <c r="C598" i="2"/>
  <c r="C597" i="2"/>
  <c r="C596" i="2"/>
  <c r="C595" i="2"/>
  <c r="C594" i="2"/>
  <c r="C593" i="2"/>
  <c r="C592" i="2"/>
  <c r="L591" i="2"/>
  <c r="C591" i="2"/>
  <c r="B591" i="2"/>
  <c r="A591" i="2"/>
  <c r="C590" i="2"/>
  <c r="C589" i="2"/>
  <c r="C588" i="2"/>
  <c r="C587" i="2"/>
  <c r="C586" i="2"/>
  <c r="C585" i="2"/>
  <c r="C584" i="2"/>
  <c r="L583" i="2"/>
  <c r="C583" i="2"/>
  <c r="B583" i="2"/>
  <c r="A583" i="2"/>
  <c r="C582" i="2"/>
  <c r="C581" i="2"/>
  <c r="C580" i="2"/>
  <c r="C579" i="2"/>
  <c r="C578" i="2"/>
  <c r="C577" i="2"/>
  <c r="C576" i="2"/>
  <c r="L575" i="2"/>
  <c r="C575" i="2"/>
  <c r="B575" i="2"/>
  <c r="A575" i="2"/>
  <c r="C574" i="2"/>
  <c r="C573" i="2"/>
  <c r="C572" i="2"/>
  <c r="C571" i="2"/>
  <c r="C570" i="2"/>
  <c r="C569" i="2"/>
  <c r="C568" i="2"/>
  <c r="L567" i="2"/>
  <c r="C567" i="2"/>
  <c r="B567" i="2"/>
  <c r="A567" i="2"/>
  <c r="C566" i="2"/>
  <c r="C565" i="2"/>
  <c r="C564" i="2"/>
  <c r="C563" i="2"/>
  <c r="C562" i="2"/>
  <c r="C561" i="2"/>
  <c r="C560" i="2"/>
  <c r="L559" i="2"/>
  <c r="C559" i="2"/>
  <c r="B559" i="2"/>
  <c r="A559" i="2"/>
  <c r="K559" i="2" s="1"/>
  <c r="C558" i="2"/>
  <c r="C557" i="2"/>
  <c r="C556" i="2"/>
  <c r="C555" i="2"/>
  <c r="C554" i="2"/>
  <c r="C553" i="2"/>
  <c r="C552" i="2"/>
  <c r="L551" i="2"/>
  <c r="C551" i="2"/>
  <c r="B551" i="2"/>
  <c r="A551" i="2"/>
  <c r="K551" i="2" s="1"/>
  <c r="C550" i="2"/>
  <c r="C549" i="2"/>
  <c r="C548" i="2"/>
  <c r="C547" i="2"/>
  <c r="C546" i="2"/>
  <c r="C545" i="2"/>
  <c r="C544" i="2"/>
  <c r="L543" i="2"/>
  <c r="C543" i="2"/>
  <c r="B543" i="2"/>
  <c r="A543" i="2"/>
  <c r="C542" i="2"/>
  <c r="C541" i="2"/>
  <c r="C540" i="2"/>
  <c r="C539" i="2"/>
  <c r="C538" i="2"/>
  <c r="C537" i="2"/>
  <c r="C536" i="2"/>
  <c r="L535" i="2"/>
  <c r="C535" i="2"/>
  <c r="B535" i="2"/>
  <c r="A535" i="2"/>
  <c r="C534" i="2"/>
  <c r="C533" i="2"/>
  <c r="C532" i="2"/>
  <c r="C531" i="2"/>
  <c r="C530" i="2"/>
  <c r="C529" i="2"/>
  <c r="C528" i="2"/>
  <c r="L527" i="2"/>
  <c r="C527" i="2"/>
  <c r="B527" i="2"/>
  <c r="A527" i="2"/>
  <c r="K527" i="2" s="1"/>
  <c r="C526" i="2"/>
  <c r="C525" i="2"/>
  <c r="C524" i="2"/>
  <c r="C523" i="2"/>
  <c r="C522" i="2"/>
  <c r="C521" i="2"/>
  <c r="C520" i="2"/>
  <c r="L519" i="2"/>
  <c r="C519" i="2"/>
  <c r="B519" i="2"/>
  <c r="A519" i="2"/>
  <c r="C518" i="2"/>
  <c r="C517" i="2"/>
  <c r="C516" i="2"/>
  <c r="C515" i="2"/>
  <c r="C514" i="2"/>
  <c r="C513" i="2"/>
  <c r="C512" i="2"/>
  <c r="L511" i="2"/>
  <c r="C511" i="2"/>
  <c r="B511" i="2"/>
  <c r="A511" i="2"/>
  <c r="C510" i="2"/>
  <c r="C509" i="2"/>
  <c r="C508" i="2"/>
  <c r="C507" i="2"/>
  <c r="C506" i="2"/>
  <c r="C505" i="2"/>
  <c r="C504" i="2"/>
  <c r="L503" i="2"/>
  <c r="C503" i="2"/>
  <c r="B503" i="2"/>
  <c r="A503" i="2"/>
  <c r="C502" i="2"/>
  <c r="C501" i="2"/>
  <c r="C500" i="2"/>
  <c r="C499" i="2"/>
  <c r="C498" i="2"/>
  <c r="C497" i="2"/>
  <c r="C496" i="2"/>
  <c r="L495" i="2"/>
  <c r="C495" i="2"/>
  <c r="B495" i="2"/>
  <c r="A495" i="2"/>
  <c r="C494" i="2"/>
  <c r="C493" i="2"/>
  <c r="C492" i="2"/>
  <c r="C491" i="2"/>
  <c r="C490" i="2"/>
  <c r="C489" i="2"/>
  <c r="C488" i="2"/>
  <c r="L487" i="2"/>
  <c r="C487" i="2"/>
  <c r="B487" i="2"/>
  <c r="A487" i="2"/>
  <c r="C486" i="2"/>
  <c r="C485" i="2"/>
  <c r="C484" i="2"/>
  <c r="C483" i="2"/>
  <c r="C482" i="2"/>
  <c r="C481" i="2"/>
  <c r="C480" i="2"/>
  <c r="L479" i="2"/>
  <c r="C479" i="2"/>
  <c r="B479" i="2"/>
  <c r="A479" i="2"/>
  <c r="C478" i="2"/>
  <c r="C477" i="2"/>
  <c r="C476" i="2"/>
  <c r="C475" i="2"/>
  <c r="C474" i="2"/>
  <c r="C473" i="2"/>
  <c r="C472" i="2"/>
  <c r="L471" i="2"/>
  <c r="C471" i="2"/>
  <c r="B471" i="2"/>
  <c r="A471" i="2"/>
  <c r="J471" i="2" s="1"/>
  <c r="C470" i="2"/>
  <c r="C469" i="2"/>
  <c r="C468" i="2"/>
  <c r="C467" i="2"/>
  <c r="C466" i="2"/>
  <c r="C465" i="2"/>
  <c r="C464" i="2"/>
  <c r="L463" i="2"/>
  <c r="C463" i="2"/>
  <c r="B463" i="2"/>
  <c r="A463" i="2"/>
  <c r="C462" i="2"/>
  <c r="C461" i="2"/>
  <c r="C460" i="2"/>
  <c r="C459" i="2"/>
  <c r="C458" i="2"/>
  <c r="C457" i="2"/>
  <c r="C456" i="2"/>
  <c r="L455" i="2"/>
  <c r="C455" i="2"/>
  <c r="B455" i="2"/>
  <c r="A455" i="2"/>
  <c r="I455" i="2" s="1"/>
  <c r="C454" i="2"/>
  <c r="C453" i="2"/>
  <c r="C452" i="2"/>
  <c r="C451" i="2"/>
  <c r="C450" i="2"/>
  <c r="C449" i="2"/>
  <c r="C448" i="2"/>
  <c r="L447" i="2"/>
  <c r="C447" i="2"/>
  <c r="B447" i="2"/>
  <c r="A447" i="2"/>
  <c r="J447" i="2" s="1"/>
  <c r="C446" i="2"/>
  <c r="C445" i="2"/>
  <c r="C444" i="2"/>
  <c r="C443" i="2"/>
  <c r="C442" i="2"/>
  <c r="C441" i="2"/>
  <c r="C440" i="2"/>
  <c r="L439" i="2"/>
  <c r="C439" i="2"/>
  <c r="B439" i="2"/>
  <c r="A439" i="2"/>
  <c r="K439" i="2" s="1"/>
  <c r="C438" i="2"/>
  <c r="C437" i="2"/>
  <c r="C436" i="2"/>
  <c r="C435" i="2"/>
  <c r="C434" i="2"/>
  <c r="C433" i="2"/>
  <c r="C432" i="2"/>
  <c r="L431" i="2"/>
  <c r="C431" i="2"/>
  <c r="B431" i="2"/>
  <c r="A431" i="2"/>
  <c r="C430" i="2"/>
  <c r="C429" i="2"/>
  <c r="C428" i="2"/>
  <c r="C427" i="2"/>
  <c r="C426" i="2"/>
  <c r="C425" i="2"/>
  <c r="C424" i="2"/>
  <c r="L423" i="2"/>
  <c r="C423" i="2"/>
  <c r="B423" i="2"/>
  <c r="A423" i="2"/>
  <c r="C422" i="2"/>
  <c r="C421" i="2"/>
  <c r="C420" i="2"/>
  <c r="C419" i="2"/>
  <c r="C418" i="2"/>
  <c r="C417" i="2"/>
  <c r="C416" i="2"/>
  <c r="L415" i="2"/>
  <c r="C415" i="2"/>
  <c r="B415" i="2"/>
  <c r="A415" i="2"/>
  <c r="C414" i="2"/>
  <c r="C413" i="2"/>
  <c r="C412" i="2"/>
  <c r="C411" i="2"/>
  <c r="C410" i="2"/>
  <c r="C409" i="2"/>
  <c r="C408" i="2"/>
  <c r="L407" i="2"/>
  <c r="C407" i="2"/>
  <c r="B407" i="2"/>
  <c r="A407" i="2"/>
  <c r="H407" i="2" s="1"/>
  <c r="C406" i="2"/>
  <c r="C405" i="2"/>
  <c r="C404" i="2"/>
  <c r="C403" i="2"/>
  <c r="C402" i="2"/>
  <c r="C401" i="2"/>
  <c r="C400" i="2"/>
  <c r="L399" i="2"/>
  <c r="C399" i="2"/>
  <c r="B399" i="2"/>
  <c r="A399" i="2"/>
  <c r="K399" i="2" s="1"/>
  <c r="C398" i="2"/>
  <c r="C397" i="2"/>
  <c r="C396" i="2"/>
  <c r="C395" i="2"/>
  <c r="C394" i="2"/>
  <c r="C393" i="2"/>
  <c r="C392" i="2"/>
  <c r="L391" i="2"/>
  <c r="C391" i="2"/>
  <c r="B391" i="2"/>
  <c r="A391" i="2"/>
  <c r="I391" i="2" s="1"/>
  <c r="C390" i="2"/>
  <c r="C389" i="2"/>
  <c r="C388" i="2"/>
  <c r="C387" i="2"/>
  <c r="C386" i="2"/>
  <c r="C385" i="2"/>
  <c r="C384" i="2"/>
  <c r="L383" i="2"/>
  <c r="C383" i="2"/>
  <c r="B383" i="2"/>
  <c r="A383" i="2"/>
  <c r="I383" i="2" s="1"/>
  <c r="C382" i="2"/>
  <c r="C381" i="2"/>
  <c r="C380" i="2"/>
  <c r="C379" i="2"/>
  <c r="C378" i="2"/>
  <c r="C377" i="2"/>
  <c r="C376" i="2"/>
  <c r="L375" i="2"/>
  <c r="C375" i="2"/>
  <c r="B375" i="2"/>
  <c r="A375" i="2"/>
  <c r="G375" i="2" s="1"/>
  <c r="C374" i="2"/>
  <c r="C373" i="2"/>
  <c r="C372" i="2"/>
  <c r="C371" i="2"/>
  <c r="C370" i="2"/>
  <c r="C369" i="2"/>
  <c r="C368" i="2"/>
  <c r="L367" i="2"/>
  <c r="C367" i="2"/>
  <c r="B367" i="2"/>
  <c r="A367" i="2"/>
  <c r="H367" i="2" s="1"/>
  <c r="C366" i="2"/>
  <c r="C365" i="2"/>
  <c r="C364" i="2"/>
  <c r="C363" i="2"/>
  <c r="C362" i="2"/>
  <c r="C361" i="2"/>
  <c r="C360" i="2"/>
  <c r="L359" i="2"/>
  <c r="C359" i="2"/>
  <c r="B359" i="2"/>
  <c r="A359" i="2"/>
  <c r="C358" i="2"/>
  <c r="C357" i="2"/>
  <c r="C356" i="2"/>
  <c r="C355" i="2"/>
  <c r="C354" i="2"/>
  <c r="C353" i="2"/>
  <c r="C352" i="2"/>
  <c r="L351" i="2"/>
  <c r="C351" i="2"/>
  <c r="B351" i="2"/>
  <c r="A351" i="2"/>
  <c r="H351" i="2" s="1"/>
  <c r="C350" i="2"/>
  <c r="C349" i="2"/>
  <c r="C348" i="2"/>
  <c r="C347" i="2"/>
  <c r="C346" i="2"/>
  <c r="C345" i="2"/>
  <c r="C344" i="2"/>
  <c r="L343" i="2"/>
  <c r="C343" i="2"/>
  <c r="B343" i="2"/>
  <c r="A343" i="2"/>
  <c r="C342" i="2"/>
  <c r="C341" i="2"/>
  <c r="C340" i="2"/>
  <c r="C339" i="2"/>
  <c r="C338" i="2"/>
  <c r="C337" i="2"/>
  <c r="C336" i="2"/>
  <c r="L335" i="2"/>
  <c r="C335" i="2"/>
  <c r="B335" i="2"/>
  <c r="A335" i="2"/>
  <c r="I335" i="2" s="1"/>
  <c r="C334" i="2"/>
  <c r="C333" i="2"/>
  <c r="C332" i="2"/>
  <c r="C331" i="2"/>
  <c r="C330" i="2"/>
  <c r="C329" i="2"/>
  <c r="C328" i="2"/>
  <c r="L327" i="2"/>
  <c r="C327" i="2"/>
  <c r="B327" i="2"/>
  <c r="A327" i="2"/>
  <c r="C326" i="2"/>
  <c r="C325" i="2"/>
  <c r="C324" i="2"/>
  <c r="C323" i="2"/>
  <c r="C322" i="2"/>
  <c r="C321" i="2"/>
  <c r="C320" i="2"/>
  <c r="L319" i="2"/>
  <c r="C319" i="2"/>
  <c r="B319" i="2"/>
  <c r="A319" i="2"/>
  <c r="C318" i="2"/>
  <c r="C317" i="2"/>
  <c r="C316" i="2"/>
  <c r="C315" i="2"/>
  <c r="C314" i="2"/>
  <c r="C313" i="2"/>
  <c r="C312" i="2"/>
  <c r="L311" i="2"/>
  <c r="C311" i="2"/>
  <c r="B311" i="2"/>
  <c r="A311" i="2"/>
  <c r="C310" i="2"/>
  <c r="C309" i="2"/>
  <c r="C308" i="2"/>
  <c r="C307" i="2"/>
  <c r="C306" i="2"/>
  <c r="C305" i="2"/>
  <c r="C304" i="2"/>
  <c r="L303" i="2"/>
  <c r="C303" i="2"/>
  <c r="B303" i="2"/>
  <c r="A303" i="2"/>
  <c r="C302" i="2"/>
  <c r="C301" i="2"/>
  <c r="C300" i="2"/>
  <c r="C299" i="2"/>
  <c r="C298" i="2"/>
  <c r="C297" i="2"/>
  <c r="C296" i="2"/>
  <c r="L295" i="2"/>
  <c r="C295" i="2"/>
  <c r="B295" i="2"/>
  <c r="A295" i="2"/>
  <c r="K295" i="2" s="1"/>
  <c r="C294" i="2"/>
  <c r="C293" i="2"/>
  <c r="C292" i="2"/>
  <c r="C291" i="2"/>
  <c r="C290" i="2"/>
  <c r="C289" i="2"/>
  <c r="C288" i="2"/>
  <c r="L287" i="2"/>
  <c r="C287" i="2"/>
  <c r="B287" i="2"/>
  <c r="A287" i="2"/>
  <c r="C286" i="2"/>
  <c r="C285" i="2"/>
  <c r="C284" i="2"/>
  <c r="C283" i="2"/>
  <c r="C282" i="2"/>
  <c r="C281" i="2"/>
  <c r="C280" i="2"/>
  <c r="L279" i="2"/>
  <c r="C279" i="2"/>
  <c r="B279" i="2"/>
  <c r="A279" i="2"/>
  <c r="C278" i="2"/>
  <c r="C277" i="2"/>
  <c r="C276" i="2"/>
  <c r="C275" i="2"/>
  <c r="C274" i="2"/>
  <c r="C273" i="2"/>
  <c r="C272" i="2"/>
  <c r="L271" i="2"/>
  <c r="C271" i="2"/>
  <c r="B271" i="2"/>
  <c r="A271" i="2"/>
  <c r="C270" i="2"/>
  <c r="C269" i="2"/>
  <c r="C268" i="2"/>
  <c r="C267" i="2"/>
  <c r="C266" i="2"/>
  <c r="C265" i="2"/>
  <c r="C264" i="2"/>
  <c r="L263" i="2"/>
  <c r="C263" i="2"/>
  <c r="B263" i="2"/>
  <c r="A263" i="2"/>
  <c r="C262" i="2"/>
  <c r="C261" i="2"/>
  <c r="C260" i="2"/>
  <c r="C259" i="2"/>
  <c r="C258" i="2"/>
  <c r="C257" i="2"/>
  <c r="C256" i="2"/>
  <c r="L255" i="2"/>
  <c r="J255" i="2"/>
  <c r="I255" i="2"/>
  <c r="H255" i="2"/>
  <c r="E255" i="2"/>
  <c r="C255" i="2"/>
  <c r="B255" i="2"/>
  <c r="A255" i="2"/>
  <c r="G255" i="2" s="1"/>
  <c r="C254" i="2"/>
  <c r="C253" i="2"/>
  <c r="C252" i="2"/>
  <c r="C251" i="2"/>
  <c r="C250" i="2"/>
  <c r="C249" i="2"/>
  <c r="C248" i="2"/>
  <c r="L247" i="2"/>
  <c r="C247" i="2"/>
  <c r="B247" i="2"/>
  <c r="A247" i="2"/>
  <c r="C246" i="2"/>
  <c r="C245" i="2"/>
  <c r="C244" i="2"/>
  <c r="C243" i="2"/>
  <c r="C242" i="2"/>
  <c r="C241" i="2"/>
  <c r="C240" i="2"/>
  <c r="L239" i="2"/>
  <c r="C239" i="2"/>
  <c r="B239" i="2"/>
  <c r="A239" i="2"/>
  <c r="C238" i="2"/>
  <c r="C237" i="2"/>
  <c r="C236" i="2"/>
  <c r="C235" i="2"/>
  <c r="C234" i="2"/>
  <c r="C233" i="2"/>
  <c r="C232" i="2"/>
  <c r="L231" i="2"/>
  <c r="C231" i="2"/>
  <c r="B231" i="2"/>
  <c r="A231" i="2"/>
  <c r="C230" i="2"/>
  <c r="C229" i="2"/>
  <c r="C228" i="2"/>
  <c r="C227" i="2"/>
  <c r="C226" i="2"/>
  <c r="C225" i="2"/>
  <c r="C224" i="2"/>
  <c r="L223" i="2"/>
  <c r="C223" i="2"/>
  <c r="B223" i="2"/>
  <c r="A223" i="2"/>
  <c r="K223" i="2" s="1"/>
  <c r="C222" i="2"/>
  <c r="C221" i="2"/>
  <c r="C220" i="2"/>
  <c r="C219" i="2"/>
  <c r="C218" i="2"/>
  <c r="C217" i="2"/>
  <c r="C216" i="2"/>
  <c r="L215" i="2"/>
  <c r="C215" i="2"/>
  <c r="B215" i="2"/>
  <c r="A215" i="2"/>
  <c r="C214" i="2"/>
  <c r="C213" i="2"/>
  <c r="C212" i="2"/>
  <c r="C211" i="2"/>
  <c r="C210" i="2"/>
  <c r="C209" i="2"/>
  <c r="C208" i="2"/>
  <c r="L207" i="2"/>
  <c r="C207" i="2"/>
  <c r="B207" i="2"/>
  <c r="A207" i="2"/>
  <c r="C206" i="2"/>
  <c r="C205" i="2"/>
  <c r="C204" i="2"/>
  <c r="C203" i="2"/>
  <c r="C202" i="2"/>
  <c r="C201" i="2"/>
  <c r="C200" i="2"/>
  <c r="L199" i="2"/>
  <c r="C199" i="2"/>
  <c r="B199" i="2"/>
  <c r="A199" i="2"/>
  <c r="D199" i="2" s="1"/>
  <c r="C198" i="2"/>
  <c r="C197" i="2"/>
  <c r="C196" i="2"/>
  <c r="C195" i="2"/>
  <c r="C194" i="2"/>
  <c r="C193" i="2"/>
  <c r="C192" i="2"/>
  <c r="L191" i="2"/>
  <c r="C191" i="2"/>
  <c r="B191" i="2"/>
  <c r="A191" i="2"/>
  <c r="E191" i="2" s="1"/>
  <c r="C190" i="2"/>
  <c r="C189" i="2"/>
  <c r="C188" i="2"/>
  <c r="C187" i="2"/>
  <c r="C186" i="2"/>
  <c r="C185" i="2"/>
  <c r="C184" i="2"/>
  <c r="L183" i="2"/>
  <c r="C183" i="2"/>
  <c r="B183" i="2"/>
  <c r="A183" i="2"/>
  <c r="I183" i="2" s="1"/>
  <c r="C182" i="2"/>
  <c r="C181" i="2"/>
  <c r="C180" i="2"/>
  <c r="C179" i="2"/>
  <c r="C178" i="2"/>
  <c r="C177" i="2"/>
  <c r="C176" i="2"/>
  <c r="L175" i="2"/>
  <c r="C175" i="2"/>
  <c r="B175" i="2"/>
  <c r="A175" i="2"/>
  <c r="C174" i="2"/>
  <c r="C173" i="2"/>
  <c r="C172" i="2"/>
  <c r="C171" i="2"/>
  <c r="C170" i="2"/>
  <c r="C169" i="2"/>
  <c r="C168" i="2"/>
  <c r="L167" i="2"/>
  <c r="I167" i="2"/>
  <c r="C167" i="2"/>
  <c r="B167" i="2"/>
  <c r="A167" i="2"/>
  <c r="E167" i="2" s="1"/>
  <c r="C166" i="2"/>
  <c r="C165" i="2"/>
  <c r="C164" i="2"/>
  <c r="C163" i="2"/>
  <c r="C162" i="2"/>
  <c r="C161" i="2"/>
  <c r="C160" i="2"/>
  <c r="L159" i="2"/>
  <c r="C159" i="2"/>
  <c r="B159" i="2"/>
  <c r="A159" i="2"/>
  <c r="C158" i="2"/>
  <c r="C157" i="2"/>
  <c r="C156" i="2"/>
  <c r="C155" i="2"/>
  <c r="C154" i="2"/>
  <c r="C153" i="2"/>
  <c r="C152" i="2"/>
  <c r="L151" i="2"/>
  <c r="C151" i="2"/>
  <c r="B151" i="2"/>
  <c r="A151" i="2"/>
  <c r="C150" i="2"/>
  <c r="C149" i="2"/>
  <c r="C148" i="2"/>
  <c r="C147" i="2"/>
  <c r="C146" i="2"/>
  <c r="C145" i="2"/>
  <c r="C144" i="2"/>
  <c r="L143" i="2"/>
  <c r="C143" i="2"/>
  <c r="B143" i="2"/>
  <c r="A143" i="2"/>
  <c r="E143" i="2" s="1"/>
  <c r="C142" i="2"/>
  <c r="C141" i="2"/>
  <c r="C140" i="2"/>
  <c r="C139" i="2"/>
  <c r="C138" i="2"/>
  <c r="C137" i="2"/>
  <c r="C136" i="2"/>
  <c r="L135" i="2"/>
  <c r="C135" i="2"/>
  <c r="B135" i="2"/>
  <c r="A135" i="2"/>
  <c r="I135" i="2" s="1"/>
  <c r="C134" i="2"/>
  <c r="C133" i="2"/>
  <c r="C132" i="2"/>
  <c r="C131" i="2"/>
  <c r="C130" i="2"/>
  <c r="C129" i="2"/>
  <c r="C128" i="2"/>
  <c r="L127" i="2"/>
  <c r="C127" i="2"/>
  <c r="B127" i="2"/>
  <c r="A127" i="2"/>
  <c r="C126" i="2"/>
  <c r="C125" i="2"/>
  <c r="C124" i="2"/>
  <c r="C123" i="2"/>
  <c r="C122" i="2"/>
  <c r="C121" i="2"/>
  <c r="C120" i="2"/>
  <c r="L119" i="2"/>
  <c r="I119" i="2"/>
  <c r="H119" i="2"/>
  <c r="G119" i="2"/>
  <c r="C119" i="2"/>
  <c r="B119" i="2"/>
  <c r="A119" i="2"/>
  <c r="E119" i="2" s="1"/>
  <c r="C118" i="2"/>
  <c r="C117" i="2"/>
  <c r="C116" i="2"/>
  <c r="C115" i="2"/>
  <c r="C114" i="2"/>
  <c r="C113" i="2"/>
  <c r="C112" i="2"/>
  <c r="L111" i="2"/>
  <c r="C111" i="2"/>
  <c r="B111" i="2"/>
  <c r="A111" i="2"/>
  <c r="I111" i="2" s="1"/>
  <c r="C110" i="2"/>
  <c r="C109" i="2"/>
  <c r="C108" i="2"/>
  <c r="C107" i="2"/>
  <c r="C106" i="2"/>
  <c r="C105" i="2"/>
  <c r="C104" i="2"/>
  <c r="L103" i="2"/>
  <c r="C103" i="2"/>
  <c r="B103" i="2"/>
  <c r="A103" i="2"/>
  <c r="J103" i="2" s="1"/>
  <c r="C102" i="2"/>
  <c r="C101" i="2"/>
  <c r="C100" i="2"/>
  <c r="C99" i="2"/>
  <c r="C98" i="2"/>
  <c r="C97" i="2"/>
  <c r="C96" i="2"/>
  <c r="L95" i="2"/>
  <c r="C95" i="2"/>
  <c r="B95" i="2"/>
  <c r="A95" i="2"/>
  <c r="C94" i="2"/>
  <c r="C93" i="2"/>
  <c r="C92" i="2"/>
  <c r="C91" i="2"/>
  <c r="C90" i="2"/>
  <c r="C89" i="2"/>
  <c r="C88" i="2"/>
  <c r="L87" i="2"/>
  <c r="C87" i="2"/>
  <c r="B87" i="2"/>
  <c r="A87" i="2"/>
  <c r="I87" i="2" s="1"/>
  <c r="C86" i="2"/>
  <c r="C85" i="2"/>
  <c r="C84" i="2"/>
  <c r="C83" i="2"/>
  <c r="C82" i="2"/>
  <c r="C81" i="2"/>
  <c r="C80" i="2"/>
  <c r="L79" i="2"/>
  <c r="C79" i="2"/>
  <c r="B79" i="2"/>
  <c r="A79" i="2"/>
  <c r="C78" i="2"/>
  <c r="C77" i="2"/>
  <c r="C76" i="2"/>
  <c r="C75" i="2"/>
  <c r="C74" i="2"/>
  <c r="C73" i="2"/>
  <c r="C72" i="2"/>
  <c r="L71" i="2"/>
  <c r="C71" i="2"/>
  <c r="B71" i="2"/>
  <c r="A71" i="2"/>
  <c r="C70" i="2"/>
  <c r="C69" i="2"/>
  <c r="C68" i="2"/>
  <c r="C67" i="2"/>
  <c r="C66" i="2"/>
  <c r="C65" i="2"/>
  <c r="C64" i="2"/>
  <c r="L63" i="2"/>
  <c r="C63" i="2"/>
  <c r="B63" i="2"/>
  <c r="A63" i="2"/>
  <c r="C62" i="2"/>
  <c r="C61" i="2"/>
  <c r="C60" i="2"/>
  <c r="C59" i="2"/>
  <c r="C58" i="2"/>
  <c r="C57" i="2"/>
  <c r="C56" i="2"/>
  <c r="L55" i="2"/>
  <c r="C55" i="2"/>
  <c r="B55" i="2"/>
  <c r="A55" i="2"/>
  <c r="C54" i="2"/>
  <c r="C53" i="2"/>
  <c r="C52" i="2"/>
  <c r="C51" i="2"/>
  <c r="C50" i="2"/>
  <c r="C49" i="2"/>
  <c r="C48" i="2"/>
  <c r="L47" i="2"/>
  <c r="C47" i="2"/>
  <c r="B47" i="2"/>
  <c r="A47" i="2"/>
  <c r="C46" i="2"/>
  <c r="C45" i="2"/>
  <c r="C44" i="2"/>
  <c r="C43" i="2"/>
  <c r="C42" i="2"/>
  <c r="C41" i="2"/>
  <c r="C40" i="2"/>
  <c r="L39" i="2"/>
  <c r="C39" i="2"/>
  <c r="B39" i="2"/>
  <c r="A39" i="2"/>
  <c r="C38" i="2"/>
  <c r="C37" i="2"/>
  <c r="C36" i="2"/>
  <c r="C35" i="2"/>
  <c r="C34" i="2"/>
  <c r="C33" i="2"/>
  <c r="C32" i="2"/>
  <c r="L31" i="2"/>
  <c r="C31" i="2"/>
  <c r="B31" i="2"/>
  <c r="A31" i="2"/>
  <c r="K31" i="2" s="1"/>
  <c r="C30" i="2"/>
  <c r="C29" i="2"/>
  <c r="C28" i="2"/>
  <c r="C27" i="2"/>
  <c r="C26" i="2"/>
  <c r="C25" i="2"/>
  <c r="C24" i="2"/>
  <c r="L23" i="2"/>
  <c r="C23" i="2"/>
  <c r="B23" i="2"/>
  <c r="A23" i="2"/>
  <c r="C22" i="2"/>
  <c r="C21" i="2"/>
  <c r="C20" i="2"/>
  <c r="C19" i="2"/>
  <c r="C18" i="2"/>
  <c r="C17" i="2"/>
  <c r="C16" i="2"/>
  <c r="L15" i="2"/>
  <c r="C15" i="2"/>
  <c r="B15" i="2"/>
  <c r="A15" i="2"/>
  <c r="C14" i="2"/>
  <c r="C13" i="2"/>
  <c r="C12" i="2"/>
  <c r="C11" i="2"/>
  <c r="C10" i="2"/>
  <c r="C9" i="2"/>
  <c r="C8" i="2"/>
  <c r="L7" i="2"/>
  <c r="C7" i="2"/>
  <c r="B7" i="2"/>
  <c r="A7" i="2"/>
  <c r="G3" i="2"/>
  <c r="C3" i="2"/>
  <c r="J135" i="2" l="1"/>
  <c r="F255" i="2"/>
  <c r="E455" i="2"/>
  <c r="G599" i="2"/>
  <c r="F455" i="2"/>
  <c r="K599" i="2"/>
  <c r="G455" i="2"/>
  <c r="F471" i="2"/>
  <c r="H455" i="2"/>
  <c r="G471" i="2"/>
  <c r="J183" i="2"/>
  <c r="E31" i="2"/>
  <c r="I191" i="2"/>
  <c r="E223" i="2"/>
  <c r="D255" i="2"/>
  <c r="F31" i="2"/>
  <c r="J191" i="2"/>
  <c r="F223" i="2"/>
  <c r="G31" i="2"/>
  <c r="G223" i="2"/>
  <c r="I31" i="2"/>
  <c r="H223" i="2"/>
  <c r="J31" i="2"/>
  <c r="J119" i="2"/>
  <c r="K135" i="2"/>
  <c r="G143" i="2"/>
  <c r="J167" i="2"/>
  <c r="K183" i="2"/>
  <c r="F191" i="2"/>
  <c r="H471" i="2"/>
  <c r="H143" i="2"/>
  <c r="G191" i="2"/>
  <c r="D31" i="2"/>
  <c r="H191" i="2"/>
  <c r="D223" i="2"/>
  <c r="G303" i="2"/>
  <c r="K303" i="2"/>
  <c r="J303" i="2"/>
  <c r="I303" i="2"/>
  <c r="H303" i="2"/>
  <c r="F303" i="2"/>
  <c r="D303" i="2"/>
  <c r="D615" i="2"/>
  <c r="K615" i="2"/>
  <c r="I15" i="2"/>
  <c r="K15" i="2"/>
  <c r="K127" i="2"/>
  <c r="H127" i="2"/>
  <c r="G127" i="2"/>
  <c r="F127" i="2"/>
  <c r="E127" i="2"/>
  <c r="J127" i="2"/>
  <c r="I127" i="2"/>
  <c r="K175" i="2"/>
  <c r="J175" i="2"/>
  <c r="I175" i="2"/>
  <c r="H175" i="2"/>
  <c r="G175" i="2"/>
  <c r="F175" i="2"/>
  <c r="D175" i="2"/>
  <c r="E175" i="2"/>
  <c r="H463" i="2"/>
  <c r="G463" i="2"/>
  <c r="E463" i="2"/>
  <c r="D463" i="2"/>
  <c r="J463" i="2"/>
  <c r="I463" i="2"/>
  <c r="J15" i="2"/>
  <c r="D127" i="2"/>
  <c r="K55" i="2"/>
  <c r="E55" i="2"/>
  <c r="D55" i="2"/>
  <c r="G55" i="2"/>
  <c r="F55" i="2"/>
  <c r="J55" i="2"/>
  <c r="I55" i="2"/>
  <c r="H55" i="2"/>
  <c r="K247" i="2"/>
  <c r="F247" i="2"/>
  <c r="E247" i="2"/>
  <c r="H247" i="2"/>
  <c r="G247" i="2"/>
  <c r="I247" i="2"/>
  <c r="F543" i="2"/>
  <c r="E543" i="2"/>
  <c r="K543" i="2"/>
  <c r="H543" i="2"/>
  <c r="K607" i="2"/>
  <c r="J607" i="2"/>
  <c r="E47" i="2"/>
  <c r="J47" i="2"/>
  <c r="I47" i="2"/>
  <c r="H47" i="2"/>
  <c r="E71" i="2"/>
  <c r="J71" i="2"/>
  <c r="I71" i="2"/>
  <c r="H71" i="2"/>
  <c r="G71" i="2"/>
  <c r="F47" i="2"/>
  <c r="J263" i="2"/>
  <c r="K263" i="2"/>
  <c r="G47" i="2"/>
  <c r="K503" i="2"/>
  <c r="G503" i="2"/>
  <c r="F503" i="2"/>
  <c r="F71" i="2"/>
  <c r="E23" i="2"/>
  <c r="J23" i="2"/>
  <c r="I23" i="2"/>
  <c r="H23" i="2"/>
  <c r="G23" i="2"/>
  <c r="H519" i="2"/>
  <c r="F519" i="2"/>
  <c r="K519" i="2"/>
  <c r="K79" i="2"/>
  <c r="F79" i="2"/>
  <c r="E79" i="2"/>
  <c r="D79" i="2"/>
  <c r="H79" i="2"/>
  <c r="G79" i="2"/>
  <c r="J311" i="2"/>
  <c r="E311" i="2"/>
  <c r="D311" i="2"/>
  <c r="G311" i="2"/>
  <c r="F311" i="2"/>
  <c r="F23" i="2"/>
  <c r="H239" i="2"/>
  <c r="K239" i="2"/>
  <c r="J239" i="2"/>
  <c r="I239" i="2"/>
  <c r="I79" i="2"/>
  <c r="K151" i="2"/>
  <c r="I151" i="2"/>
  <c r="H151" i="2"/>
  <c r="G151" i="2"/>
  <c r="F151" i="2"/>
  <c r="J151" i="2"/>
  <c r="H311" i="2"/>
  <c r="H415" i="2"/>
  <c r="K415" i="2"/>
  <c r="J415" i="2"/>
  <c r="H487" i="2"/>
  <c r="J487" i="2"/>
  <c r="I487" i="2"/>
  <c r="E487" i="2"/>
  <c r="J79" i="2"/>
  <c r="I311" i="2"/>
  <c r="J423" i="2"/>
  <c r="I423" i="2"/>
  <c r="H423" i="2"/>
  <c r="J583" i="2"/>
  <c r="E583" i="2"/>
  <c r="K583" i="2"/>
  <c r="K103" i="2"/>
  <c r="G103" i="2"/>
  <c r="F103" i="2"/>
  <c r="E103" i="2"/>
  <c r="D103" i="2"/>
  <c r="I103" i="2"/>
  <c r="H103" i="2"/>
  <c r="K271" i="2"/>
  <c r="J271" i="2"/>
  <c r="I271" i="2"/>
  <c r="H271" i="2"/>
  <c r="G271" i="2"/>
  <c r="K311" i="2"/>
  <c r="K367" i="2"/>
  <c r="J95" i="2"/>
  <c r="H199" i="2"/>
  <c r="I223" i="2"/>
  <c r="K255" i="2"/>
  <c r="K335" i="2"/>
  <c r="J455" i="2"/>
  <c r="K479" i="2"/>
  <c r="I199" i="2"/>
  <c r="J223" i="2"/>
  <c r="K455" i="2"/>
  <c r="J199" i="2"/>
  <c r="H431" i="2"/>
  <c r="D327" i="2"/>
  <c r="K327" i="2"/>
  <c r="F327" i="2"/>
  <c r="J327" i="2"/>
  <c r="I327" i="2"/>
  <c r="E327" i="2"/>
  <c r="H327" i="2"/>
  <c r="G327" i="2"/>
  <c r="D567" i="2"/>
  <c r="J567" i="2"/>
  <c r="I567" i="2"/>
  <c r="G567" i="2"/>
  <c r="F567" i="2"/>
  <c r="K567" i="2"/>
  <c r="E567" i="2"/>
  <c r="H567" i="2"/>
  <c r="G231" i="2"/>
  <c r="K231" i="2"/>
  <c r="J231" i="2"/>
  <c r="I231" i="2"/>
  <c r="H231" i="2"/>
  <c r="D231" i="2"/>
  <c r="F231" i="2"/>
  <c r="E231" i="2"/>
  <c r="K287" i="2"/>
  <c r="J287" i="2"/>
  <c r="I287" i="2"/>
  <c r="H287" i="2"/>
  <c r="G287" i="2"/>
  <c r="E287" i="2"/>
  <c r="D287" i="2"/>
  <c r="F287" i="2"/>
  <c r="H343" i="2"/>
  <c r="F343" i="2"/>
  <c r="K343" i="2"/>
  <c r="D343" i="2"/>
  <c r="J343" i="2"/>
  <c r="I343" i="2"/>
  <c r="G343" i="2"/>
  <c r="E343" i="2"/>
  <c r="K359" i="2"/>
  <c r="J359" i="2"/>
  <c r="I359" i="2"/>
  <c r="H359" i="2"/>
  <c r="G359" i="2"/>
  <c r="D359" i="2"/>
  <c r="F359" i="2"/>
  <c r="E359" i="2"/>
  <c r="H319" i="2"/>
  <c r="D319" i="2"/>
  <c r="K319" i="2"/>
  <c r="J319" i="2"/>
  <c r="I319" i="2"/>
  <c r="G319" i="2"/>
  <c r="E319" i="2"/>
  <c r="F319" i="2"/>
  <c r="K47" i="2"/>
  <c r="K71" i="2"/>
  <c r="K95" i="2"/>
  <c r="K119" i="2"/>
  <c r="K143" i="2"/>
  <c r="K167" i="2"/>
  <c r="K191" i="2"/>
  <c r="J247" i="2"/>
  <c r="D263" i="2"/>
  <c r="F351" i="2"/>
  <c r="D383" i="2"/>
  <c r="D399" i="2"/>
  <c r="E399" i="2"/>
  <c r="D447" i="2"/>
  <c r="E447" i="2"/>
  <c r="K447" i="2"/>
  <c r="G527" i="2"/>
  <c r="H535" i="2"/>
  <c r="F535" i="2"/>
  <c r="D535" i="2"/>
  <c r="I535" i="2"/>
  <c r="G535" i="2"/>
  <c r="J575" i="2"/>
  <c r="H575" i="2"/>
  <c r="I575" i="2"/>
  <c r="E575" i="2"/>
  <c r="D575" i="2"/>
  <c r="H511" i="2"/>
  <c r="F511" i="2"/>
  <c r="D511" i="2"/>
  <c r="I511" i="2"/>
  <c r="G511" i="2"/>
  <c r="K23" i="2"/>
  <c r="D15" i="2"/>
  <c r="D39" i="2"/>
  <c r="D63" i="2"/>
  <c r="D87" i="2"/>
  <c r="D111" i="2"/>
  <c r="D135" i="2"/>
  <c r="D159" i="2"/>
  <c r="D183" i="2"/>
  <c r="D207" i="2"/>
  <c r="E263" i="2"/>
  <c r="G351" i="2"/>
  <c r="D367" i="2"/>
  <c r="E375" i="2"/>
  <c r="E383" i="2"/>
  <c r="D423" i="2"/>
  <c r="K423" i="2"/>
  <c r="H439" i="2"/>
  <c r="F439" i="2"/>
  <c r="D495" i="2"/>
  <c r="F495" i="2"/>
  <c r="E495" i="2"/>
  <c r="K495" i="2"/>
  <c r="I495" i="2"/>
  <c r="E511" i="2"/>
  <c r="F551" i="2"/>
  <c r="J527" i="2"/>
  <c r="H527" i="2"/>
  <c r="I527" i="2"/>
  <c r="E527" i="2"/>
  <c r="D527" i="2"/>
  <c r="F527" i="2"/>
  <c r="E15" i="2"/>
  <c r="E135" i="2"/>
  <c r="E183" i="2"/>
  <c r="E207" i="2"/>
  <c r="D239" i="2"/>
  <c r="F263" i="2"/>
  <c r="D295" i="2"/>
  <c r="E367" i="2"/>
  <c r="F375" i="2"/>
  <c r="F383" i="2"/>
  <c r="D391" i="2"/>
  <c r="D407" i="2"/>
  <c r="J511" i="2"/>
  <c r="G551" i="2"/>
  <c r="H559" i="2"/>
  <c r="F559" i="2"/>
  <c r="D559" i="2"/>
  <c r="I559" i="2"/>
  <c r="G559" i="2"/>
  <c r="D351" i="2"/>
  <c r="E351" i="2"/>
  <c r="F39" i="2"/>
  <c r="F63" i="2"/>
  <c r="F87" i="2"/>
  <c r="F111" i="2"/>
  <c r="F135" i="2"/>
  <c r="F159" i="2"/>
  <c r="F183" i="2"/>
  <c r="F207" i="2"/>
  <c r="E239" i="2"/>
  <c r="G263" i="2"/>
  <c r="E295" i="2"/>
  <c r="I351" i="2"/>
  <c r="F367" i="2"/>
  <c r="G383" i="2"/>
  <c r="E391" i="2"/>
  <c r="F399" i="2"/>
  <c r="E407" i="2"/>
  <c r="D431" i="2"/>
  <c r="F447" i="2"/>
  <c r="K511" i="2"/>
  <c r="D519" i="2"/>
  <c r="J519" i="2"/>
  <c r="I519" i="2"/>
  <c r="G519" i="2"/>
  <c r="E535" i="2"/>
  <c r="F575" i="2"/>
  <c r="D375" i="2"/>
  <c r="K375" i="2"/>
  <c r="E111" i="2"/>
  <c r="E159" i="2"/>
  <c r="F15" i="2"/>
  <c r="G15" i="2"/>
  <c r="G39" i="2"/>
  <c r="G63" i="2"/>
  <c r="G87" i="2"/>
  <c r="G111" i="2"/>
  <c r="G135" i="2"/>
  <c r="G159" i="2"/>
  <c r="G183" i="2"/>
  <c r="H207" i="2"/>
  <c r="D215" i="2"/>
  <c r="F239" i="2"/>
  <c r="H263" i="2"/>
  <c r="D271" i="2"/>
  <c r="F295" i="2"/>
  <c r="J351" i="2"/>
  <c r="G367" i="2"/>
  <c r="H375" i="2"/>
  <c r="H383" i="2"/>
  <c r="G391" i="2"/>
  <c r="G399" i="2"/>
  <c r="F407" i="2"/>
  <c r="D415" i="2"/>
  <c r="E423" i="2"/>
  <c r="E431" i="2"/>
  <c r="D439" i="2"/>
  <c r="G447" i="2"/>
  <c r="D471" i="2"/>
  <c r="K471" i="2"/>
  <c r="I471" i="2"/>
  <c r="E471" i="2"/>
  <c r="G495" i="2"/>
  <c r="J535" i="2"/>
  <c r="G575" i="2"/>
  <c r="H583" i="2"/>
  <c r="F583" i="2"/>
  <c r="D583" i="2"/>
  <c r="I583" i="2"/>
  <c r="G583" i="2"/>
  <c r="H15" i="2"/>
  <c r="D47" i="2"/>
  <c r="H63" i="2"/>
  <c r="D71" i="2"/>
  <c r="H87" i="2"/>
  <c r="D95" i="2"/>
  <c r="H111" i="2"/>
  <c r="D119" i="2"/>
  <c r="H135" i="2"/>
  <c r="D143" i="2"/>
  <c r="H159" i="2"/>
  <c r="D167" i="2"/>
  <c r="H183" i="2"/>
  <c r="D191" i="2"/>
  <c r="I207" i="2"/>
  <c r="E215" i="2"/>
  <c r="G239" i="2"/>
  <c r="I263" i="2"/>
  <c r="E271" i="2"/>
  <c r="G295" i="2"/>
  <c r="K351" i="2"/>
  <c r="I367" i="2"/>
  <c r="I375" i="2"/>
  <c r="J383" i="2"/>
  <c r="H399" i="2"/>
  <c r="G407" i="2"/>
  <c r="E415" i="2"/>
  <c r="F423" i="2"/>
  <c r="F431" i="2"/>
  <c r="E439" i="2"/>
  <c r="H447" i="2"/>
  <c r="H495" i="2"/>
  <c r="K535" i="2"/>
  <c r="D543" i="2"/>
  <c r="J543" i="2"/>
  <c r="I543" i="2"/>
  <c r="G543" i="2"/>
  <c r="E559" i="2"/>
  <c r="K575" i="2"/>
  <c r="J551" i="2"/>
  <c r="H551" i="2"/>
  <c r="E551" i="2"/>
  <c r="D551" i="2"/>
  <c r="I551" i="2"/>
  <c r="H391" i="2"/>
  <c r="F391" i="2"/>
  <c r="E39" i="2"/>
  <c r="E63" i="2"/>
  <c r="E87" i="2"/>
  <c r="D23" i="2"/>
  <c r="H39" i="2"/>
  <c r="J207" i="2"/>
  <c r="D247" i="2"/>
  <c r="F271" i="2"/>
  <c r="H295" i="2"/>
  <c r="E303" i="2"/>
  <c r="J367" i="2"/>
  <c r="J375" i="2"/>
  <c r="K383" i="2"/>
  <c r="J391" i="2"/>
  <c r="I399" i="2"/>
  <c r="F415" i="2"/>
  <c r="G423" i="2"/>
  <c r="G431" i="2"/>
  <c r="G439" i="2"/>
  <c r="I447" i="2"/>
  <c r="J495" i="2"/>
  <c r="J503" i="2"/>
  <c r="H503" i="2"/>
  <c r="E503" i="2"/>
  <c r="D503" i="2"/>
  <c r="I503" i="2"/>
  <c r="E519" i="2"/>
  <c r="J559" i="2"/>
  <c r="J623" i="2"/>
  <c r="H623" i="2"/>
  <c r="K487" i="2"/>
  <c r="G591" i="2"/>
  <c r="E631" i="2"/>
  <c r="F463" i="2"/>
  <c r="I591" i="2"/>
  <c r="D623" i="2"/>
  <c r="G631" i="2"/>
  <c r="J591" i="2"/>
  <c r="E623" i="2"/>
  <c r="I631" i="2"/>
  <c r="H607" i="2"/>
  <c r="F607" i="2"/>
  <c r="D607" i="2"/>
  <c r="E615" i="2"/>
  <c r="F623" i="2"/>
  <c r="J631" i="2"/>
  <c r="J599" i="2"/>
  <c r="H599" i="2"/>
  <c r="F615" i="2"/>
  <c r="G623" i="2"/>
  <c r="K463" i="2"/>
  <c r="G479" i="2"/>
  <c r="D487" i="2"/>
  <c r="G615" i="2"/>
  <c r="I623" i="2"/>
  <c r="E607" i="2"/>
  <c r="H615" i="2"/>
  <c r="K623" i="2"/>
  <c r="I479" i="2"/>
  <c r="F487" i="2"/>
  <c r="D599" i="2"/>
  <c r="G607" i="2"/>
  <c r="I615" i="2"/>
  <c r="G487" i="2"/>
  <c r="E599" i="2"/>
  <c r="I607" i="2"/>
  <c r="J615" i="2"/>
  <c r="H631" i="2"/>
  <c r="F631" i="2"/>
  <c r="D631" i="2"/>
  <c r="E95" i="2" l="1"/>
  <c r="I95" i="2"/>
  <c r="H95" i="2"/>
  <c r="G95" i="2"/>
  <c r="F95" i="2"/>
  <c r="I159" i="2"/>
  <c r="K159" i="2"/>
  <c r="J159" i="2"/>
  <c r="E151" i="2"/>
  <c r="D151" i="2"/>
  <c r="F215" i="2"/>
  <c r="K215" i="2"/>
  <c r="J215" i="2"/>
  <c r="I215" i="2"/>
  <c r="H215" i="2"/>
  <c r="G215" i="2"/>
  <c r="I431" i="2"/>
  <c r="K431" i="2"/>
  <c r="J431" i="2"/>
  <c r="I63" i="2"/>
  <c r="K63" i="2"/>
  <c r="J63" i="2"/>
  <c r="K199" i="2"/>
  <c r="G199" i="2"/>
  <c r="F199" i="2"/>
  <c r="E199" i="2"/>
  <c r="G207" i="2"/>
  <c r="K207" i="2"/>
  <c r="D591" i="2"/>
  <c r="K591" i="2"/>
  <c r="H591" i="2"/>
  <c r="F591" i="2"/>
  <c r="E591" i="2"/>
  <c r="I415" i="2"/>
  <c r="G415" i="2"/>
  <c r="J479" i="2"/>
  <c r="H479" i="2"/>
  <c r="F479" i="2"/>
  <c r="E479" i="2"/>
  <c r="G279" i="2"/>
  <c r="K279" i="2"/>
  <c r="J279" i="2"/>
  <c r="I279" i="2"/>
  <c r="H279" i="2"/>
  <c r="F279" i="2"/>
  <c r="I39" i="2"/>
  <c r="K39" i="2"/>
  <c r="J39" i="2"/>
  <c r="D479" i="2"/>
  <c r="D279" i="2"/>
  <c r="K391" i="2"/>
  <c r="J399" i="2"/>
  <c r="E279" i="2"/>
  <c r="H31" i="2"/>
  <c r="J87" i="2"/>
  <c r="I143" i="2"/>
  <c r="D335" i="2"/>
  <c r="I407" i="2"/>
  <c r="K87" i="2"/>
  <c r="J143" i="2"/>
  <c r="E335" i="2"/>
  <c r="J407" i="2"/>
  <c r="F335" i="2"/>
  <c r="K407" i="2"/>
  <c r="F167" i="2"/>
  <c r="I295" i="2"/>
  <c r="G335" i="2"/>
  <c r="I439" i="2"/>
  <c r="J111" i="2"/>
  <c r="G167" i="2"/>
  <c r="J295" i="2"/>
  <c r="H335" i="2"/>
  <c r="J439" i="2"/>
  <c r="K111" i="2"/>
  <c r="F119" i="2"/>
  <c r="H167" i="2"/>
  <c r="J335" i="2"/>
  <c r="D455" i="2"/>
  <c r="F599" i="2"/>
  <c r="F143" i="2"/>
  <c r="CC36" i="5" l="1"/>
  <c r="N90" i="2"/>
  <c r="AJ6" i="1"/>
  <c r="AH23" i="1"/>
  <c r="N95" i="2"/>
  <c r="AF42" i="1"/>
  <c r="AI44" i="1"/>
  <c r="BI29" i="5"/>
  <c r="N359" i="2"/>
  <c r="N545" i="2"/>
  <c r="N626" i="2"/>
  <c r="AF26" i="1"/>
  <c r="AG27" i="1"/>
  <c r="AQ53" i="1"/>
  <c r="N168" i="2"/>
  <c r="AH13" i="1"/>
  <c r="AE54" i="1"/>
  <c r="N343" i="2"/>
  <c r="AM71" i="1"/>
  <c r="N134" i="2"/>
  <c r="AK66" i="1"/>
  <c r="N566" i="2"/>
  <c r="N387" i="2"/>
  <c r="AL50" i="1"/>
  <c r="N292" i="2"/>
  <c r="AK12" i="1"/>
  <c r="AO37" i="1"/>
  <c r="N119" i="2"/>
  <c r="N45" i="2"/>
  <c r="AQ69" i="1"/>
  <c r="AQ29" i="5"/>
  <c r="AO29" i="5"/>
  <c r="AE20" i="1"/>
  <c r="AI29" i="1"/>
  <c r="AL69" i="1"/>
  <c r="AE78" i="1"/>
  <c r="AM58" i="1"/>
  <c r="AQ48" i="1"/>
  <c r="AL14" i="1"/>
  <c r="AN12" i="1"/>
  <c r="AH70" i="1"/>
  <c r="AI39" i="1"/>
  <c r="N199" i="2"/>
  <c r="AE45" i="1"/>
  <c r="AR18" i="1"/>
  <c r="AF81" i="1"/>
  <c r="AI76" i="1"/>
  <c r="AI24" i="1"/>
  <c r="AJ17" i="1"/>
  <c r="AN60" i="1"/>
  <c r="N490" i="2"/>
  <c r="AS23" i="1"/>
  <c r="BW30" i="5"/>
  <c r="AE60" i="1"/>
  <c r="N502" i="2"/>
  <c r="AN40" i="1"/>
  <c r="N442" i="2"/>
  <c r="AP84" i="1"/>
  <c r="AF60" i="1"/>
  <c r="AN25" i="1"/>
  <c r="AR83" i="1"/>
  <c r="AJ80" i="1"/>
  <c r="N482" i="2"/>
  <c r="G29" i="5"/>
  <c r="AE51" i="1"/>
  <c r="AI7" i="1"/>
  <c r="Q30" i="5"/>
  <c r="AN63" i="1"/>
  <c r="AL82" i="1"/>
  <c r="AE36" i="1"/>
  <c r="N228" i="2"/>
  <c r="N616" i="2"/>
  <c r="AF46" i="1"/>
  <c r="AE52" i="1"/>
  <c r="N174" i="2"/>
  <c r="AK80" i="1"/>
  <c r="AR74" i="1"/>
  <c r="N601" i="2"/>
  <c r="AH50" i="1"/>
  <c r="AH51" i="1"/>
  <c r="AF9" i="1"/>
  <c r="AJ64" i="1"/>
  <c r="BV30" i="5"/>
  <c r="AG45" i="1"/>
  <c r="AI67" i="1"/>
  <c r="AS83" i="1"/>
  <c r="N429" i="2"/>
  <c r="N488" i="2"/>
  <c r="AQ33" i="1"/>
  <c r="BS30" i="5"/>
  <c r="AN31" i="1"/>
  <c r="N247" i="2"/>
  <c r="AM47" i="1"/>
  <c r="AL19" i="1"/>
  <c r="AE67" i="1"/>
  <c r="CC33" i="5"/>
  <c r="N471" i="2"/>
  <c r="AI78" i="1"/>
  <c r="AP50" i="1"/>
  <c r="AH18" i="1"/>
  <c r="AE41" i="1"/>
  <c r="BE29" i="5"/>
  <c r="AQ74" i="1"/>
  <c r="N423" i="2"/>
  <c r="N245" i="2"/>
  <c r="N492" i="2"/>
  <c r="AP47" i="1"/>
  <c r="AJ9" i="1"/>
  <c r="N496" i="2"/>
  <c r="BE30" i="5"/>
  <c r="N243" i="2"/>
  <c r="N299" i="2"/>
  <c r="AN26" i="1"/>
  <c r="N181" i="2"/>
  <c r="AQ39" i="1"/>
  <c r="AN68" i="1"/>
  <c r="AG33" i="1"/>
  <c r="AX29" i="5"/>
  <c r="N475" i="2"/>
  <c r="AS52" i="1"/>
  <c r="N55" i="2"/>
  <c r="N49" i="2"/>
  <c r="N133" i="2"/>
  <c r="AL16" i="1"/>
  <c r="AO70" i="1"/>
  <c r="AQ22" i="1"/>
  <c r="AQ77" i="1"/>
  <c r="AE30" i="5"/>
  <c r="N194" i="2"/>
  <c r="N634" i="2"/>
  <c r="AF70" i="1"/>
  <c r="AM24" i="1"/>
  <c r="AF11" i="1"/>
  <c r="BK29" i="5"/>
  <c r="AG83" i="1"/>
  <c r="AE16" i="1"/>
  <c r="N33" i="2"/>
  <c r="AS64" i="1"/>
  <c r="N627" i="2"/>
  <c r="Z29" i="5"/>
  <c r="AS8" i="1"/>
  <c r="AM9" i="1"/>
  <c r="N235" i="2"/>
  <c r="AK24" i="1"/>
  <c r="CC34" i="5"/>
  <c r="AG80" i="1"/>
  <c r="AI58" i="1"/>
  <c r="N53" i="2"/>
  <c r="AS43" i="1"/>
  <c r="N473" i="2"/>
  <c r="AE35" i="1"/>
  <c r="AO49" i="1"/>
  <c r="AI32" i="1"/>
  <c r="N543" i="2"/>
  <c r="AO69" i="1"/>
  <c r="N567" i="2"/>
  <c r="N420" i="2"/>
  <c r="AG84" i="1"/>
  <c r="AE46" i="1"/>
  <c r="AL81" i="1"/>
  <c r="N127" i="2"/>
  <c r="N332" i="2"/>
  <c r="AJ30" i="1"/>
  <c r="AF56" i="1"/>
  <c r="AI62" i="1"/>
  <c r="AR22" i="1"/>
  <c r="AJ51" i="1"/>
  <c r="AJ31" i="1"/>
  <c r="AK51" i="1"/>
  <c r="AN15" i="1"/>
  <c r="N373" i="2"/>
  <c r="AQ18" i="1"/>
  <c r="AP39" i="1"/>
  <c r="N276" i="2"/>
  <c r="AE37" i="1"/>
  <c r="AM16" i="1"/>
  <c r="N438" i="2"/>
  <c r="AQ21" i="1"/>
  <c r="N623" i="2"/>
  <c r="AE84" i="1"/>
  <c r="AB30" i="5"/>
  <c r="AQ30" i="1"/>
  <c r="AK36" i="1"/>
  <c r="AM25" i="1"/>
  <c r="AJ22" i="1"/>
  <c r="N310" i="2"/>
  <c r="N56" i="2"/>
  <c r="H32" i="5" s="1"/>
  <c r="Y30" i="5"/>
  <c r="N418" i="2"/>
  <c r="BD29" i="5"/>
  <c r="N52" i="2"/>
  <c r="AE10" i="1"/>
  <c r="AP7" i="1"/>
  <c r="AZ30" i="5"/>
  <c r="N270" i="2"/>
  <c r="AR21" i="1"/>
  <c r="N30" i="5"/>
  <c r="AL36" i="1"/>
  <c r="AP51" i="1"/>
  <c r="AH31" i="1"/>
  <c r="AK57" i="1"/>
  <c r="AN32" i="1"/>
  <c r="AP29" i="1"/>
  <c r="N287" i="2"/>
  <c r="N395" i="2"/>
  <c r="AO40" i="1"/>
  <c r="BR30" i="5"/>
  <c r="AN39" i="1"/>
  <c r="N117" i="2"/>
  <c r="E29" i="5"/>
  <c r="AF72" i="1"/>
  <c r="AI57" i="1"/>
  <c r="AF38" i="1"/>
  <c r="AS29" i="1"/>
  <c r="AO27" i="1"/>
  <c r="AH25" i="1"/>
  <c r="N586" i="2"/>
  <c r="AN19" i="1"/>
  <c r="BZ30" i="5"/>
  <c r="AS9" i="1"/>
  <c r="AI27" i="1"/>
  <c r="AJ28" i="1"/>
  <c r="AK22" i="1"/>
  <c r="AK20" i="1"/>
  <c r="BF30" i="5"/>
  <c r="N370" i="2"/>
  <c r="AH74" i="1"/>
  <c r="AM82" i="1"/>
  <c r="AH63" i="1"/>
  <c r="AI9" i="1"/>
  <c r="AJ84" i="1"/>
  <c r="N411" i="2"/>
  <c r="BQ30" i="5"/>
  <c r="AO74" i="1"/>
  <c r="AN54" i="1"/>
  <c r="N200" i="2"/>
  <c r="AF29" i="1"/>
  <c r="AH16" i="1"/>
  <c r="N605" i="2"/>
  <c r="N29" i="5"/>
  <c r="AM75" i="1"/>
  <c r="BJ29" i="5"/>
  <c r="AG49" i="1"/>
  <c r="AG66" i="1"/>
  <c r="N130" i="2"/>
  <c r="N609" i="2"/>
  <c r="N38" i="2"/>
  <c r="BA29" i="5"/>
  <c r="AS51" i="1"/>
  <c r="AJ29" i="5"/>
  <c r="X30" i="5"/>
  <c r="AE42" i="1"/>
  <c r="N11" i="2"/>
  <c r="N603" i="2"/>
  <c r="AP46" i="1"/>
  <c r="N397" i="2"/>
  <c r="N537" i="2"/>
  <c r="L30" i="5"/>
  <c r="N504" i="2"/>
  <c r="AO82" i="1"/>
  <c r="BX30" i="5"/>
  <c r="N562" i="2"/>
  <c r="N399" i="2"/>
  <c r="AM35" i="1"/>
  <c r="AS31" i="1"/>
  <c r="AJ76" i="1"/>
  <c r="AE29" i="5"/>
  <c r="AC30" i="5"/>
  <c r="AQ71" i="1"/>
  <c r="AN57" i="1"/>
  <c r="AI79" i="1"/>
  <c r="AS77" i="1"/>
  <c r="CC31" i="5"/>
  <c r="AR77" i="1"/>
  <c r="AP53" i="1"/>
  <c r="N94" i="2"/>
  <c r="AL58" i="1"/>
  <c r="N614" i="2"/>
  <c r="AR39" i="1"/>
  <c r="N196" i="2"/>
  <c r="N437" i="2"/>
  <c r="AH36" i="1"/>
  <c r="N372" i="2"/>
  <c r="AE22" i="1"/>
  <c r="N463" i="2"/>
  <c r="AN69" i="1"/>
  <c r="AJ24" i="1"/>
  <c r="AE13" i="1"/>
  <c r="AG16" i="1"/>
  <c r="AL39" i="1"/>
  <c r="AQ19" i="1"/>
  <c r="N323" i="2"/>
  <c r="AM70" i="1"/>
  <c r="AL38" i="1"/>
  <c r="AP21" i="1"/>
  <c r="AP29" i="5"/>
  <c r="AS34" i="1"/>
  <c r="AM63" i="1"/>
  <c r="AN53" i="1"/>
  <c r="AR41" i="1"/>
  <c r="AR69" i="1"/>
  <c r="AR58" i="1"/>
  <c r="AK38" i="1"/>
  <c r="N409" i="2"/>
  <c r="N201" i="2"/>
  <c r="AR15" i="1"/>
  <c r="AS11" i="1"/>
  <c r="N121" i="2"/>
  <c r="AO80" i="1"/>
  <c r="AG20" i="1"/>
  <c r="N620" i="2"/>
  <c r="AO75" i="1"/>
  <c r="N189" i="2"/>
  <c r="AP69" i="1"/>
  <c r="N414" i="2"/>
  <c r="AL43" i="1"/>
  <c r="AI31" i="1"/>
  <c r="AO53" i="1"/>
  <c r="AL30" i="1"/>
  <c r="AL6" i="1"/>
  <c r="AR64" i="1"/>
  <c r="N143" i="2"/>
  <c r="AP52" i="1"/>
  <c r="AE80" i="1"/>
  <c r="AR78" i="1"/>
  <c r="AG38" i="1"/>
  <c r="AJ30" i="5"/>
  <c r="AS49" i="1"/>
  <c r="BS29" i="5"/>
  <c r="AL11" i="1"/>
  <c r="N184" i="2"/>
  <c r="AH68" i="1"/>
  <c r="N436" i="2"/>
  <c r="AH9" i="1"/>
  <c r="AF36" i="1"/>
  <c r="AG77" i="1"/>
  <c r="AO39" i="1"/>
  <c r="N240" i="2"/>
  <c r="AH26" i="1"/>
  <c r="N441" i="2"/>
  <c r="AH76" i="1"/>
  <c r="N239" i="2"/>
  <c r="AN65" i="1"/>
  <c r="N351" i="2"/>
  <c r="AK67" i="1"/>
  <c r="AO20" i="1"/>
  <c r="AO16" i="1"/>
  <c r="AU29" i="5"/>
  <c r="N29" i="2"/>
  <c r="AB29" i="5"/>
  <c r="AF23" i="1"/>
  <c r="AF12" i="1"/>
  <c r="N525" i="2"/>
  <c r="N171" i="2"/>
  <c r="AK26" i="1"/>
  <c r="AL68" i="1"/>
  <c r="AJ44" i="1"/>
  <c r="AO31" i="1"/>
  <c r="AE31" i="1"/>
  <c r="N365" i="2"/>
  <c r="N613" i="2"/>
  <c r="N462" i="2"/>
  <c r="AG76" i="1"/>
  <c r="AR13" i="1"/>
  <c r="CC39" i="5"/>
  <c r="AR67" i="1"/>
  <c r="AI63" i="1"/>
  <c r="AS82" i="1"/>
  <c r="AN83" i="1"/>
  <c r="N190" i="2"/>
  <c r="AH67" i="1"/>
  <c r="AR49" i="1"/>
  <c r="N327" i="2"/>
  <c r="AF16" i="1"/>
  <c r="N233" i="2"/>
  <c r="AQ85" i="1"/>
  <c r="AP41" i="1"/>
  <c r="AE32" i="1"/>
  <c r="AF17" i="1"/>
  <c r="AK6" i="1"/>
  <c r="AP48" i="1"/>
  <c r="AS70" i="1"/>
  <c r="AE66" i="1"/>
  <c r="AQ43" i="1"/>
  <c r="AP19" i="1"/>
  <c r="AF76" i="1"/>
  <c r="AR48" i="1"/>
  <c r="AS38" i="1"/>
  <c r="AN43" i="1"/>
  <c r="N198" i="2"/>
  <c r="N461" i="2"/>
  <c r="N16" i="2"/>
  <c r="AR65" i="1"/>
  <c r="AQ44" i="1"/>
  <c r="AF13" i="1"/>
  <c r="AF68" i="1"/>
  <c r="N503" i="2"/>
  <c r="N579" i="2"/>
  <c r="AI45" i="1"/>
  <c r="AR16" i="1"/>
  <c r="AR63" i="1"/>
  <c r="AQ38" i="1"/>
  <c r="N100" i="2"/>
  <c r="N526" i="2"/>
  <c r="N555" i="2"/>
  <c r="AH29" i="5"/>
  <c r="AM22" i="1"/>
  <c r="BJ30" i="5"/>
  <c r="G30" i="5"/>
  <c r="BH30" i="5"/>
  <c r="BP29" i="5"/>
  <c r="AR11" i="1"/>
  <c r="AQ54" i="1"/>
  <c r="AI60" i="1"/>
  <c r="AH79" i="1"/>
  <c r="N72" i="2"/>
  <c r="N107" i="2"/>
  <c r="AH41" i="1"/>
  <c r="AK33" i="1"/>
  <c r="AK54" i="1"/>
  <c r="N293" i="2"/>
  <c r="AF45" i="1"/>
  <c r="AF51" i="1"/>
  <c r="R30" i="5"/>
  <c r="AH72" i="1"/>
  <c r="AR30" i="5"/>
  <c r="N18" i="2"/>
  <c r="N544" i="2"/>
  <c r="AH73" i="1"/>
  <c r="AR7" i="1"/>
  <c r="N572" i="2"/>
  <c r="AQ67" i="1"/>
  <c r="N150" i="2"/>
  <c r="AS80" i="1"/>
  <c r="AI51" i="1"/>
  <c r="AG21" i="1"/>
  <c r="N432" i="2"/>
  <c r="AH57" i="1"/>
  <c r="AS17" i="1"/>
  <c r="BZ29" i="5"/>
  <c r="N85" i="2"/>
  <c r="K37" i="5" s="1"/>
  <c r="AP76" i="1"/>
  <c r="AK27" i="1"/>
  <c r="AI21" i="1"/>
  <c r="N183" i="2"/>
  <c r="N402" i="2"/>
  <c r="AM78" i="1"/>
  <c r="AJ34" i="1"/>
  <c r="N97" i="2"/>
  <c r="N246" i="2"/>
  <c r="AE61" i="1"/>
  <c r="AN30" i="5"/>
  <c r="AE82" i="1"/>
  <c r="N424" i="2"/>
  <c r="N538" i="2"/>
  <c r="AN22" i="1"/>
  <c r="AH21" i="1"/>
  <c r="AE79" i="1"/>
  <c r="T29" i="5"/>
  <c r="AO64" i="1"/>
  <c r="AQ31" i="1"/>
  <c r="AH8" i="1"/>
  <c r="N563" i="2"/>
  <c r="AE55" i="1"/>
  <c r="AR84" i="1"/>
  <c r="AL84" i="1"/>
  <c r="AD29" i="5"/>
  <c r="S29" i="5"/>
  <c r="N474" i="2"/>
  <c r="N434" i="2"/>
  <c r="AR14" i="1"/>
  <c r="AN72" i="1"/>
  <c r="I29" i="5"/>
  <c r="N215" i="2"/>
  <c r="N273" i="2"/>
  <c r="AR8" i="1"/>
  <c r="AL78" i="1"/>
  <c r="AR81" i="1"/>
  <c r="AE74" i="1"/>
  <c r="V29" i="5"/>
  <c r="AS56" i="1"/>
  <c r="N148" i="2"/>
  <c r="AE28" i="1"/>
  <c r="CC37" i="5"/>
  <c r="AP58" i="1"/>
  <c r="AE81" i="1"/>
  <c r="AR71" i="1"/>
  <c r="N232" i="2"/>
  <c r="N425" i="2"/>
  <c r="N237" i="2"/>
  <c r="AJ14" i="1"/>
  <c r="N326" i="2"/>
  <c r="N413" i="2"/>
  <c r="AR70" i="1"/>
  <c r="N302" i="2"/>
  <c r="AJ32" i="1"/>
  <c r="AH53" i="1"/>
  <c r="N489" i="2"/>
  <c r="N87" i="2"/>
  <c r="AF49" i="1"/>
  <c r="N477" i="2"/>
  <c r="AN45" i="1"/>
  <c r="AG74" i="1"/>
  <c r="N347" i="2"/>
  <c r="AR35" i="5" s="1"/>
  <c r="AH15" i="1"/>
  <c r="AK36" i="5"/>
  <c r="M29" i="5"/>
  <c r="N268" i="2"/>
  <c r="N187" i="2"/>
  <c r="N296" i="2"/>
  <c r="AI12" i="1"/>
  <c r="AQ15" i="1"/>
  <c r="AN30" i="1"/>
  <c r="AH14" i="1"/>
  <c r="AF63" i="1"/>
  <c r="AF67" i="1"/>
  <c r="N30" i="2"/>
  <c r="AK64" i="1"/>
  <c r="AR38" i="1"/>
  <c r="N630" i="2"/>
  <c r="AO81" i="1"/>
  <c r="N444" i="2"/>
  <c r="N451" i="2"/>
  <c r="AI26" i="1"/>
  <c r="AQ79" i="1"/>
  <c r="AG82" i="1"/>
  <c r="BT30" i="5"/>
  <c r="N304" i="2"/>
  <c r="N403" i="2"/>
  <c r="N602" i="2"/>
  <c r="AI15" i="1"/>
  <c r="AF55" i="1"/>
  <c r="AL29" i="1"/>
  <c r="AO50" i="1"/>
  <c r="AR29" i="5"/>
  <c r="AE30" i="1"/>
  <c r="N416" i="2"/>
  <c r="AJ13" i="1"/>
  <c r="AN51" i="1"/>
  <c r="N272" i="2"/>
  <c r="N220" i="2"/>
  <c r="AE59" i="1"/>
  <c r="BL29" i="5"/>
  <c r="AF27" i="1"/>
  <c r="AM59" i="1"/>
  <c r="AK16" i="1"/>
  <c r="AR73" i="1"/>
  <c r="AG29" i="1"/>
  <c r="AR40" i="1"/>
  <c r="AH75" i="1"/>
  <c r="AS32" i="1"/>
  <c r="AL12" i="1"/>
  <c r="AP35" i="1"/>
  <c r="AL47" i="1"/>
  <c r="N604" i="2"/>
  <c r="AF47" i="1"/>
  <c r="N558" i="2"/>
  <c r="N23" i="2"/>
  <c r="AR55" i="1"/>
  <c r="AJ39" i="1"/>
  <c r="N315" i="2"/>
  <c r="AN35" i="5" s="1"/>
  <c r="AJ66" i="1"/>
  <c r="AG53" i="1"/>
  <c r="AR29" i="1"/>
  <c r="AL20" i="1"/>
  <c r="AI47" i="1"/>
  <c r="BY29" i="5"/>
  <c r="N449" i="2"/>
  <c r="N167" i="2"/>
  <c r="N265" i="2"/>
  <c r="AS58" i="1"/>
  <c r="AG67" i="1"/>
  <c r="N578" i="2"/>
  <c r="AK23" i="1"/>
  <c r="AO55" i="1"/>
  <c r="AF82" i="1"/>
  <c r="N582" i="2"/>
  <c r="AJ77" i="1"/>
  <c r="AK62" i="1"/>
  <c r="AG71" i="1"/>
  <c r="AO52" i="1"/>
  <c r="AN37" i="1"/>
  <c r="AN62" i="1"/>
  <c r="AP40" i="1"/>
  <c r="AO30" i="5"/>
  <c r="AI20" i="1"/>
  <c r="AF8" i="1"/>
  <c r="N211" i="2"/>
  <c r="N511" i="2"/>
  <c r="AI6" i="1"/>
  <c r="AI42" i="1"/>
  <c r="N8" i="2"/>
  <c r="N59" i="2"/>
  <c r="AS60" i="1"/>
  <c r="N556" i="2"/>
  <c r="AS24" i="1"/>
  <c r="N260" i="2"/>
  <c r="AS46" i="1"/>
  <c r="N557" i="2"/>
  <c r="AS81" i="1"/>
  <c r="AN58" i="1"/>
  <c r="N282" i="2"/>
  <c r="N606" i="2"/>
  <c r="AL76" i="1"/>
  <c r="N301" i="2"/>
  <c r="N531" i="2"/>
  <c r="N452" i="2"/>
  <c r="N337" i="2"/>
  <c r="AN64" i="1"/>
  <c r="AG19" i="1"/>
  <c r="N257" i="2"/>
  <c r="AP43" i="1"/>
  <c r="AL40" i="1"/>
  <c r="AI29" i="5"/>
  <c r="N394" i="2"/>
  <c r="N385" i="2"/>
  <c r="AH46" i="1"/>
  <c r="N50" i="2"/>
  <c r="AM83" i="1"/>
  <c r="AS25" i="1"/>
  <c r="AP66" i="1"/>
  <c r="AL46" i="1"/>
  <c r="AO33" i="1"/>
  <c r="AN70" i="1"/>
  <c r="AK9" i="1"/>
  <c r="N159" i="2"/>
  <c r="AH48" i="1"/>
  <c r="AL10" i="1"/>
  <c r="AI71" i="1"/>
  <c r="N431" i="2"/>
  <c r="AM45" i="1"/>
  <c r="N446" i="2"/>
  <c r="N96" i="2"/>
  <c r="AJ75" i="1"/>
  <c r="AS26" i="1"/>
  <c r="AP17" i="1"/>
  <c r="AK55" i="1"/>
  <c r="AG44" i="1"/>
  <c r="N536" i="2"/>
  <c r="AP24" i="1"/>
  <c r="AG46" i="1"/>
  <c r="AI65" i="1"/>
  <c r="AO60" i="1"/>
  <c r="AM68" i="1"/>
  <c r="N421" i="2"/>
  <c r="AG31" i="1"/>
  <c r="AS84" i="1"/>
  <c r="BN29" i="5"/>
  <c r="N9" i="2"/>
  <c r="N219" i="2"/>
  <c r="AP45" i="1"/>
  <c r="AG65" i="1"/>
  <c r="AN66" i="1"/>
  <c r="AO36" i="1"/>
  <c r="AK32" i="1"/>
  <c r="Z31" i="5"/>
  <c r="AH24" i="1"/>
  <c r="N19" i="2"/>
  <c r="AQ11" i="1"/>
  <c r="AE24" i="1"/>
  <c r="AS63" i="1"/>
  <c r="AI43" i="1"/>
  <c r="N118" i="2"/>
  <c r="O38" i="5" s="1"/>
  <c r="AO42" i="1"/>
  <c r="N242" i="2"/>
  <c r="N218" i="2"/>
  <c r="CB30" i="5"/>
  <c r="N465" i="2"/>
  <c r="N412" i="2"/>
  <c r="AO63" i="1"/>
  <c r="N266" i="2"/>
  <c r="AE62" i="1"/>
  <c r="AH42" i="1"/>
  <c r="H29" i="5"/>
  <c r="N560" i="2"/>
  <c r="AN8" i="1"/>
  <c r="AG55" i="1"/>
  <c r="N26" i="2"/>
  <c r="AI72" i="1"/>
  <c r="AM20" i="1"/>
  <c r="N380" i="2"/>
  <c r="AH45" i="1"/>
  <c r="AQ8" i="1"/>
  <c r="AE76" i="1"/>
  <c r="N197" i="2"/>
  <c r="CC35" i="5"/>
  <c r="N226" i="2"/>
  <c r="AR50" i="1"/>
  <c r="AS21" i="1"/>
  <c r="AG36" i="1"/>
  <c r="AG42" i="1"/>
  <c r="N453" i="2"/>
  <c r="AK75" i="1"/>
  <c r="AR42" i="1"/>
  <c r="AQ64" i="1"/>
  <c r="AQ76" i="1"/>
  <c r="AO57" i="1"/>
  <c r="AI37" i="1"/>
  <c r="AN33" i="1"/>
  <c r="AG73" i="1"/>
  <c r="AO85" i="1"/>
  <c r="AK42" i="1"/>
  <c r="AN29" i="1"/>
  <c r="AE48" i="1"/>
  <c r="AO77" i="1"/>
  <c r="AL29" i="5"/>
  <c r="N515" i="2"/>
  <c r="AQ34" i="1"/>
  <c r="AM73" i="1"/>
  <c r="N529" i="2"/>
  <c r="N497" i="2"/>
  <c r="N547" i="2"/>
  <c r="AJ61" i="1"/>
  <c r="AG41" i="1"/>
  <c r="AP16" i="1"/>
  <c r="AS40" i="1"/>
  <c r="AF69" i="1"/>
  <c r="N550" i="2"/>
  <c r="AP14" i="1"/>
  <c r="N98" i="2"/>
  <c r="AK68" i="1"/>
  <c r="N89" i="2"/>
  <c r="AE49" i="1"/>
  <c r="AQ68" i="1"/>
  <c r="N22" i="2"/>
  <c r="AR17" i="1"/>
  <c r="N102" i="2"/>
  <c r="N401" i="2"/>
  <c r="AI59" i="1"/>
  <c r="N591" i="2"/>
  <c r="AT29" i="5"/>
  <c r="N13" i="2"/>
  <c r="AI50" i="1"/>
  <c r="AH54" i="1"/>
  <c r="N524" i="2"/>
  <c r="N144" i="2"/>
  <c r="AF52" i="1"/>
  <c r="AK30" i="5"/>
  <c r="AR80" i="1"/>
  <c r="AQ6" i="1"/>
  <c r="AQ80" i="1"/>
  <c r="AL18" i="1"/>
  <c r="AS15" i="1"/>
  <c r="Y29" i="5"/>
  <c r="AN47" i="1"/>
  <c r="AR57" i="1"/>
  <c r="AG14" i="1"/>
  <c r="AI77" i="1"/>
  <c r="AP44" i="1"/>
  <c r="AR47" i="1"/>
  <c r="AH29" i="1"/>
  <c r="N355" i="2"/>
  <c r="AR37" i="1"/>
  <c r="AH10" i="1"/>
  <c r="AG51" i="1"/>
  <c r="AM72" i="1"/>
  <c r="CA29" i="5"/>
  <c r="AH77" i="1"/>
  <c r="AF84" i="1"/>
  <c r="AQ14" i="1"/>
  <c r="AS76" i="1"/>
  <c r="AM15" i="1"/>
  <c r="AF15" i="1"/>
  <c r="AN11" i="1"/>
  <c r="AQ72" i="1"/>
  <c r="AL73" i="1"/>
  <c r="AG68" i="1"/>
  <c r="M30" i="5"/>
  <c r="N585" i="2"/>
  <c r="AI19" i="1"/>
  <c r="AF31" i="1"/>
  <c r="N587" i="2"/>
  <c r="AQ61" i="1"/>
  <c r="AO34" i="1"/>
  <c r="AJ16" i="1"/>
  <c r="AM66" i="1"/>
  <c r="N445" i="2"/>
  <c r="N467" i="2"/>
  <c r="N341" i="2"/>
  <c r="AQ37" i="5" s="1"/>
  <c r="N430" i="2"/>
  <c r="AJ81" i="1"/>
  <c r="N520" i="2"/>
  <c r="AS66" i="1"/>
  <c r="AS27" i="1"/>
  <c r="AS37" i="1"/>
  <c r="N383" i="2"/>
  <c r="AE65" i="1"/>
  <c r="N346" i="2"/>
  <c r="N297" i="2"/>
  <c r="AG50" i="1"/>
  <c r="AH55" i="1"/>
  <c r="N592" i="2"/>
  <c r="AK69" i="1"/>
  <c r="N223" i="2"/>
  <c r="AL41" i="1"/>
  <c r="AM19" i="1"/>
  <c r="BN36" i="5"/>
  <c r="N329" i="2"/>
  <c r="AO67" i="1"/>
  <c r="N571" i="2"/>
  <c r="AE9" i="1"/>
  <c r="N610" i="2"/>
  <c r="AI30" i="1"/>
  <c r="AG79" i="1"/>
  <c r="N108" i="2"/>
  <c r="N277" i="2"/>
  <c r="AG54" i="1"/>
  <c r="AM53" i="1"/>
  <c r="AQ75" i="1"/>
  <c r="AN49" i="1"/>
  <c r="N213" i="2"/>
  <c r="N253" i="2"/>
  <c r="AJ70" i="1"/>
  <c r="AX30" i="5"/>
  <c r="N574" i="2"/>
  <c r="AL66" i="1"/>
  <c r="AS85" i="1"/>
  <c r="AS42" i="1"/>
  <c r="AI14" i="1"/>
  <c r="N516" i="2"/>
  <c r="AQ65" i="1"/>
  <c r="AM57" i="1"/>
  <c r="AH58" i="1"/>
  <c r="AI28" i="1"/>
  <c r="AR61" i="1"/>
  <c r="AE17" i="1"/>
  <c r="N116" i="2"/>
  <c r="N454" i="2"/>
  <c r="BB30" i="5"/>
  <c r="N565" i="2"/>
  <c r="AN61" i="1"/>
  <c r="AG81" i="1"/>
  <c r="W29" i="5"/>
  <c r="BB29" i="5"/>
  <c r="AS13" i="1"/>
  <c r="AO84" i="1"/>
  <c r="AG39" i="1"/>
  <c r="AE18" i="1"/>
  <c r="AM6" i="1"/>
  <c r="AE12" i="1"/>
  <c r="AO19" i="1"/>
  <c r="AH65" i="1"/>
  <c r="N483" i="2"/>
  <c r="AM48" i="1"/>
  <c r="AF58" i="1"/>
  <c r="AJ55" i="1"/>
  <c r="AP74" i="1"/>
  <c r="N256" i="2"/>
  <c r="N258" i="2"/>
  <c r="AR56" i="1"/>
  <c r="AK61" i="1"/>
  <c r="BY30" i="5"/>
  <c r="AS35" i="1"/>
  <c r="AL63" i="1"/>
  <c r="AR26" i="1"/>
  <c r="CC32" i="5"/>
  <c r="AM8" i="1"/>
  <c r="AN80" i="1"/>
  <c r="AL61" i="1"/>
  <c r="AZ29" i="5"/>
  <c r="N311" i="2"/>
  <c r="AF44" i="1"/>
  <c r="N342" i="2"/>
  <c r="N156" i="2"/>
  <c r="AS22" i="1"/>
  <c r="AL80" i="1"/>
  <c r="AJ56" i="1"/>
  <c r="AG69" i="1"/>
  <c r="CC30" i="5"/>
  <c r="N207" i="2"/>
  <c r="AS67" i="1"/>
  <c r="AH11" i="1"/>
  <c r="AL77" i="1"/>
  <c r="N175" i="2"/>
  <c r="AK47" i="1"/>
  <c r="AO29" i="1"/>
  <c r="N92" i="2"/>
  <c r="AN44" i="1"/>
  <c r="H30" i="5"/>
  <c r="AH44" i="1"/>
  <c r="AO9" i="1"/>
  <c r="AQ28" i="1"/>
  <c r="AS75" i="1"/>
  <c r="AO54" i="1"/>
  <c r="AK21" i="1"/>
  <c r="AL54" i="1"/>
  <c r="AO46" i="1"/>
  <c r="AD30" i="5"/>
  <c r="AJ23" i="1"/>
  <c r="AR79" i="1"/>
  <c r="N621" i="2"/>
  <c r="AO8" i="1"/>
  <c r="AM62" i="1"/>
  <c r="AR28" i="1"/>
  <c r="AM41" i="1"/>
  <c r="AG56" i="1"/>
  <c r="AF29" i="5"/>
  <c r="AO73" i="1"/>
  <c r="AJ41" i="1"/>
  <c r="AR46" i="1"/>
  <c r="AQ37" i="1"/>
  <c r="D29" i="5"/>
  <c r="AS62" i="1"/>
  <c r="AP33" i="1"/>
  <c r="AI82" i="1"/>
  <c r="BT29" i="5"/>
  <c r="AK43" i="1"/>
  <c r="AP30" i="1"/>
  <c r="AP64" i="1"/>
  <c r="AH40" i="1"/>
  <c r="AL65" i="1"/>
  <c r="N151" i="2"/>
  <c r="AF30" i="1"/>
  <c r="N398" i="2"/>
  <c r="AQ36" i="1"/>
  <c r="AL7" i="1"/>
  <c r="AM42" i="1"/>
  <c r="AF71" i="1"/>
  <c r="AJ38" i="1"/>
  <c r="AS16" i="1"/>
  <c r="AI49" i="1"/>
  <c r="N408" i="2"/>
  <c r="N371" i="2"/>
  <c r="AY29" i="5"/>
  <c r="AN73" i="1"/>
  <c r="AH38" i="1"/>
  <c r="AJ65" i="1"/>
  <c r="AO45" i="1"/>
  <c r="N443" i="2"/>
  <c r="AQ27" i="1"/>
  <c r="AA30" i="5"/>
  <c r="AI70" i="1"/>
  <c r="N599" i="2"/>
  <c r="N581" i="2"/>
  <c r="AQ45" i="1"/>
  <c r="AR85" i="1"/>
  <c r="N15" i="2"/>
  <c r="AE25" i="1"/>
  <c r="AM32" i="1"/>
  <c r="AS47" i="1"/>
  <c r="AK58" i="1"/>
  <c r="AM46" i="1"/>
  <c r="AP72" i="1"/>
  <c r="N41" i="2"/>
  <c r="AR54" i="1"/>
  <c r="AK46" i="1"/>
  <c r="AO78" i="1"/>
  <c r="AF83" i="1"/>
  <c r="AF73" i="1"/>
  <c r="BI30" i="5"/>
  <c r="AI30" i="5"/>
  <c r="AP57" i="1"/>
  <c r="N458" i="2"/>
  <c r="N362" i="2"/>
  <c r="AG59" i="1"/>
  <c r="AS39" i="1"/>
  <c r="AO44" i="1"/>
  <c r="AF32" i="1"/>
  <c r="AO25" i="1"/>
  <c r="AK74" i="1"/>
  <c r="N248" i="2"/>
  <c r="AR10" i="1"/>
  <c r="N528" i="2"/>
  <c r="AP54" i="1"/>
  <c r="BC31" i="5"/>
  <c r="AP73" i="1"/>
  <c r="AO12" i="1"/>
  <c r="AO72" i="1"/>
  <c r="AC29" i="5"/>
  <c r="N527" i="2"/>
  <c r="AR43" i="1"/>
  <c r="AL31" i="1"/>
  <c r="N135" i="2"/>
  <c r="AI22" i="1"/>
  <c r="AN17" i="1"/>
  <c r="AQ25" i="1"/>
  <c r="AR45" i="1"/>
  <c r="AG57" i="1"/>
  <c r="N161" i="2"/>
  <c r="AN20" i="1"/>
  <c r="N205" i="2"/>
  <c r="AQ57" i="1"/>
  <c r="AM67" i="1"/>
  <c r="AJ42" i="1"/>
  <c r="AH47" i="1"/>
  <c r="AQ29" i="1"/>
  <c r="AI85" i="1"/>
  <c r="N236" i="2"/>
  <c r="AG11" i="1"/>
  <c r="AP79" i="1"/>
  <c r="AL74" i="1"/>
  <c r="N580" i="2"/>
  <c r="N501" i="2"/>
  <c r="L29" i="5"/>
  <c r="AP60" i="1"/>
  <c r="AE85" i="1"/>
  <c r="AL64" i="1"/>
  <c r="AJ46" i="1"/>
  <c r="AL13" i="1"/>
  <c r="AG8" i="1"/>
  <c r="AJ12" i="1"/>
  <c r="AI17" i="1"/>
  <c r="AN50" i="1"/>
  <c r="N447" i="2"/>
  <c r="N241" i="2"/>
  <c r="I30" i="5"/>
  <c r="AI69" i="1"/>
  <c r="AM36" i="1"/>
  <c r="CB29" i="5"/>
  <c r="AF33" i="1"/>
  <c r="AK85" i="1"/>
  <c r="N617" i="2"/>
  <c r="N367" i="2"/>
  <c r="N339" i="2"/>
  <c r="AO47" i="1"/>
  <c r="AH84" i="1"/>
  <c r="N114" i="2"/>
  <c r="E30" i="5"/>
  <c r="AH20" i="1"/>
  <c r="AH28" i="1"/>
  <c r="N295" i="2"/>
  <c r="AR75" i="1"/>
  <c r="AT30" i="5"/>
  <c r="AN71" i="1"/>
  <c r="AE33" i="1"/>
  <c r="N498" i="2"/>
  <c r="AP82" i="1"/>
  <c r="AQ16" i="1"/>
  <c r="AK78" i="1"/>
  <c r="AN29" i="5"/>
  <c r="N65" i="2"/>
  <c r="AO14" i="1"/>
  <c r="AN42" i="1"/>
  <c r="AE44" i="1"/>
  <c r="N54" i="2"/>
  <c r="AQ51" i="1"/>
  <c r="AI64" i="1"/>
  <c r="AP75" i="1"/>
  <c r="AE50" i="1"/>
  <c r="AP85" i="1"/>
  <c r="AS41" i="1"/>
  <c r="AG47" i="1"/>
  <c r="AM38" i="1"/>
  <c r="BO30" i="5"/>
  <c r="AL37" i="1"/>
  <c r="AG28" i="1"/>
  <c r="AS79" i="1"/>
  <c r="Q31" i="5"/>
  <c r="AF39" i="1"/>
  <c r="N428" i="2"/>
  <c r="AM55" i="1"/>
  <c r="AQ63" i="1"/>
  <c r="AH83" i="1"/>
  <c r="BX29" i="5"/>
  <c r="AL42" i="1"/>
  <c r="N615" i="2"/>
  <c r="N500" i="2"/>
  <c r="AJ53" i="1"/>
  <c r="N384" i="2"/>
  <c r="BO29" i="5"/>
  <c r="AS30" i="5"/>
  <c r="AK71" i="1"/>
  <c r="N313" i="2"/>
  <c r="N173" i="2"/>
  <c r="N559" i="2"/>
  <c r="AE38" i="1"/>
  <c r="N177" i="2"/>
  <c r="N427" i="2"/>
  <c r="AE19" i="1"/>
  <c r="AG25" i="1"/>
  <c r="N279" i="2"/>
  <c r="AE77" i="1"/>
  <c r="N505" i="2"/>
  <c r="N83" i="2"/>
  <c r="N154" i="2"/>
  <c r="AM21" i="1"/>
  <c r="AL21" i="1"/>
  <c r="AY35" i="5"/>
  <c r="N344" i="2"/>
  <c r="N595" i="2"/>
  <c r="AS72" i="1"/>
  <c r="N356" i="2"/>
  <c r="AK35" i="1"/>
  <c r="AE26" i="1"/>
  <c r="V30" i="5"/>
  <c r="N551" i="2"/>
  <c r="AH59" i="1"/>
  <c r="N433" i="2"/>
  <c r="AL62" i="1"/>
  <c r="AJ72" i="1"/>
  <c r="AM40" i="1"/>
  <c r="AK52" i="1"/>
  <c r="AS57" i="1"/>
  <c r="AG72" i="1"/>
  <c r="N340" i="2"/>
  <c r="AH80" i="1"/>
  <c r="N307" i="2"/>
  <c r="N281" i="2"/>
  <c r="AE29" i="1"/>
  <c r="N576" i="2"/>
  <c r="AN85" i="1"/>
  <c r="AM79" i="1"/>
  <c r="AM37" i="1"/>
  <c r="AM49" i="1"/>
  <c r="N78" i="2"/>
  <c r="AQ60" i="1"/>
  <c r="AP49" i="1"/>
  <c r="AH62" i="1"/>
  <c r="AI38" i="1"/>
  <c r="AL52" i="1"/>
  <c r="AP30" i="5"/>
  <c r="AP38" i="1"/>
  <c r="N382" i="2"/>
  <c r="N624" i="2"/>
  <c r="AG40" i="1"/>
  <c r="AM10" i="1"/>
  <c r="AE73" i="1"/>
  <c r="N216" i="2"/>
  <c r="AR82" i="1"/>
  <c r="AJ8" i="1"/>
  <c r="AM26" i="1"/>
  <c r="AP32" i="1"/>
  <c r="N514" i="2"/>
  <c r="BH29" i="5"/>
  <c r="N553" i="2"/>
  <c r="BR33" i="5" s="1"/>
  <c r="AY30" i="5"/>
  <c r="N364" i="2"/>
  <c r="AL57" i="1"/>
  <c r="CC29" i="5"/>
  <c r="AK29" i="5"/>
  <c r="AH60" i="1"/>
  <c r="N628" i="2"/>
  <c r="AQ81" i="1"/>
  <c r="N234" i="2"/>
  <c r="AI73" i="1"/>
  <c r="AP27" i="1"/>
  <c r="AF30" i="5"/>
  <c r="AE69" i="1"/>
  <c r="AJ83" i="1"/>
  <c r="AF37" i="1"/>
  <c r="AQ55" i="1"/>
  <c r="AQ58" i="1"/>
  <c r="AL33" i="1"/>
  <c r="AS59" i="1"/>
  <c r="AN78" i="1"/>
  <c r="N633" i="2"/>
  <c r="CB33" i="5" s="1"/>
  <c r="AH17" i="1"/>
  <c r="N291" i="2"/>
  <c r="AQ13" i="1"/>
  <c r="AE11" i="1"/>
  <c r="AG9" i="1"/>
  <c r="AJ62" i="1"/>
  <c r="N75" i="2"/>
  <c r="AN79" i="1"/>
  <c r="AH12" i="1"/>
  <c r="N7" i="2"/>
  <c r="AM30" i="1"/>
  <c r="N312" i="2"/>
  <c r="AO65" i="1"/>
  <c r="AE68" i="1"/>
  <c r="AO59" i="1"/>
  <c r="AN46" i="1"/>
  <c r="AJ45" i="1"/>
  <c r="AO56" i="1"/>
  <c r="AJ67" i="1"/>
  <c r="N336" i="2"/>
  <c r="AL32" i="1"/>
  <c r="AS20" i="1"/>
  <c r="AL27" i="1"/>
  <c r="N166" i="2"/>
  <c r="AG6" i="1"/>
  <c r="N363" i="2"/>
  <c r="AK82" i="1"/>
  <c r="AO83" i="1"/>
  <c r="N160" i="2"/>
  <c r="AG15" i="1"/>
  <c r="AS19" i="1"/>
  <c r="AN74" i="1"/>
  <c r="AO7" i="1"/>
  <c r="AF21" i="1"/>
  <c r="AN18" i="1"/>
  <c r="AJ68" i="1"/>
  <c r="N330" i="2"/>
  <c r="AG60" i="1"/>
  <c r="AN35" i="1"/>
  <c r="AE7" i="1"/>
  <c r="AO68" i="1"/>
  <c r="N255" i="2"/>
  <c r="AG48" i="1"/>
  <c r="AJ29" i="1"/>
  <c r="AN6" i="1"/>
  <c r="BG30" i="5"/>
  <c r="BL33" i="5"/>
  <c r="N142" i="2"/>
  <c r="N426" i="2"/>
  <c r="AN14" i="1"/>
  <c r="AH39" i="1"/>
  <c r="AR33" i="1"/>
  <c r="AO6" i="1"/>
  <c r="N155" i="2"/>
  <c r="BD35" i="5"/>
  <c r="N405" i="2"/>
  <c r="AY37" i="5" s="1"/>
  <c r="AJ15" i="1"/>
  <c r="AR30" i="1"/>
  <c r="O29" i="5"/>
  <c r="AQ52" i="1"/>
  <c r="BU32" i="5"/>
  <c r="BE33" i="5"/>
  <c r="AQ49" i="1"/>
  <c r="N48" i="2"/>
  <c r="AI80" i="1"/>
  <c r="AS78" i="1"/>
  <c r="AQ35" i="1"/>
  <c r="N275" i="2"/>
  <c r="N389" i="2"/>
  <c r="N569" i="2"/>
  <c r="AK15" i="1"/>
  <c r="AL48" i="1"/>
  <c r="N546" i="2"/>
  <c r="N36" i="2"/>
  <c r="N448" i="2"/>
  <c r="N12" i="2"/>
  <c r="N137" i="2"/>
  <c r="B35" i="5"/>
  <c r="AK30" i="1"/>
  <c r="BH33" i="5"/>
  <c r="N280" i="2"/>
  <c r="AR76" i="1"/>
  <c r="BB32" i="5"/>
  <c r="AM34" i="1"/>
  <c r="AQ66" i="1"/>
  <c r="AQ40" i="1"/>
  <c r="AH6" i="1"/>
  <c r="AG10" i="1"/>
  <c r="BH34" i="5"/>
  <c r="AI33" i="5"/>
  <c r="B36" i="5"/>
  <c r="AF19" i="1"/>
  <c r="CA32" i="5"/>
  <c r="AH64" i="1"/>
  <c r="N209" i="2"/>
  <c r="AM81" i="1"/>
  <c r="AW37" i="5"/>
  <c r="AE71" i="1"/>
  <c r="D34" i="5"/>
  <c r="AF80" i="1"/>
  <c r="AI13" i="1"/>
  <c r="N176" i="2"/>
  <c r="AO76" i="1"/>
  <c r="W30" i="5"/>
  <c r="AK40" i="1"/>
  <c r="AJ18" i="1"/>
  <c r="AJ73" i="1"/>
  <c r="AF57" i="1"/>
  <c r="N99" i="2"/>
  <c r="U29" i="5"/>
  <c r="N163" i="2"/>
  <c r="AO26" i="1"/>
  <c r="N450" i="2"/>
  <c r="AH71" i="1"/>
  <c r="AS71" i="1"/>
  <c r="N76" i="2"/>
  <c r="AG34" i="5"/>
  <c r="N618" i="2"/>
  <c r="M33" i="5"/>
  <c r="BL30" i="5"/>
  <c r="AI35" i="1"/>
  <c r="BR29" i="5"/>
  <c r="AI41" i="1"/>
  <c r="BY33" i="5"/>
  <c r="BY38" i="5"/>
  <c r="N203" i="2"/>
  <c r="AO62" i="1"/>
  <c r="AM31" i="1"/>
  <c r="N305" i="2"/>
  <c r="N39" i="2"/>
  <c r="AN34" i="1"/>
  <c r="N306" i="2"/>
  <c r="BU37" i="5"/>
  <c r="E38" i="5"/>
  <c r="BR35" i="5"/>
  <c r="O36" i="5"/>
  <c r="N77" i="2"/>
  <c r="M38" i="5"/>
  <c r="N106" i="2"/>
  <c r="AQ10" i="1"/>
  <c r="AJ31" i="5"/>
  <c r="X38" i="5"/>
  <c r="N570" i="2"/>
  <c r="X37" i="5"/>
  <c r="AJ40" i="1"/>
  <c r="AN31" i="5"/>
  <c r="AV36" i="5"/>
  <c r="BP34" i="5"/>
  <c r="BS38" i="5"/>
  <c r="BC33" i="5"/>
  <c r="AM11" i="1"/>
  <c r="N251" i="2"/>
  <c r="N415" i="2"/>
  <c r="M36" i="5"/>
  <c r="AH49" i="1"/>
  <c r="BP32" i="5"/>
  <c r="AA37" i="5"/>
  <c r="N169" i="2"/>
  <c r="BS31" i="5"/>
  <c r="T31" i="5"/>
  <c r="N457" i="2"/>
  <c r="BC34" i="5"/>
  <c r="AM64" i="1"/>
  <c r="N369" i="2"/>
  <c r="AO13" i="1"/>
  <c r="BO35" i="5"/>
  <c r="AF37" i="5"/>
  <c r="BL32" i="5"/>
  <c r="AP67" i="1"/>
  <c r="AP11" i="1"/>
  <c r="AJ20" i="1"/>
  <c r="N42" i="2"/>
  <c r="AN81" i="1"/>
  <c r="N357" i="2"/>
  <c r="BX35" i="5"/>
  <c r="H35" i="5"/>
  <c r="S36" i="5"/>
  <c r="BA32" i="5"/>
  <c r="AP8" i="1"/>
  <c r="N619" i="2"/>
  <c r="AK37" i="1"/>
  <c r="AJ37" i="1"/>
  <c r="AO28" i="1"/>
  <c r="AS53" i="1"/>
  <c r="AQ82" i="1"/>
  <c r="AK31" i="1"/>
  <c r="AK11" i="1"/>
  <c r="AN41" i="1"/>
  <c r="N584" i="2"/>
  <c r="N549" i="2"/>
  <c r="AL38" i="5"/>
  <c r="CA30" i="5"/>
  <c r="AJ34" i="5"/>
  <c r="N250" i="2"/>
  <c r="AF34" i="5" s="1"/>
  <c r="BT31" i="5"/>
  <c r="AE34" i="5"/>
  <c r="BW31" i="5"/>
  <c r="L38" i="5"/>
  <c r="AN52" i="1"/>
  <c r="N71" i="2"/>
  <c r="N491" i="2"/>
  <c r="AJ78" i="1"/>
  <c r="AR34" i="5"/>
  <c r="AU35" i="5"/>
  <c r="AQ46" i="1"/>
  <c r="AJ63" i="1"/>
  <c r="N455" i="2"/>
  <c r="AG23" i="1"/>
  <c r="N460" i="2"/>
  <c r="N86" i="2"/>
  <c r="N406" i="2"/>
  <c r="AJ26" i="1"/>
  <c r="N20" i="2"/>
  <c r="AK56" i="1"/>
  <c r="AR59" i="1"/>
  <c r="AJ48" i="1"/>
  <c r="N548" i="2"/>
  <c r="N419" i="2"/>
  <c r="AH30" i="5"/>
  <c r="N61" i="2"/>
  <c r="AF79" i="1"/>
  <c r="AJ82" i="1"/>
  <c r="N131" i="2"/>
  <c r="Q35" i="5" s="1"/>
  <c r="AP61" i="1"/>
  <c r="AH85" i="1"/>
  <c r="AI33" i="1"/>
  <c r="N417" i="2"/>
  <c r="AM33" i="1"/>
  <c r="AR36" i="1"/>
  <c r="BC32" i="5"/>
  <c r="N136" i="2"/>
  <c r="P31" i="5"/>
  <c r="AO61" i="1"/>
  <c r="AH33" i="1"/>
  <c r="AO48" i="1"/>
  <c r="AO66" i="1"/>
  <c r="N338" i="2"/>
  <c r="BA34" i="5"/>
  <c r="AT37" i="5"/>
  <c r="D31" i="5"/>
  <c r="AF59" i="1"/>
  <c r="BA30" i="5"/>
  <c r="AO17" i="1"/>
  <c r="K29" i="5"/>
  <c r="AF61" i="1"/>
  <c r="N104" i="2"/>
  <c r="N126" i="2"/>
  <c r="AL23" i="1"/>
  <c r="AC36" i="5"/>
  <c r="AN48" i="1"/>
  <c r="AM13" i="1"/>
  <c r="N376" i="2"/>
  <c r="N132" i="2"/>
  <c r="N139" i="2"/>
  <c r="AE38" i="5"/>
  <c r="BA37" i="5"/>
  <c r="AJ71" i="1"/>
  <c r="N597" i="2"/>
  <c r="N349" i="2"/>
  <c r="BP33" i="5"/>
  <c r="AJ10" i="1"/>
  <c r="N596" i="2"/>
  <c r="AR27" i="1"/>
  <c r="N573" i="2"/>
  <c r="AM12" i="1"/>
  <c r="N224" i="2"/>
  <c r="N74" i="2"/>
  <c r="AN55" i="1"/>
  <c r="AN38" i="1"/>
  <c r="V38" i="5"/>
  <c r="BH35" i="5"/>
  <c r="AF10" i="1"/>
  <c r="AI53" i="1"/>
  <c r="U33" i="5"/>
  <c r="N391" i="2"/>
  <c r="B30" i="5"/>
  <c r="AL34" i="1"/>
  <c r="AJ79" i="1"/>
  <c r="P33" i="5"/>
  <c r="N456" i="2"/>
  <c r="AK25" i="1"/>
  <c r="AU31" i="5"/>
  <c r="AS65" i="1"/>
  <c r="AF35" i="1"/>
  <c r="AF7" i="1"/>
  <c r="AH7" i="1"/>
  <c r="BX37" i="5"/>
  <c r="N629" i="2"/>
  <c r="AL35" i="5"/>
  <c r="AI48" i="1"/>
  <c r="AJ7" i="1"/>
  <c r="N105" i="2"/>
  <c r="N230" i="2"/>
  <c r="AS12" i="1"/>
  <c r="N264" i="2"/>
  <c r="AF85" i="1"/>
  <c r="N25" i="2"/>
  <c r="D30" i="5"/>
  <c r="N361" i="2"/>
  <c r="AW29" i="5"/>
  <c r="BG33" i="5"/>
  <c r="AQ17" i="1"/>
  <c r="AG62" i="1"/>
  <c r="G37" i="5"/>
  <c r="N637" i="2"/>
  <c r="AK84" i="1"/>
  <c r="BI35" i="5"/>
  <c r="N622" i="2"/>
  <c r="N333" i="2"/>
  <c r="AK72" i="1"/>
  <c r="AS28" i="1"/>
  <c r="N517" i="2"/>
  <c r="AP65" i="1"/>
  <c r="N331" i="2"/>
  <c r="S30" i="5"/>
  <c r="N324" i="2"/>
  <c r="N518" i="2"/>
  <c r="N43" i="2"/>
  <c r="N60" i="2"/>
  <c r="AH34" i="5"/>
  <c r="AM44" i="1"/>
  <c r="AS54" i="1"/>
  <c r="Z30" i="5"/>
  <c r="AO51" i="1"/>
  <c r="CC38" i="5"/>
  <c r="AL79" i="1"/>
  <c r="N360" i="2"/>
  <c r="AT32" i="5" s="1"/>
  <c r="BK30" i="5"/>
  <c r="AI61" i="1"/>
  <c r="N66" i="2"/>
  <c r="N440" i="2"/>
  <c r="CA36" i="5"/>
  <c r="BI34" i="5"/>
  <c r="AS50" i="1"/>
  <c r="AL60" i="1"/>
  <c r="M32" i="5"/>
  <c r="N122" i="2"/>
  <c r="AR24" i="1"/>
  <c r="N476" i="2"/>
  <c r="AJ21" i="1"/>
  <c r="BB33" i="5"/>
  <c r="N111" i="2"/>
  <c r="V37" i="5"/>
  <c r="N252" i="2"/>
  <c r="AI11" i="1"/>
  <c r="AD33" i="5"/>
  <c r="AG58" i="1"/>
  <c r="N317" i="2"/>
  <c r="Q38" i="5"/>
  <c r="AM32" i="5"/>
  <c r="N125" i="2"/>
  <c r="N512" i="2"/>
  <c r="BM32" i="5" s="1"/>
  <c r="N109" i="2"/>
  <c r="N37" i="5" s="1"/>
  <c r="AG22" i="1"/>
  <c r="AQ12" i="1"/>
  <c r="BU34" i="5"/>
  <c r="N472" i="2"/>
  <c r="AU36" i="5"/>
  <c r="AE43" i="1"/>
  <c r="AK60" i="1"/>
  <c r="N540" i="2"/>
  <c r="L34" i="5"/>
  <c r="BD36" i="5"/>
  <c r="AI25" i="1"/>
  <c r="AN27" i="1"/>
  <c r="AM85" i="1"/>
  <c r="AR44" i="1"/>
  <c r="AQ83" i="1"/>
  <c r="AG26" i="1"/>
  <c r="BC30" i="5"/>
  <c r="AS73" i="1"/>
  <c r="BD33" i="5"/>
  <c r="N165" i="2"/>
  <c r="AH81" i="1"/>
  <c r="BS32" i="5"/>
  <c r="AS61" i="1"/>
  <c r="AK48" i="1"/>
  <c r="AH56" i="1"/>
  <c r="AN23" i="1"/>
  <c r="AI56" i="1"/>
  <c r="AE63" i="1"/>
  <c r="N261" i="2"/>
  <c r="AG37" i="5" s="1"/>
  <c r="AE57" i="1"/>
  <c r="AR25" i="1"/>
  <c r="AP34" i="5"/>
  <c r="F29" i="5"/>
  <c r="AF78" i="1"/>
  <c r="N422" i="2"/>
  <c r="AL8" i="1"/>
  <c r="AQ73" i="1"/>
  <c r="T36" i="5"/>
  <c r="AC34" i="5"/>
  <c r="AF24" i="1"/>
  <c r="AD36" i="5"/>
  <c r="AI35" i="5"/>
  <c r="AU30" i="5"/>
  <c r="N316" i="2"/>
  <c r="N388" i="2"/>
  <c r="AG17" i="1"/>
  <c r="AG43" i="1"/>
  <c r="BN30" i="5"/>
  <c r="N195" i="2"/>
  <c r="Y35" i="5" s="1"/>
  <c r="N328" i="2"/>
  <c r="N141" i="2"/>
  <c r="AG31" i="5"/>
  <c r="BT35" i="5"/>
  <c r="AM30" i="5"/>
  <c r="N400" i="2"/>
  <c r="AY32" i="5" s="1"/>
  <c r="AJ60" i="1"/>
  <c r="AM52" i="1"/>
  <c r="AE14" i="1"/>
  <c r="N519" i="2"/>
  <c r="AO24" i="1"/>
  <c r="K30" i="5"/>
  <c r="AH32" i="1"/>
  <c r="BZ37" i="5"/>
  <c r="AG29" i="5"/>
  <c r="N632" i="2"/>
  <c r="BM34" i="5"/>
  <c r="BR37" i="5"/>
  <c r="N348" i="2"/>
  <c r="AR36" i="5" s="1"/>
  <c r="AO43" i="1"/>
  <c r="AR31" i="5"/>
  <c r="N82" i="2"/>
  <c r="AG32" i="1"/>
  <c r="AL28" i="1"/>
  <c r="N575" i="2"/>
  <c r="AE70" i="1"/>
  <c r="BZ33" i="5"/>
  <c r="N57" i="2"/>
  <c r="N368" i="2"/>
  <c r="J29" i="5"/>
  <c r="N334" i="2"/>
  <c r="AL15" i="1"/>
  <c r="X32" i="5"/>
  <c r="AK35" i="5"/>
  <c r="AM80" i="1"/>
  <c r="AC31" i="5"/>
  <c r="N534" i="2"/>
  <c r="AI36" i="1"/>
  <c r="T30" i="5"/>
  <c r="AJ49" i="1"/>
  <c r="N68" i="2"/>
  <c r="AF28" i="1"/>
  <c r="AI74" i="1"/>
  <c r="AP22" i="1"/>
  <c r="N594" i="2"/>
  <c r="BM30" i="5"/>
  <c r="N495" i="2"/>
  <c r="S38" i="5"/>
  <c r="N590" i="2"/>
  <c r="BV38" i="5" s="1"/>
  <c r="AL17" i="1"/>
  <c r="N358" i="2"/>
  <c r="AS38" i="5" s="1"/>
  <c r="N625" i="2"/>
  <c r="N35" i="5"/>
  <c r="AJ85" i="1"/>
  <c r="AP42" i="1"/>
  <c r="AP37" i="5"/>
  <c r="N229" i="2"/>
  <c r="J38" i="5"/>
  <c r="AR12" i="1"/>
  <c r="N17" i="2"/>
  <c r="AJ33" i="1"/>
  <c r="N494" i="2"/>
  <c r="U37" i="5"/>
  <c r="AP71" i="1"/>
  <c r="U32" i="5"/>
  <c r="AG52" i="1"/>
  <c r="N32" i="2"/>
  <c r="Q37" i="5"/>
  <c r="AL24" i="1"/>
  <c r="AN84" i="1"/>
  <c r="AP25" i="1"/>
  <c r="AR20" i="1"/>
  <c r="AL26" i="1"/>
  <c r="AN77" i="1"/>
  <c r="N115" i="2"/>
  <c r="AR66" i="1"/>
  <c r="AI75" i="1"/>
  <c r="AI23" i="1"/>
  <c r="N345" i="2"/>
  <c r="AR33" i="5" s="1"/>
  <c r="BC37" i="5"/>
  <c r="N607" i="2"/>
  <c r="AK7" i="1"/>
  <c r="AM76" i="1"/>
  <c r="N179" i="2"/>
  <c r="AM69" i="1"/>
  <c r="N509" i="2"/>
  <c r="N353" i="2"/>
  <c r="AS33" i="5" s="1"/>
  <c r="AH27" i="1"/>
  <c r="AI81" i="1"/>
  <c r="AN75" i="1"/>
  <c r="AG78" i="1"/>
  <c r="AK31" i="5"/>
  <c r="AL55" i="1"/>
  <c r="N404" i="2"/>
  <c r="AN36" i="1"/>
  <c r="AK76" i="1"/>
  <c r="AB35" i="5"/>
  <c r="AZ32" i="5"/>
  <c r="N103" i="2"/>
  <c r="AJ57" i="1"/>
  <c r="BW29" i="5"/>
  <c r="N146" i="2"/>
  <c r="N27" i="2"/>
  <c r="BE36" i="5"/>
  <c r="AM60" i="1"/>
  <c r="N523" i="2"/>
  <c r="BN35" i="5" s="1"/>
  <c r="N63" i="2"/>
  <c r="N410" i="2"/>
  <c r="AF54" i="1"/>
  <c r="N577" i="2"/>
  <c r="N374" i="2"/>
  <c r="BD34" i="5"/>
  <c r="AN7" i="1"/>
  <c r="AR51" i="1"/>
  <c r="AJ36" i="1"/>
  <c r="O30" i="5"/>
  <c r="AP55" i="1"/>
  <c r="AO41" i="1"/>
  <c r="AE47" i="1"/>
  <c r="N499" i="2"/>
  <c r="AI68" i="1"/>
  <c r="X29" i="5"/>
  <c r="CB37" i="5"/>
  <c r="BJ32" i="5"/>
  <c r="BK36" i="5"/>
  <c r="BV35" i="5"/>
  <c r="G38" i="5"/>
  <c r="AK79" i="1"/>
  <c r="AM39" i="1"/>
  <c r="N204" i="2"/>
  <c r="AE64" i="1"/>
  <c r="BB37" i="5"/>
  <c r="N354" i="2"/>
  <c r="BR38" i="5"/>
  <c r="K38" i="5"/>
  <c r="U31" i="5"/>
  <c r="AP37" i="1"/>
  <c r="BC38" i="5"/>
  <c r="N153" i="2"/>
  <c r="N390" i="2"/>
  <c r="AZ37" i="5"/>
  <c r="J31" i="5"/>
  <c r="AR23" i="1"/>
  <c r="N468" i="2"/>
  <c r="AE34" i="1"/>
  <c r="BE31" i="5"/>
  <c r="AE23" i="1"/>
  <c r="AQ78" i="1"/>
  <c r="S31" i="5"/>
  <c r="N469" i="2"/>
  <c r="BG37" i="5" s="1"/>
  <c r="N309" i="2"/>
  <c r="N70" i="2"/>
  <c r="AC38" i="5"/>
  <c r="N193" i="2"/>
  <c r="AF32" i="5"/>
  <c r="P38" i="5"/>
  <c r="N225" i="2"/>
  <c r="N635" i="2"/>
  <c r="AE6" i="1"/>
  <c r="BD30" i="5"/>
  <c r="AI84" i="1"/>
  <c r="AI40" i="1"/>
  <c r="Y37" i="5"/>
  <c r="N532" i="2"/>
  <c r="BF31" i="5"/>
  <c r="AB32" i="5"/>
  <c r="N124" i="2"/>
  <c r="N303" i="2"/>
  <c r="N459" i="2"/>
  <c r="AM31" i="5"/>
  <c r="N638" i="2"/>
  <c r="N381" i="2"/>
  <c r="N439" i="2"/>
  <c r="BF33" i="5"/>
  <c r="AM7" i="1"/>
  <c r="BF35" i="5"/>
  <c r="W33" i="5"/>
  <c r="BO31" i="5"/>
  <c r="N508" i="2"/>
  <c r="BJ38" i="5"/>
  <c r="BM36" i="5"/>
  <c r="BM31" i="5"/>
  <c r="CA35" i="5"/>
  <c r="N44" i="2"/>
  <c r="N37" i="2"/>
  <c r="N507" i="2"/>
  <c r="BL35" i="5" s="1"/>
  <c r="AN67" i="1"/>
  <c r="AR72" i="1"/>
  <c r="AN24" i="1"/>
  <c r="AO15" i="1"/>
  <c r="AI46" i="1"/>
  <c r="N564" i="2"/>
  <c r="CB34" i="5"/>
  <c r="AP83" i="1"/>
  <c r="N513" i="2"/>
  <c r="AF14" i="1"/>
  <c r="BX33" i="5"/>
  <c r="AV38" i="5"/>
  <c r="AI55" i="1"/>
  <c r="AQ47" i="1"/>
  <c r="AL37" i="5"/>
  <c r="AN9" i="1"/>
  <c r="AX31" i="5"/>
  <c r="BJ33" i="5"/>
  <c r="AE72" i="1"/>
  <c r="AK49" i="1"/>
  <c r="N244" i="2"/>
  <c r="N35" i="2"/>
  <c r="AP28" i="1"/>
  <c r="N533" i="2"/>
  <c r="G32" i="5"/>
  <c r="BZ31" i="5"/>
  <c r="AH78" i="1"/>
  <c r="AL9" i="1"/>
  <c r="AQ42" i="1"/>
  <c r="AK77" i="1"/>
  <c r="AG24" i="1"/>
  <c r="AL85" i="1"/>
  <c r="AN37" i="5"/>
  <c r="AP63" i="1"/>
  <c r="AE27" i="1"/>
  <c r="AL59" i="1"/>
  <c r="BY34" i="5"/>
  <c r="AQ50" i="1"/>
  <c r="N269" i="2"/>
  <c r="AH37" i="5" s="1"/>
  <c r="AJ50" i="1"/>
  <c r="N386" i="2"/>
  <c r="AM54" i="1"/>
  <c r="AO11" i="1"/>
  <c r="AW34" i="5"/>
  <c r="BM33" i="5"/>
  <c r="N138" i="2"/>
  <c r="AP81" i="1"/>
  <c r="AV30" i="5"/>
  <c r="N506" i="2"/>
  <c r="BL34" i="5" s="1"/>
  <c r="AO21" i="1"/>
  <c r="N24" i="2"/>
  <c r="AN13" i="1"/>
  <c r="AK8" i="1"/>
  <c r="AL51" i="1"/>
  <c r="AV29" i="5"/>
  <c r="BE38" i="5"/>
  <c r="AK81" i="1"/>
  <c r="Q29" i="5"/>
  <c r="W31" i="5"/>
  <c r="AN32" i="5"/>
  <c r="F30" i="5"/>
  <c r="N145" i="2"/>
  <c r="AI54" i="1"/>
  <c r="AQ59" i="1"/>
  <c r="AA35" i="5"/>
  <c r="N262" i="2"/>
  <c r="AR19" i="1"/>
  <c r="AK50" i="1"/>
  <c r="AM28" i="1"/>
  <c r="AS7" i="1"/>
  <c r="AP78" i="1"/>
  <c r="AF6" i="1"/>
  <c r="N64" i="2"/>
  <c r="AM18" i="1"/>
  <c r="AN21" i="1"/>
  <c r="AG18" i="1"/>
  <c r="AS18" i="1"/>
  <c r="BB36" i="5"/>
  <c r="D37" i="5"/>
  <c r="N101" i="2"/>
  <c r="M37" i="5" s="1"/>
  <c r="AG12" i="1"/>
  <c r="N214" i="2"/>
  <c r="N318" i="2"/>
  <c r="BJ34" i="5"/>
  <c r="AO58" i="1"/>
  <c r="AK70" i="1"/>
  <c r="AP9" i="1"/>
  <c r="AX38" i="5"/>
  <c r="N182" i="2"/>
  <c r="AD35" i="5"/>
  <c r="N227" i="2"/>
  <c r="BS35" i="5"/>
  <c r="N486" i="2"/>
  <c r="AG70" i="1"/>
  <c r="N283" i="2"/>
  <c r="AJ35" i="5" s="1"/>
  <c r="AS48" i="1"/>
  <c r="N319" i="2"/>
  <c r="AF48" i="1"/>
  <c r="AP34" i="1"/>
  <c r="AF65" i="1"/>
  <c r="N128" i="2"/>
  <c r="Q32" i="5" s="1"/>
  <c r="N210" i="2"/>
  <c r="AF43" i="1"/>
  <c r="N285" i="2"/>
  <c r="AJ37" i="5" s="1"/>
  <c r="AF53" i="1"/>
  <c r="AE53" i="1"/>
  <c r="AF50" i="1"/>
  <c r="AE40" i="1"/>
  <c r="AE8" i="1"/>
  <c r="BU35" i="5"/>
  <c r="BK33" i="5"/>
  <c r="AH22" i="1"/>
  <c r="N206" i="2"/>
  <c r="AE39" i="1"/>
  <c r="AS30" i="1"/>
  <c r="AR32" i="5"/>
  <c r="N541" i="2"/>
  <c r="AS33" i="1"/>
  <c r="N120" i="2"/>
  <c r="N396" i="2"/>
  <c r="S32" i="5"/>
  <c r="AM14" i="1"/>
  <c r="AZ33" i="5"/>
  <c r="AK28" i="1"/>
  <c r="AR62" i="1"/>
  <c r="N217" i="2"/>
  <c r="N178" i="2"/>
  <c r="AJ59" i="1"/>
  <c r="N88" i="2"/>
  <c r="I33" i="5"/>
  <c r="N314" i="2"/>
  <c r="N479" i="2"/>
  <c r="AQ41" i="1"/>
  <c r="AM77" i="1"/>
  <c r="AQ56" i="1"/>
  <c r="N366" i="2"/>
  <c r="AT38" i="5" s="1"/>
  <c r="AK53" i="1"/>
  <c r="CA34" i="5"/>
  <c r="AA29" i="5"/>
  <c r="AK10" i="1"/>
  <c r="N40" i="2"/>
  <c r="BT36" i="5"/>
  <c r="R38" i="5"/>
  <c r="AK18" i="1"/>
  <c r="N290" i="2"/>
  <c r="AF18" i="1"/>
  <c r="N93" i="2"/>
  <c r="BQ37" i="5"/>
  <c r="N263" i="2"/>
  <c r="AP77" i="1"/>
  <c r="AK44" i="1"/>
  <c r="BZ35" i="5"/>
  <c r="AY34" i="5"/>
  <c r="N554" i="2"/>
  <c r="N36" i="5"/>
  <c r="BD38" i="5"/>
  <c r="AE83" i="1"/>
  <c r="AF66" i="1"/>
  <c r="AL70" i="1"/>
  <c r="O35" i="5"/>
  <c r="BV32" i="5"/>
  <c r="AS69" i="1"/>
  <c r="F37" i="5"/>
  <c r="AM51" i="1"/>
  <c r="N58" i="2"/>
  <c r="AM43" i="1"/>
  <c r="AP18" i="1"/>
  <c r="BK34" i="5"/>
  <c r="AE15" i="1"/>
  <c r="AK34" i="1"/>
  <c r="AQ24" i="1"/>
  <c r="N254" i="2"/>
  <c r="AL83" i="1"/>
  <c r="AC32" i="5"/>
  <c r="AH38" i="5"/>
  <c r="O37" i="5"/>
  <c r="AM74" i="1"/>
  <c r="N435" i="2"/>
  <c r="BC35" i="5" s="1"/>
  <c r="N352" i="2"/>
  <c r="U38" i="5"/>
  <c r="N191" i="2"/>
  <c r="AT35" i="5"/>
  <c r="AJ33" i="5"/>
  <c r="N73" i="2"/>
  <c r="AW30" i="5"/>
  <c r="N588" i="2"/>
  <c r="BV36" i="5" s="1"/>
  <c r="N129" i="2"/>
  <c r="BQ33" i="5"/>
  <c r="AR9" i="1"/>
  <c r="AZ38" i="5"/>
  <c r="B33" i="5"/>
  <c r="BZ32" i="5"/>
  <c r="N202" i="2"/>
  <c r="BO32" i="5"/>
  <c r="AG35" i="1"/>
  <c r="N493" i="2"/>
  <c r="BB35" i="5"/>
  <c r="AO79" i="1"/>
  <c r="N481" i="2"/>
  <c r="G33" i="5"/>
  <c r="AI34" i="1"/>
  <c r="AQ33" i="5"/>
  <c r="AJ43" i="1"/>
  <c r="AS68" i="1"/>
  <c r="AM27" i="1"/>
  <c r="AO18" i="1"/>
  <c r="AF25" i="1"/>
  <c r="W38" i="5"/>
  <c r="P32" i="5"/>
  <c r="AD37" i="5"/>
  <c r="AE32" i="5"/>
  <c r="G34" i="5"/>
  <c r="AG61" i="1"/>
  <c r="AE56" i="1"/>
  <c r="AG36" i="5"/>
  <c r="AJ69" i="1"/>
  <c r="AS29" i="5"/>
  <c r="AP70" i="1"/>
  <c r="AF64" i="1"/>
  <c r="AF22" i="1"/>
  <c r="N140" i="2"/>
  <c r="AH43" i="1"/>
  <c r="AL75" i="1"/>
  <c r="BC29" i="5"/>
  <c r="AR60" i="1"/>
  <c r="N46" i="2"/>
  <c r="N162" i="2"/>
  <c r="N485" i="2"/>
  <c r="AI52" i="1"/>
  <c r="N259" i="2"/>
  <c r="N521" i="2"/>
  <c r="BN33" i="5" s="1"/>
  <c r="AF77" i="1"/>
  <c r="W35" i="5"/>
  <c r="N249" i="2"/>
  <c r="AF33" i="5" s="1"/>
  <c r="N464" i="2"/>
  <c r="BG32" i="5" s="1"/>
  <c r="AO23" i="1"/>
  <c r="BS37" i="5"/>
  <c r="N192" i="2"/>
  <c r="AU37" i="5"/>
  <c r="BJ36" i="5"/>
  <c r="AR34" i="1"/>
  <c r="N530" i="2"/>
  <c r="BO34" i="5" s="1"/>
  <c r="N377" i="2"/>
  <c r="P30" i="5"/>
  <c r="BN37" i="5"/>
  <c r="BE37" i="5"/>
  <c r="AR35" i="1"/>
  <c r="AH52" i="1"/>
  <c r="AH19" i="1"/>
  <c r="AM84" i="1"/>
  <c r="N300" i="2"/>
  <c r="B29" i="5"/>
  <c r="AI83" i="1"/>
  <c r="AQ26" i="1"/>
  <c r="N10" i="2"/>
  <c r="B34" i="5" s="1"/>
  <c r="N321" i="2"/>
  <c r="AK83" i="1"/>
  <c r="N62" i="2"/>
  <c r="H38" i="5" s="1"/>
  <c r="BT33" i="5"/>
  <c r="AE21" i="1"/>
  <c r="N487" i="2"/>
  <c r="AG64" i="1"/>
  <c r="BU30" i="5"/>
  <c r="BD37" i="5"/>
  <c r="C32" i="5"/>
  <c r="C34" i="5"/>
  <c r="N308" i="2"/>
  <c r="N208" i="2"/>
  <c r="AM56" i="1"/>
  <c r="AE75" i="1"/>
  <c r="AO33" i="5"/>
  <c r="AL33" i="5"/>
  <c r="AL56" i="1"/>
  <c r="BV33" i="5"/>
  <c r="AZ36" i="5"/>
  <c r="W32" i="5"/>
  <c r="N480" i="2"/>
  <c r="AL72" i="1"/>
  <c r="AR31" i="1"/>
  <c r="AK65" i="1"/>
  <c r="N589" i="2"/>
  <c r="BV37" i="5" s="1"/>
  <c r="AH69" i="1"/>
  <c r="BQ31" i="5"/>
  <c r="L36" i="5"/>
  <c r="AW35" i="5"/>
  <c r="BW32" i="5"/>
  <c r="Q34" i="5"/>
  <c r="BX31" i="5"/>
  <c r="C30" i="5"/>
  <c r="N298" i="2"/>
  <c r="J36" i="5"/>
  <c r="V31" i="5"/>
  <c r="AH37" i="1"/>
  <c r="AL71" i="1"/>
  <c r="F33" i="5"/>
  <c r="AS74" i="1"/>
  <c r="BP30" i="5"/>
  <c r="N274" i="2"/>
  <c r="BO37" i="5"/>
  <c r="AH35" i="1"/>
  <c r="AY36" i="5"/>
  <c r="AJ58" i="1"/>
  <c r="AL35" i="1"/>
  <c r="BF37" i="5"/>
  <c r="Y34" i="5"/>
  <c r="BR36" i="5"/>
  <c r="C36" i="5"/>
  <c r="AJ32" i="5"/>
  <c r="AR32" i="1"/>
  <c r="BH37" i="5"/>
  <c r="AW31" i="5"/>
  <c r="V33" i="5"/>
  <c r="BT37" i="5"/>
  <c r="N335" i="2"/>
  <c r="BY37" i="5"/>
  <c r="N284" i="2"/>
  <c r="N522" i="2"/>
  <c r="CB32" i="5"/>
  <c r="L33" i="5"/>
  <c r="BE34" i="5"/>
  <c r="BA35" i="5"/>
  <c r="BR31" i="5"/>
  <c r="AE31" i="5"/>
  <c r="AJ19" i="1"/>
  <c r="N510" i="2"/>
  <c r="R36" i="5"/>
  <c r="AR52" i="1"/>
  <c r="C35" i="5"/>
  <c r="AI66" i="1"/>
  <c r="AL30" i="5"/>
  <c r="AP12" i="1"/>
  <c r="N568" i="2"/>
  <c r="BG29" i="5"/>
  <c r="AI36" i="5"/>
  <c r="N28" i="2"/>
  <c r="AK45" i="1"/>
  <c r="N147" i="2"/>
  <c r="AN10" i="1"/>
  <c r="AQ23" i="1"/>
  <c r="N113" i="2"/>
  <c r="AL25" i="1"/>
  <c r="I34" i="5"/>
  <c r="AT36" i="5"/>
  <c r="AF62" i="1"/>
  <c r="BG35" i="5"/>
  <c r="AP62" i="1"/>
  <c r="BU38" i="5"/>
  <c r="AQ62" i="1"/>
  <c r="U35" i="5"/>
  <c r="AN76" i="1"/>
  <c r="AP36" i="1"/>
  <c r="X35" i="5"/>
  <c r="BA31" i="5"/>
  <c r="AQ32" i="5"/>
  <c r="AO36" i="5"/>
  <c r="N170" i="2"/>
  <c r="AJ47" i="1"/>
  <c r="AS14" i="1"/>
  <c r="E33" i="5"/>
  <c r="AL22" i="1"/>
  <c r="N180" i="2"/>
  <c r="BB38" i="5"/>
  <c r="U30" i="5"/>
  <c r="N91" i="2"/>
  <c r="N271" i="2"/>
  <c r="AO71" i="1"/>
  <c r="AO22" i="1"/>
  <c r="AX35" i="5"/>
  <c r="BY31" i="5"/>
  <c r="CA33" i="5"/>
  <c r="AP23" i="1"/>
  <c r="AQ20" i="1"/>
  <c r="AA34" i="5"/>
  <c r="J35" i="5"/>
  <c r="AN34" i="5"/>
  <c r="N123" i="2"/>
  <c r="AT31" i="5"/>
  <c r="AE33" i="5"/>
  <c r="AE58" i="1"/>
  <c r="BM37" i="5"/>
  <c r="BH31" i="5"/>
  <c r="L31" i="5"/>
  <c r="AQ9" i="1"/>
  <c r="N608" i="2"/>
  <c r="AI18" i="1"/>
  <c r="AJ27" i="1"/>
  <c r="AJ35" i="1"/>
  <c r="AF34" i="1"/>
  <c r="AI16" i="1"/>
  <c r="BF34" i="5"/>
  <c r="AK39" i="1"/>
  <c r="AF75" i="1"/>
  <c r="N69" i="2"/>
  <c r="Z32" i="5"/>
  <c r="BK32" i="5"/>
  <c r="BF36" i="5"/>
  <c r="R31" i="5"/>
  <c r="P34" i="5"/>
  <c r="N393" i="2"/>
  <c r="N350" i="2"/>
  <c r="AN56" i="1"/>
  <c r="AQ84" i="1"/>
  <c r="BU29" i="5"/>
  <c r="N375" i="2"/>
  <c r="N289" i="2"/>
  <c r="AK33" i="5" s="1"/>
  <c r="AO10" i="1"/>
  <c r="AT34" i="5"/>
  <c r="BD32" i="5"/>
  <c r="AG30" i="1"/>
  <c r="I31" i="5"/>
  <c r="D38" i="5"/>
  <c r="AQ7" i="1"/>
  <c r="R37" i="5"/>
  <c r="BA36" i="5"/>
  <c r="T35" i="5"/>
  <c r="AI10" i="1"/>
  <c r="BX36" i="5"/>
  <c r="AV32" i="5"/>
  <c r="N158" i="2"/>
  <c r="AS36" i="5"/>
  <c r="S33" i="5"/>
  <c r="AH34" i="1"/>
  <c r="I36" i="5"/>
  <c r="BP36" i="5"/>
  <c r="BT38" i="5"/>
  <c r="BU31" i="5"/>
  <c r="BD31" i="5"/>
  <c r="AP68" i="1"/>
  <c r="BN38" i="5"/>
  <c r="AR6" i="1"/>
  <c r="AS31" i="5"/>
  <c r="N222" i="2"/>
  <c r="AI37" i="5"/>
  <c r="N539" i="2"/>
  <c r="N14" i="2"/>
  <c r="B38" i="5" s="1"/>
  <c r="N80" i="2"/>
  <c r="K32" i="5" s="1"/>
  <c r="N294" i="2"/>
  <c r="AJ74" i="1"/>
  <c r="N149" i="2"/>
  <c r="N470" i="2"/>
  <c r="AJ52" i="1"/>
  <c r="AB36" i="5"/>
  <c r="AW36" i="5"/>
  <c r="AN59" i="1"/>
  <c r="N31" i="5"/>
  <c r="AP15" i="1"/>
  <c r="AG38" i="5"/>
  <c r="AS45" i="1"/>
  <c r="AJ25" i="1"/>
  <c r="N583" i="2"/>
  <c r="BN32" i="5"/>
  <c r="BB31" i="5"/>
  <c r="BK31" i="5"/>
  <c r="BM35" i="5"/>
  <c r="N322" i="2"/>
  <c r="AR53" i="1"/>
  <c r="AL49" i="1"/>
  <c r="AP38" i="5"/>
  <c r="AN82" i="1"/>
  <c r="V35" i="5"/>
  <c r="AA31" i="5"/>
  <c r="AD32" i="5"/>
  <c r="N593" i="2"/>
  <c r="BW33" i="5" s="1"/>
  <c r="AS10" i="1"/>
  <c r="AF31" i="5"/>
  <c r="N164" i="2"/>
  <c r="AM29" i="5"/>
  <c r="AX34" i="5"/>
  <c r="N542" i="2"/>
  <c r="BP38" i="5" s="1"/>
  <c r="BQ29" i="5"/>
  <c r="AP56" i="1"/>
  <c r="F38" i="5"/>
  <c r="AG33" i="5"/>
  <c r="C29" i="5"/>
  <c r="N561" i="2"/>
  <c r="AG35" i="5"/>
  <c r="X31" i="5"/>
  <c r="L32" i="5"/>
  <c r="AP32" i="5"/>
  <c r="AI8" i="1"/>
  <c r="O34" i="5"/>
  <c r="AM23" i="1"/>
  <c r="BI33" i="5"/>
  <c r="B31" i="5"/>
  <c r="N152" i="2"/>
  <c r="BJ37" i="5"/>
  <c r="V32" i="5"/>
  <c r="AP36" i="5"/>
  <c r="AU34" i="5"/>
  <c r="CB35" i="5"/>
  <c r="N212" i="2"/>
  <c r="C38" i="5"/>
  <c r="BK38" i="5"/>
  <c r="AO35" i="5"/>
  <c r="AK63" i="1"/>
  <c r="AH36" i="5"/>
  <c r="AL45" i="1"/>
  <c r="AQ36" i="5"/>
  <c r="I32" i="5"/>
  <c r="W37" i="5"/>
  <c r="AM34" i="5"/>
  <c r="AK19" i="1"/>
  <c r="BJ31" i="5"/>
  <c r="N21" i="2"/>
  <c r="N47" i="2"/>
  <c r="N112" i="2"/>
  <c r="BM29" i="5"/>
  <c r="BV31" i="5"/>
  <c r="N157" i="2"/>
  <c r="T37" i="5" s="1"/>
  <c r="BB34" i="5"/>
  <c r="Y38" i="5"/>
  <c r="R29" i="5"/>
  <c r="BG31" i="5"/>
  <c r="BN31" i="5"/>
  <c r="AF74" i="1"/>
  <c r="AW32" i="5"/>
  <c r="AB31" i="5"/>
  <c r="AK29" i="1"/>
  <c r="AU38" i="5"/>
  <c r="AG75" i="1"/>
  <c r="AF41" i="1"/>
  <c r="AO35" i="1"/>
  <c r="AM29" i="1"/>
  <c r="AM50" i="1"/>
  <c r="B37" i="5"/>
  <c r="AP20" i="1"/>
  <c r="N110" i="2"/>
  <c r="N552" i="2"/>
  <c r="AJ11" i="1"/>
  <c r="N238" i="2"/>
  <c r="AG13" i="1"/>
  <c r="AR38" i="5"/>
  <c r="AP31" i="1"/>
  <c r="E36" i="5"/>
  <c r="D33" i="5"/>
  <c r="AS6" i="1"/>
  <c r="N598" i="2"/>
  <c r="AN28" i="1"/>
  <c r="BE35" i="5"/>
  <c r="N612" i="2"/>
  <c r="AG37" i="1"/>
  <c r="D35" i="5"/>
  <c r="N631" i="2"/>
  <c r="AQ35" i="5"/>
  <c r="N484" i="2"/>
  <c r="G36" i="5"/>
  <c r="AK73" i="1"/>
  <c r="AL53" i="1"/>
  <c r="N31" i="2"/>
  <c r="Z37" i="5"/>
  <c r="AG34" i="1"/>
  <c r="AN33" i="5"/>
  <c r="AK14" i="1"/>
  <c r="U36" i="5"/>
  <c r="AT33" i="5"/>
  <c r="N320" i="2"/>
  <c r="AK59" i="1"/>
  <c r="AK13" i="1"/>
  <c r="N267" i="2"/>
  <c r="H31" i="5"/>
  <c r="N600" i="2"/>
  <c r="AM65" i="1"/>
  <c r="Z33" i="5"/>
  <c r="N185" i="2"/>
  <c r="X33" i="5" s="1"/>
  <c r="J32" i="5"/>
  <c r="AK17" i="1"/>
  <c r="AP26" i="1"/>
  <c r="AK38" i="5"/>
  <c r="N392" i="2"/>
  <c r="AX32" i="5" s="1"/>
  <c r="AF20" i="1"/>
  <c r="AO30" i="1"/>
  <c r="AH66" i="1"/>
  <c r="BX34" i="5"/>
  <c r="AB34" i="5"/>
  <c r="BU36" i="5"/>
  <c r="N81" i="2"/>
  <c r="AS55" i="1"/>
  <c r="AG7" i="1"/>
  <c r="BC36" i="5"/>
  <c r="N378" i="2"/>
  <c r="AG30" i="5"/>
  <c r="AQ30" i="5"/>
  <c r="AH30" i="1"/>
  <c r="N278" i="2"/>
  <c r="D36" i="5"/>
  <c r="J33" i="5"/>
  <c r="AH61" i="1"/>
  <c r="N186" i="2"/>
  <c r="AJ54" i="1"/>
  <c r="AP80" i="1"/>
  <c r="AQ70" i="1"/>
  <c r="AM38" i="5"/>
  <c r="AH33" i="5"/>
  <c r="AS44" i="1"/>
  <c r="AP13" i="1"/>
  <c r="AL44" i="1"/>
  <c r="BF29" i="5"/>
  <c r="AY33" i="5"/>
  <c r="J30" i="5"/>
  <c r="N611" i="2"/>
  <c r="N478" i="2"/>
  <c r="N231" i="2"/>
  <c r="N84" i="2"/>
  <c r="F31" i="5"/>
  <c r="AY31" i="5"/>
  <c r="AQ32" i="1"/>
  <c r="Y32" i="5"/>
  <c r="N636" i="2"/>
  <c r="CB36" i="5" s="1"/>
  <c r="AP31" i="5"/>
  <c r="AP10" i="1"/>
  <c r="AE37" i="5"/>
  <c r="M31" i="5"/>
  <c r="P29" i="5"/>
  <c r="N286" i="2"/>
  <c r="AJ38" i="5" s="1"/>
  <c r="N79" i="2"/>
  <c r="AG85" i="1"/>
  <c r="N67" i="2"/>
  <c r="N325" i="2"/>
  <c r="AR68" i="1"/>
  <c r="AG32" i="5"/>
  <c r="AV31" i="5"/>
  <c r="N188" i="2"/>
  <c r="AW33" i="5"/>
  <c r="BQ38" i="5"/>
  <c r="R33" i="5"/>
  <c r="BL31" i="5"/>
  <c r="BV29" i="5"/>
  <c r="T34" i="5"/>
  <c r="AX37" i="5"/>
  <c r="Y36" i="5"/>
  <c r="AM17" i="1"/>
  <c r="AO38" i="1"/>
  <c r="BQ34" i="5"/>
  <c r="AM61" i="1"/>
  <c r="BZ36" i="5"/>
  <c r="AK37" i="5"/>
  <c r="AO31" i="5"/>
  <c r="AG63" i="1"/>
  <c r="N51" i="2"/>
  <c r="AQ31" i="5"/>
  <c r="BS36" i="5"/>
  <c r="N34" i="2"/>
  <c r="C31" i="5"/>
  <c r="N466" i="2"/>
  <c r="BG34" i="5" s="1"/>
  <c r="AD34" i="5"/>
  <c r="AZ35" i="5"/>
  <c r="N535" i="2"/>
  <c r="AN16" i="1"/>
  <c r="AK41" i="1"/>
  <c r="AO32" i="1"/>
  <c r="N221" i="2"/>
  <c r="AP6" i="1"/>
  <c r="AQ38" i="5"/>
  <c r="N407" i="2"/>
  <c r="AI32" i="5"/>
  <c r="B32" i="5"/>
  <c r="AM35" i="5"/>
  <c r="AH82" i="1"/>
  <c r="BK37" i="5"/>
  <c r="Z38" i="5"/>
  <c r="AS35" i="5"/>
  <c r="BF38" i="5"/>
  <c r="AP33" i="5"/>
  <c r="BQ32" i="5"/>
  <c r="M35" i="5"/>
  <c r="N172" i="2"/>
  <c r="N288" i="2"/>
  <c r="AS36" i="1"/>
  <c r="N379" i="2"/>
  <c r="AF40" i="1"/>
  <c r="AL32" i="5"/>
  <c r="AP59" i="1"/>
  <c r="AL67" i="1"/>
  <c r="AK34" i="5"/>
  <c r="AS37" i="5"/>
  <c r="P35" i="5"/>
  <c r="BH36" i="5"/>
  <c r="K34" i="5"/>
  <c r="AU32" i="5"/>
  <c r="H33" i="5"/>
  <c r="AC35" i="5"/>
  <c r="AO37" i="5"/>
  <c r="AN36" i="5"/>
  <c r="F32" i="5"/>
  <c r="AO38" i="5"/>
  <c r="V34" i="5"/>
  <c r="P37" i="5"/>
  <c r="AD38" i="5"/>
  <c r="C37" i="5"/>
  <c r="G35" i="5"/>
  <c r="AE35" i="5"/>
  <c r="AO34" i="5"/>
  <c r="M34" i="5"/>
  <c r="AH32" i="5"/>
  <c r="BR32" i="5"/>
  <c r="BS33" i="5"/>
  <c r="I38" i="5"/>
  <c r="T33" i="5"/>
  <c r="BQ35" i="5"/>
  <c r="BT34" i="5"/>
  <c r="N38" i="5"/>
  <c r="BL38" i="5"/>
  <c r="AV33" i="5"/>
  <c r="BH38" i="5"/>
  <c r="U34" i="5"/>
  <c r="BW37" i="5"/>
  <c r="R35" i="5"/>
  <c r="BV34" i="5"/>
  <c r="AX33" i="5"/>
  <c r="F35" i="5"/>
  <c r="I37" i="5"/>
  <c r="X34" i="5"/>
  <c r="BG36" i="5"/>
  <c r="W36" i="5"/>
  <c r="H37" i="5"/>
  <c r="AL34" i="5"/>
  <c r="AC37" i="5"/>
  <c r="BR34" i="5"/>
  <c r="BI37" i="5"/>
  <c r="AP35" i="5"/>
  <c r="AR37" i="5"/>
  <c r="BW35" i="5"/>
  <c r="K36" i="5"/>
  <c r="BL37" i="5"/>
  <c r="AA32" i="5"/>
  <c r="T32" i="5"/>
  <c r="AI34" i="5"/>
  <c r="AV34" i="5"/>
  <c r="R34" i="5"/>
  <c r="BL36" i="5"/>
  <c r="T38" i="5"/>
  <c r="AM36" i="5"/>
  <c r="BE32" i="5"/>
  <c r="AF35" i="5"/>
  <c r="Q36" i="5"/>
  <c r="S37" i="5"/>
  <c r="P36" i="5"/>
  <c r="AK32" i="5"/>
  <c r="BI38" i="5"/>
  <c r="Y33" i="5"/>
  <c r="BH32" i="5"/>
  <c r="AN38" i="5"/>
  <c r="F36" i="5"/>
  <c r="H36" i="5"/>
  <c r="CA38" i="5"/>
  <c r="L37" i="5"/>
  <c r="BO33" i="5"/>
  <c r="J37" i="5"/>
  <c r="E32" i="5"/>
  <c r="AA38" i="5"/>
  <c r="O33" i="5"/>
  <c r="BO38" i="5"/>
  <c r="CB38" i="5"/>
  <c r="CA37" i="5"/>
  <c r="AU33" i="5"/>
  <c r="BY36" i="5"/>
  <c r="BF32" i="5"/>
  <c r="K35" i="5"/>
  <c r="AF38" i="5"/>
  <c r="BT32" i="5"/>
  <c r="R32" i="5"/>
  <c r="AY38" i="5"/>
  <c r="BN34" i="5"/>
  <c r="CA31" i="5"/>
  <c r="AL31" i="5"/>
  <c r="O31" i="5"/>
  <c r="BI31" i="5"/>
  <c r="AH31" i="5"/>
  <c r="Y31" i="5"/>
  <c r="AI31" i="5"/>
  <c r="G31" i="5"/>
  <c r="CB31" i="5"/>
  <c r="E31" i="5"/>
  <c r="AD31" i="5"/>
  <c r="K31" i="5"/>
  <c r="BP31" i="5"/>
  <c r="AZ31" i="5"/>
  <c r="O407" i="2" l="1"/>
  <c r="O535" i="2"/>
  <c r="O79" i="2"/>
  <c r="O231" i="2"/>
  <c r="O31" i="2"/>
  <c r="O631" i="2"/>
  <c r="O47" i="2"/>
  <c r="O583" i="2"/>
  <c r="O375" i="2"/>
  <c r="AW58" i="1"/>
  <c r="AX58" i="1"/>
  <c r="AU58" i="1"/>
  <c r="AV58" i="1"/>
  <c r="O271" i="2"/>
  <c r="O335" i="2"/>
  <c r="AU75" i="1"/>
  <c r="AW75" i="1"/>
  <c r="AX75" i="1"/>
  <c r="AV75" i="1"/>
  <c r="O487" i="2"/>
  <c r="AX21" i="1"/>
  <c r="AV21" i="1"/>
  <c r="AU21" i="1"/>
  <c r="AW21" i="1"/>
  <c r="AV56" i="1"/>
  <c r="AU56" i="1"/>
  <c r="AX56" i="1"/>
  <c r="AW56" i="1"/>
  <c r="O191" i="2"/>
  <c r="AX15" i="1"/>
  <c r="AW15" i="1"/>
  <c r="AU15" i="1"/>
  <c r="AV15" i="1"/>
  <c r="AX83" i="1"/>
  <c r="AV83" i="1"/>
  <c r="AU83" i="1"/>
  <c r="AW83" i="1"/>
  <c r="O263" i="2"/>
  <c r="O479" i="2"/>
  <c r="AU39" i="1"/>
  <c r="AX39" i="1"/>
  <c r="AW39" i="1"/>
  <c r="AV39" i="1"/>
  <c r="AW8" i="1"/>
  <c r="AV8" i="1"/>
  <c r="AU8" i="1"/>
  <c r="AX8" i="1"/>
  <c r="AU40" i="1"/>
  <c r="AW40" i="1"/>
  <c r="AX40" i="1"/>
  <c r="AV40" i="1"/>
  <c r="AV53" i="1"/>
  <c r="AW53" i="1"/>
  <c r="AU53" i="1"/>
  <c r="AX53" i="1"/>
  <c r="O319" i="2"/>
  <c r="AW27" i="1"/>
  <c r="AX27" i="1"/>
  <c r="AV27" i="1"/>
  <c r="AU27" i="1"/>
  <c r="AW72" i="1"/>
  <c r="AV72" i="1"/>
  <c r="AX72" i="1"/>
  <c r="AU72" i="1"/>
  <c r="O439" i="2"/>
  <c r="O303" i="2"/>
  <c r="AU6" i="1"/>
  <c r="AV6" i="1"/>
  <c r="AW6" i="1"/>
  <c r="AX6" i="1"/>
  <c r="AU23" i="1"/>
  <c r="AV23" i="1"/>
  <c r="AX23" i="1"/>
  <c r="AW23" i="1"/>
  <c r="AV34" i="1"/>
  <c r="AU34" i="1"/>
  <c r="AW34" i="1"/>
  <c r="AX34" i="1"/>
  <c r="AV64" i="1"/>
  <c r="AW64" i="1"/>
  <c r="AU64" i="1"/>
  <c r="AX64" i="1"/>
  <c r="AX47" i="1"/>
  <c r="AV47" i="1"/>
  <c r="AW47" i="1"/>
  <c r="AU47" i="1"/>
  <c r="O63" i="2"/>
  <c r="O103" i="2"/>
  <c r="O607" i="2"/>
  <c r="O495" i="2"/>
  <c r="AU70" i="1"/>
  <c r="AX70" i="1"/>
  <c r="AW70" i="1"/>
  <c r="AV70" i="1"/>
  <c r="O575" i="2"/>
  <c r="O519" i="2"/>
  <c r="AW14" i="1"/>
  <c r="AX14" i="1"/>
  <c r="AU14" i="1"/>
  <c r="AV14" i="1"/>
  <c r="AX57" i="1"/>
  <c r="AW57" i="1"/>
  <c r="AU57" i="1"/>
  <c r="AV57" i="1"/>
  <c r="AW63" i="1"/>
  <c r="AV63" i="1"/>
  <c r="AX63" i="1"/>
  <c r="AU63" i="1"/>
  <c r="AU43" i="1"/>
  <c r="AX43" i="1"/>
  <c r="AW43" i="1"/>
  <c r="AV43" i="1"/>
  <c r="O111" i="2"/>
  <c r="O391" i="2"/>
  <c r="O455" i="2"/>
  <c r="O71" i="2"/>
  <c r="O415" i="2"/>
  <c r="O39" i="2"/>
  <c r="AU71" i="1"/>
  <c r="AX71" i="1"/>
  <c r="AW71" i="1"/>
  <c r="AV71" i="1"/>
  <c r="O255" i="2"/>
  <c r="AX7" i="1"/>
  <c r="AU7" i="1"/>
  <c r="AW7" i="1"/>
  <c r="AV7" i="1"/>
  <c r="AW68" i="1"/>
  <c r="AX68" i="1"/>
  <c r="AV68" i="1"/>
  <c r="AU68" i="1"/>
  <c r="O7" i="2"/>
  <c r="AU11" i="1"/>
  <c r="AX11" i="1"/>
  <c r="AV11" i="1"/>
  <c r="AW11" i="1"/>
  <c r="AU69" i="1"/>
  <c r="AX69" i="1"/>
  <c r="AW69" i="1"/>
  <c r="AV69" i="1"/>
  <c r="AX73" i="1"/>
  <c r="AV73" i="1"/>
  <c r="AW73" i="1"/>
  <c r="AU73" i="1"/>
  <c r="AX29" i="1"/>
  <c r="AW29" i="1"/>
  <c r="AU29" i="1"/>
  <c r="AV29" i="1"/>
  <c r="O551" i="2"/>
  <c r="AX26" i="1"/>
  <c r="AV26" i="1"/>
  <c r="AU26" i="1"/>
  <c r="AW26" i="1"/>
  <c r="AW77" i="1"/>
  <c r="AV77" i="1"/>
  <c r="AU77" i="1"/>
  <c r="AX77" i="1"/>
  <c r="O279" i="2"/>
  <c r="AW19" i="1"/>
  <c r="AV19" i="1"/>
  <c r="AX19" i="1"/>
  <c r="AU19" i="1"/>
  <c r="AW38" i="1"/>
  <c r="AU38" i="1"/>
  <c r="AX38" i="1"/>
  <c r="AV38" i="1"/>
  <c r="O559" i="2"/>
  <c r="O615" i="2"/>
  <c r="AV50" i="1"/>
  <c r="AU50" i="1"/>
  <c r="AW50" i="1"/>
  <c r="AX50" i="1"/>
  <c r="AX44" i="1"/>
  <c r="AW44" i="1"/>
  <c r="AV44" i="1"/>
  <c r="AU44" i="1"/>
  <c r="AW33" i="1"/>
  <c r="AU33" i="1"/>
  <c r="AX33" i="1"/>
  <c r="AV33" i="1"/>
  <c r="O295" i="2"/>
  <c r="O367" i="2"/>
  <c r="O447" i="2"/>
  <c r="AU85" i="1"/>
  <c r="AX85" i="1"/>
  <c r="AW85" i="1"/>
  <c r="AV85" i="1"/>
  <c r="O135" i="2"/>
  <c r="O527" i="2"/>
  <c r="AW25" i="1"/>
  <c r="AU25" i="1"/>
  <c r="AV25" i="1"/>
  <c r="AX25" i="1"/>
  <c r="O15" i="2"/>
  <c r="O599" i="2"/>
  <c r="O151" i="2"/>
  <c r="O175" i="2"/>
  <c r="O207" i="2"/>
  <c r="O311" i="2"/>
  <c r="AW12" i="1"/>
  <c r="AV12" i="1"/>
  <c r="AX12" i="1"/>
  <c r="AU12" i="1"/>
  <c r="AV18" i="1"/>
  <c r="AU18" i="1"/>
  <c r="AW18" i="1"/>
  <c r="AX18" i="1"/>
  <c r="AV17" i="1"/>
  <c r="AU17" i="1"/>
  <c r="AW17" i="1"/>
  <c r="AX17" i="1"/>
  <c r="AW9" i="1"/>
  <c r="AX9" i="1"/>
  <c r="AU9" i="1"/>
  <c r="AV9" i="1"/>
  <c r="O223" i="2"/>
  <c r="AU65" i="1"/>
  <c r="AX65" i="1"/>
  <c r="AW65" i="1"/>
  <c r="AV65" i="1"/>
  <c r="O383" i="2"/>
  <c r="O591" i="2"/>
  <c r="AX49" i="1"/>
  <c r="AW49" i="1"/>
  <c r="AV49" i="1"/>
  <c r="AU49" i="1"/>
  <c r="AX48" i="1"/>
  <c r="AV48" i="1"/>
  <c r="AW48" i="1"/>
  <c r="AU48" i="1"/>
  <c r="AX76" i="1"/>
  <c r="AW76" i="1"/>
  <c r="AU76" i="1"/>
  <c r="AV76" i="1"/>
  <c r="AX62" i="1"/>
  <c r="AU62" i="1"/>
  <c r="AW62" i="1"/>
  <c r="AV62" i="1"/>
  <c r="AU24" i="1"/>
  <c r="AW24" i="1"/>
  <c r="AX24" i="1"/>
  <c r="AV24" i="1"/>
  <c r="O431" i="2"/>
  <c r="O159" i="2"/>
  <c r="O511" i="2"/>
  <c r="O167" i="2"/>
  <c r="O23" i="2"/>
  <c r="AX59" i="1"/>
  <c r="AV59" i="1"/>
  <c r="AW59" i="1"/>
  <c r="AU59" i="1"/>
  <c r="AX30" i="1"/>
  <c r="AW30" i="1"/>
  <c r="AV30" i="1"/>
  <c r="AU30" i="1"/>
  <c r="O87" i="2"/>
  <c r="AW81" i="1"/>
  <c r="AU81" i="1"/>
  <c r="AV81" i="1"/>
  <c r="AX81" i="1"/>
  <c r="AU28" i="1"/>
  <c r="AV28" i="1"/>
  <c r="AX28" i="1"/>
  <c r="AW28" i="1"/>
  <c r="AU74" i="1"/>
  <c r="AV74" i="1"/>
  <c r="AW74" i="1"/>
  <c r="AX74" i="1"/>
  <c r="O215" i="2"/>
  <c r="AX55" i="1"/>
  <c r="AV55" i="1"/>
  <c r="AU55" i="1"/>
  <c r="AW55" i="1"/>
  <c r="AU79" i="1"/>
  <c r="AV79" i="1"/>
  <c r="AW79" i="1"/>
  <c r="AX79" i="1"/>
  <c r="AV82" i="1"/>
  <c r="AU82" i="1"/>
  <c r="AW82" i="1"/>
  <c r="AX82" i="1"/>
  <c r="AX61" i="1"/>
  <c r="AW61" i="1"/>
  <c r="AU61" i="1"/>
  <c r="AV61" i="1"/>
  <c r="O183" i="2"/>
  <c r="O503" i="2"/>
  <c r="AW66" i="1"/>
  <c r="AV66" i="1"/>
  <c r="AX66" i="1"/>
  <c r="AU66" i="1"/>
  <c r="AW32" i="1"/>
  <c r="AV32" i="1"/>
  <c r="AU32" i="1"/>
  <c r="AX32" i="1"/>
  <c r="O327" i="2"/>
  <c r="AX31" i="1"/>
  <c r="AW31" i="1"/>
  <c r="AV31" i="1"/>
  <c r="AU31" i="1"/>
  <c r="O351" i="2"/>
  <c r="O239" i="2"/>
  <c r="AW80" i="1"/>
  <c r="AX80" i="1"/>
  <c r="AU80" i="1"/>
  <c r="AV80" i="1"/>
  <c r="O143" i="2"/>
  <c r="AU13" i="1"/>
  <c r="AW13" i="1"/>
  <c r="AV13" i="1"/>
  <c r="AX13" i="1"/>
  <c r="O463" i="2"/>
  <c r="AX22" i="1"/>
  <c r="AW22" i="1"/>
  <c r="AV22" i="1"/>
  <c r="AU22" i="1"/>
  <c r="O399" i="2"/>
  <c r="AU42" i="1"/>
  <c r="AX42" i="1"/>
  <c r="AW42" i="1"/>
  <c r="AV42" i="1"/>
  <c r="O287" i="2"/>
  <c r="AW10" i="1"/>
  <c r="AV10" i="1"/>
  <c r="AU10" i="1"/>
  <c r="AX10" i="1"/>
  <c r="AW84" i="1"/>
  <c r="AX84" i="1"/>
  <c r="AU84" i="1"/>
  <c r="AV84" i="1"/>
  <c r="O623" i="2"/>
  <c r="AV37" i="1"/>
  <c r="AX37" i="1"/>
  <c r="AW37" i="1"/>
  <c r="AU37" i="1"/>
  <c r="O127" i="2"/>
  <c r="AX46" i="1"/>
  <c r="AW46" i="1"/>
  <c r="AU46" i="1"/>
  <c r="AV46" i="1"/>
  <c r="O567" i="2"/>
  <c r="O543" i="2"/>
  <c r="AV35" i="1"/>
  <c r="AW35" i="1"/>
  <c r="AU35" i="1"/>
  <c r="AX35" i="1"/>
  <c r="AV16" i="1"/>
  <c r="AW16" i="1"/>
  <c r="AU16" i="1"/>
  <c r="AX16" i="1"/>
  <c r="O55" i="2"/>
  <c r="O423" i="2"/>
  <c r="AV41" i="1"/>
  <c r="AX41" i="1"/>
  <c r="AW41" i="1"/>
  <c r="AU41" i="1"/>
  <c r="O471" i="2"/>
  <c r="AV67" i="1"/>
  <c r="AU67" i="1"/>
  <c r="AX67" i="1"/>
  <c r="AW67" i="1"/>
  <c r="O247" i="2"/>
  <c r="AW52" i="1"/>
  <c r="AU52" i="1"/>
  <c r="AX52" i="1"/>
  <c r="AV52" i="1"/>
  <c r="AW36" i="1"/>
  <c r="AX36" i="1"/>
  <c r="AV36" i="1"/>
  <c r="AU36" i="1"/>
  <c r="AW51" i="1"/>
  <c r="AV51" i="1"/>
  <c r="AU51" i="1"/>
  <c r="AX51" i="1"/>
  <c r="AV60" i="1"/>
  <c r="AU60" i="1"/>
  <c r="AX60" i="1"/>
  <c r="AW60" i="1"/>
  <c r="AX45" i="1"/>
  <c r="AU45" i="1"/>
  <c r="AW45" i="1"/>
  <c r="AV45" i="1"/>
  <c r="O199" i="2"/>
  <c r="AV78" i="1"/>
  <c r="AU78" i="1"/>
  <c r="AW78" i="1"/>
  <c r="AX78" i="1"/>
  <c r="AV20" i="1"/>
  <c r="AW20" i="1"/>
  <c r="AU20" i="1"/>
  <c r="AX20" i="1"/>
  <c r="O119" i="2"/>
  <c r="O343" i="2"/>
  <c r="AX54" i="1"/>
  <c r="AU54" i="1"/>
  <c r="AW54" i="1"/>
  <c r="AV54" i="1"/>
  <c r="O359" i="2"/>
  <c r="O95" i="2"/>
  <c r="AV35" i="5"/>
  <c r="K33" i="5"/>
  <c r="BG38" i="5"/>
  <c r="AJ36" i="5"/>
  <c r="AL36" i="5"/>
  <c r="AS34" i="5"/>
  <c r="AZ34" i="5"/>
  <c r="BU39" i="5"/>
  <c r="AX39" i="5"/>
  <c r="N34" i="5"/>
  <c r="BR39" i="5"/>
  <c r="W39" i="5"/>
  <c r="AW39" i="5"/>
  <c r="BX38" i="5"/>
  <c r="L39" i="5"/>
  <c r="H39" i="5"/>
  <c r="V36" i="5"/>
  <c r="BX32" i="5"/>
  <c r="BP35" i="5"/>
  <c r="AQ39" i="5"/>
  <c r="H34" i="5"/>
  <c r="AC33" i="5"/>
  <c r="I39" i="5"/>
  <c r="BN39" i="5"/>
  <c r="J34" i="5"/>
  <c r="F39" i="5"/>
  <c r="AA39" i="5"/>
  <c r="BW39" i="5"/>
  <c r="BM39" i="5"/>
  <c r="AB39" i="5"/>
  <c r="AY39" i="5"/>
  <c r="BB39" i="5"/>
  <c r="AD39" i="5"/>
  <c r="AS39" i="5"/>
  <c r="AZ39" i="5"/>
  <c r="AH35" i="5"/>
  <c r="AB38" i="5"/>
  <c r="BI32" i="5"/>
  <c r="AM37" i="5"/>
  <c r="S34" i="5"/>
  <c r="BW36" i="5"/>
  <c r="AM33" i="5"/>
  <c r="AN39" i="5"/>
  <c r="V39" i="5"/>
  <c r="BS34" i="5"/>
  <c r="BT39" i="5"/>
  <c r="G39" i="5"/>
  <c r="AU39" i="5"/>
  <c r="AB37" i="5"/>
  <c r="AO32" i="5"/>
  <c r="AV39" i="5"/>
  <c r="N39" i="5"/>
  <c r="N32" i="5"/>
  <c r="Z35" i="5"/>
  <c r="R39" i="5"/>
  <c r="D39" i="5"/>
  <c r="S39" i="5"/>
  <c r="BQ39" i="5"/>
  <c r="AK39" i="5"/>
  <c r="AA33" i="5"/>
  <c r="BP39" i="5"/>
  <c r="E39" i="5"/>
  <c r="BY32" i="5"/>
  <c r="AO39" i="5"/>
  <c r="E37" i="5"/>
  <c r="BY39" i="5"/>
  <c r="AQ34" i="5"/>
  <c r="BZ34" i="5"/>
  <c r="BO39" i="5"/>
  <c r="AP39" i="5"/>
  <c r="CA39" i="5"/>
  <c r="X39" i="5"/>
  <c r="BH39" i="5"/>
  <c r="AR39" i="5"/>
  <c r="BG39" i="5"/>
  <c r="C39" i="5"/>
  <c r="Q39" i="5"/>
  <c r="E34" i="5"/>
  <c r="BI36" i="5"/>
  <c r="Z34" i="5"/>
  <c r="D32" i="5"/>
  <c r="BD39" i="5"/>
  <c r="Z36" i="5"/>
  <c r="C33" i="5"/>
  <c r="BA33" i="5"/>
  <c r="P39" i="5"/>
  <c r="BQ36" i="5"/>
  <c r="AB33" i="5"/>
  <c r="X36" i="5"/>
  <c r="CB39" i="5"/>
  <c r="Q33" i="5"/>
  <c r="AH39" i="5"/>
  <c r="AV37" i="5"/>
  <c r="BK35" i="5"/>
  <c r="BK39" i="5"/>
  <c r="BA38" i="5"/>
  <c r="BS39" i="5"/>
  <c r="AI39" i="5"/>
  <c r="J39" i="5"/>
  <c r="I35" i="5"/>
  <c r="BW38" i="5"/>
  <c r="BJ39" i="5"/>
  <c r="Y39" i="5"/>
  <c r="BI39" i="5"/>
  <c r="AM39" i="5"/>
  <c r="BW34" i="5"/>
  <c r="AF36" i="5"/>
  <c r="BF39" i="5"/>
  <c r="B39" i="5"/>
  <c r="BZ39" i="5"/>
  <c r="AC39" i="5"/>
  <c r="BL39" i="5"/>
  <c r="BM38" i="5"/>
  <c r="K39" i="5"/>
  <c r="O32" i="5"/>
  <c r="AS32" i="5"/>
  <c r="W34" i="5"/>
  <c r="BO36" i="5"/>
  <c r="O39" i="5"/>
  <c r="BJ35" i="5"/>
  <c r="AL39" i="5"/>
  <c r="Z39" i="5"/>
  <c r="BY35" i="5"/>
  <c r="AA36" i="5"/>
  <c r="L35" i="5"/>
  <c r="AX36" i="5"/>
  <c r="E35" i="5"/>
  <c r="BZ38" i="5"/>
  <c r="F34" i="5"/>
  <c r="AG39" i="5"/>
  <c r="BE39" i="5"/>
  <c r="BX39" i="5"/>
  <c r="BC39" i="5"/>
  <c r="AE39" i="5"/>
  <c r="AT39" i="5"/>
  <c r="M39" i="5"/>
  <c r="AI38" i="5"/>
  <c r="BV39" i="5"/>
  <c r="S35" i="5"/>
  <c r="BP37" i="5"/>
  <c r="AE36" i="5"/>
  <c r="AW38" i="5"/>
  <c r="BU33" i="5"/>
  <c r="N33" i="5"/>
  <c r="BA39" i="5"/>
  <c r="T39" i="5"/>
  <c r="U39" i="5"/>
  <c r="AF39" i="5"/>
  <c r="AJ39" i="5"/>
  <c r="CF6" i="5" l="1"/>
  <c r="CF5" i="5"/>
  <c r="E2" i="2" s="1"/>
  <c r="CF7" i="5"/>
  <c r="CF4" i="5"/>
  <c r="G2" i="2" l="1"/>
  <c r="E3" i="2"/>
  <c r="E42" i="5"/>
  <c r="BJ42" i="5"/>
  <c r="BG42" i="5"/>
  <c r="AI42" i="5"/>
  <c r="J42" i="5"/>
  <c r="AT42" i="5"/>
  <c r="BA42" i="5"/>
  <c r="Q42" i="5"/>
  <c r="G42" i="5"/>
  <c r="AJ42" i="5"/>
  <c r="C42" i="5"/>
  <c r="M42" i="5"/>
  <c r="BM42" i="5"/>
  <c r="BN42" i="5"/>
  <c r="BU42" i="5"/>
  <c r="AD42" i="5"/>
  <c r="U42" i="5"/>
  <c r="W42" i="5"/>
  <c r="AC42" i="5"/>
  <c r="X42" i="5"/>
  <c r="AP42" i="5"/>
  <c r="BB42" i="5"/>
  <c r="AV42" i="5"/>
  <c r="AN42" i="5"/>
  <c r="AA42" i="5"/>
  <c r="H42" i="5"/>
  <c r="B42" i="5"/>
  <c r="R42" i="5"/>
  <c r="BW42" i="5"/>
  <c r="I42" i="5"/>
  <c r="AU42" i="5"/>
  <c r="BO42" i="5"/>
  <c r="BE42" i="5"/>
  <c r="L42" i="5"/>
  <c r="AK42" i="5"/>
  <c r="AZ42" i="5"/>
  <c r="S42" i="5"/>
  <c r="CA42" i="5"/>
  <c r="BK42" i="5"/>
  <c r="BY42" i="5"/>
  <c r="BD42" i="5"/>
  <c r="AE42" i="5"/>
  <c r="AO42" i="5"/>
  <c r="BR42" i="5"/>
  <c r="BI42" i="5"/>
  <c r="Z42" i="5"/>
  <c r="N42" i="5"/>
  <c r="AB42" i="5"/>
  <c r="AY42" i="5"/>
  <c r="AH42" i="5"/>
  <c r="BX42" i="5"/>
  <c r="BP42" i="5"/>
  <c r="O42" i="5"/>
  <c r="V42" i="5"/>
  <c r="AL42" i="5"/>
  <c r="F42" i="5"/>
  <c r="AW42" i="5"/>
  <c r="K42" i="5"/>
  <c r="AX42" i="5"/>
  <c r="BC42" i="5"/>
  <c r="CC42" i="5"/>
  <c r="BT42" i="5"/>
  <c r="BL42" i="5"/>
  <c r="AR42" i="5"/>
  <c r="AG42" i="5"/>
  <c r="AM42" i="5"/>
  <c r="Y42" i="5"/>
  <c r="AQ42" i="5"/>
  <c r="BZ42" i="5"/>
  <c r="BH42" i="5"/>
  <c r="P42" i="5"/>
  <c r="AS42" i="5"/>
  <c r="D42" i="5"/>
  <c r="BS42" i="5"/>
  <c r="BQ42" i="5"/>
  <c r="T42" i="5"/>
  <c r="AF42" i="5"/>
  <c r="CB42" i="5"/>
  <c r="BF42" i="5"/>
  <c r="BV42" i="5"/>
</calcChain>
</file>

<file path=xl/sharedStrings.xml><?xml version="1.0" encoding="utf-8"?>
<sst xmlns="http://schemas.openxmlformats.org/spreadsheetml/2006/main" count="219" uniqueCount="153">
  <si>
    <t>工时测量记录表</t>
  </si>
  <si>
    <t>机型</t>
  </si>
  <si>
    <t>料号</t>
  </si>
  <si>
    <t>日期</t>
  </si>
  <si>
    <t>序号</t>
  </si>
  <si>
    <t>工站</t>
  </si>
  <si>
    <t>人数</t>
  </si>
  <si>
    <t>动作单元</t>
  </si>
  <si>
    <t>实测时间</t>
  </si>
  <si>
    <r>
      <rPr>
        <b/>
        <sz val="24"/>
        <rFont val="黑体"/>
        <family val="3"/>
        <charset val="134"/>
      </rPr>
      <t>工时测量记录表</t>
    </r>
  </si>
  <si>
    <r>
      <rPr>
        <b/>
        <sz val="12"/>
        <rFont val="宋体"/>
        <family val="3"/>
        <charset val="134"/>
      </rPr>
      <t>测量人</t>
    </r>
  </si>
  <si>
    <r>
      <rPr>
        <b/>
        <sz val="12"/>
        <rFont val="宋体"/>
        <family val="3"/>
        <charset val="134"/>
      </rPr>
      <t>序号</t>
    </r>
  </si>
  <si>
    <r>
      <rPr>
        <b/>
        <sz val="12"/>
        <rFont val="宋体"/>
        <family val="3"/>
        <charset val="134"/>
      </rPr>
      <t>工站</t>
    </r>
  </si>
  <si>
    <r>
      <rPr>
        <b/>
        <sz val="12"/>
        <rFont val="宋体"/>
        <family val="3"/>
        <charset val="134"/>
      </rPr>
      <t>人数</t>
    </r>
  </si>
  <si>
    <r>
      <rPr>
        <b/>
        <sz val="12"/>
        <rFont val="宋体"/>
        <family val="3"/>
        <charset val="134"/>
      </rPr>
      <t>动作单元</t>
    </r>
  </si>
  <si>
    <r>
      <rPr>
        <b/>
        <sz val="12"/>
        <rFont val="宋体"/>
        <family val="3"/>
        <charset val="134"/>
      </rPr>
      <t>实测时间</t>
    </r>
    <r>
      <rPr>
        <b/>
        <sz val="12"/>
        <rFont val="Arial"/>
        <family val="2"/>
      </rPr>
      <t>(x)</t>
    </r>
  </si>
  <si>
    <t>Σxi</t>
  </si>
  <si>
    <t>Σxi²</t>
  </si>
  <si>
    <r>
      <rPr>
        <b/>
        <sz val="10"/>
        <rFont val="宋体"/>
        <family val="3"/>
        <charset val="134"/>
      </rPr>
      <t>平均值</t>
    </r>
    <r>
      <rPr>
        <b/>
        <sz val="10"/>
        <rFont val="Arial"/>
        <family val="2"/>
      </rPr>
      <t>x(s)</t>
    </r>
  </si>
  <si>
    <r>
      <rPr>
        <b/>
        <sz val="10"/>
        <rFont val="宋体"/>
        <family val="3"/>
        <charset val="134"/>
      </rPr>
      <t>标准偏差</t>
    </r>
    <r>
      <rPr>
        <b/>
        <sz val="10"/>
        <rFont val="Arial"/>
        <family val="2"/>
      </rPr>
      <t>σ</t>
    </r>
  </si>
  <si>
    <r>
      <rPr>
        <b/>
        <sz val="10"/>
        <rFont val="宋体"/>
        <family val="3"/>
        <charset val="134"/>
      </rPr>
      <t>管制下限</t>
    </r>
    <r>
      <rPr>
        <b/>
        <sz val="10"/>
        <rFont val="Arial"/>
        <family val="2"/>
      </rPr>
      <t>LCL</t>
    </r>
  </si>
  <si>
    <r>
      <rPr>
        <b/>
        <sz val="10"/>
        <rFont val="宋体"/>
        <family val="3"/>
        <charset val="134"/>
      </rPr>
      <t>管制上限</t>
    </r>
    <r>
      <rPr>
        <b/>
        <sz val="10"/>
        <rFont val="Arial"/>
        <family val="2"/>
      </rPr>
      <t>UCL</t>
    </r>
  </si>
  <si>
    <r>
      <rPr>
        <b/>
        <sz val="10"/>
        <rFont val="宋体"/>
        <family val="3"/>
        <charset val="134"/>
      </rPr>
      <t>剔除异常值后均值</t>
    </r>
    <r>
      <rPr>
        <b/>
        <sz val="10"/>
        <rFont val="Arial"/>
        <family val="2"/>
      </rPr>
      <t>x(s)</t>
    </r>
  </si>
  <si>
    <r>
      <rPr>
        <b/>
        <sz val="10"/>
        <rFont val="宋体"/>
        <family val="3"/>
        <charset val="134"/>
      </rPr>
      <t>剔除异常值后</t>
    </r>
    <r>
      <rPr>
        <b/>
        <sz val="10"/>
        <rFont val="Arial"/>
        <family val="2"/>
      </rPr>
      <t>Σxi</t>
    </r>
  </si>
  <si>
    <r>
      <rPr>
        <b/>
        <sz val="10"/>
        <rFont val="宋体"/>
        <family val="3"/>
        <charset val="134"/>
      </rPr>
      <t>剔除异常值后</t>
    </r>
    <r>
      <rPr>
        <b/>
        <sz val="10"/>
        <rFont val="Arial"/>
        <family val="2"/>
      </rPr>
      <t>Σxi²</t>
    </r>
  </si>
  <si>
    <r>
      <rPr>
        <b/>
        <sz val="10"/>
        <rFont val="宋体"/>
        <family val="3"/>
        <charset val="134"/>
      </rPr>
      <t>应观测次数</t>
    </r>
  </si>
  <si>
    <t>动作变异分析</t>
  </si>
  <si>
    <t>A</t>
  </si>
  <si>
    <t>B</t>
  </si>
  <si>
    <t>X</t>
  </si>
  <si>
    <t>σ</t>
  </si>
  <si>
    <t>X-σ</t>
  </si>
  <si>
    <t>X+σ</t>
  </si>
  <si>
    <t>X'</t>
  </si>
  <si>
    <t>A'</t>
  </si>
  <si>
    <t>B'</t>
  </si>
  <si>
    <r>
      <rPr>
        <b/>
        <sz val="10"/>
        <rFont val="Arial"/>
        <family val="2"/>
      </rPr>
      <t>N'=[40*  n*B'-A'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/A']</t>
    </r>
    <r>
      <rPr>
        <b/>
        <vertAlign val="superscript"/>
        <sz val="10"/>
        <rFont val="Arial"/>
        <family val="2"/>
      </rPr>
      <t>2</t>
    </r>
  </si>
  <si>
    <r>
      <rPr>
        <b/>
        <sz val="10"/>
        <color theme="0"/>
        <rFont val="Arial"/>
        <family val="2"/>
      </rPr>
      <t>1/4</t>
    </r>
    <r>
      <rPr>
        <b/>
        <sz val="10"/>
        <color indexed="9"/>
        <rFont val="宋体"/>
        <family val="3"/>
        <charset val="134"/>
      </rPr>
      <t>位数</t>
    </r>
  </si>
  <si>
    <t>最大</t>
  </si>
  <si>
    <t>最小</t>
  </si>
  <si>
    <r>
      <rPr>
        <b/>
        <sz val="10"/>
        <color theme="0"/>
        <rFont val="Arial"/>
        <family val="2"/>
      </rPr>
      <t>3/4</t>
    </r>
    <r>
      <rPr>
        <b/>
        <sz val="10"/>
        <color indexed="9"/>
        <rFont val="宋体"/>
        <family val="3"/>
        <charset val="134"/>
      </rPr>
      <t>位数</t>
    </r>
  </si>
  <si>
    <t>标准工时表</t>
  </si>
  <si>
    <t>UPH</t>
  </si>
  <si>
    <t>UPPH</t>
  </si>
  <si>
    <r>
      <rPr>
        <b/>
        <sz val="12"/>
        <rFont val="宋体"/>
        <family val="3"/>
        <charset val="134"/>
      </rPr>
      <t>负荷时间</t>
    </r>
    <r>
      <rPr>
        <b/>
        <sz val="12"/>
        <rFont val="Arial"/>
        <family val="2"/>
      </rPr>
      <t>(H/</t>
    </r>
    <r>
      <rPr>
        <b/>
        <sz val="12"/>
        <rFont val="宋体"/>
        <family val="3"/>
        <charset val="134"/>
      </rPr>
      <t>日</t>
    </r>
    <r>
      <rPr>
        <b/>
        <sz val="12"/>
        <rFont val="Arial"/>
        <family val="2"/>
      </rPr>
      <t>)</t>
    </r>
  </si>
  <si>
    <t>可动率</t>
  </si>
  <si>
    <t>瓶颈工站生产批量</t>
  </si>
  <si>
    <r>
      <rPr>
        <b/>
        <sz val="12"/>
        <color indexed="9"/>
        <rFont val="宋体"/>
        <family val="3"/>
        <charset val="134"/>
      </rPr>
      <t>按生产批量计算</t>
    </r>
    <r>
      <rPr>
        <b/>
        <sz val="12"/>
        <color indexed="9"/>
        <rFont val="Arial"/>
        <family val="2"/>
      </rPr>
      <t>ST</t>
    </r>
  </si>
  <si>
    <r>
      <rPr>
        <b/>
        <sz val="12"/>
        <rFont val="宋体"/>
        <family val="3"/>
        <charset val="134"/>
      </rPr>
      <t>日产能</t>
    </r>
  </si>
  <si>
    <r>
      <rPr>
        <b/>
        <sz val="12"/>
        <rFont val="宋体"/>
        <family val="3"/>
        <charset val="134"/>
      </rPr>
      <t>人力</t>
    </r>
  </si>
  <si>
    <r>
      <rPr>
        <b/>
        <sz val="12"/>
        <rFont val="宋体"/>
        <family val="3"/>
        <charset val="134"/>
      </rPr>
      <t>必要数量</t>
    </r>
    <r>
      <rPr>
        <b/>
        <sz val="12"/>
        <rFont val="Arial"/>
        <family val="2"/>
      </rPr>
      <t>(pcs/</t>
    </r>
    <r>
      <rPr>
        <b/>
        <sz val="12"/>
        <rFont val="宋体"/>
        <family val="3"/>
        <charset val="134"/>
      </rPr>
      <t>日</t>
    </r>
    <r>
      <rPr>
        <b/>
        <sz val="12"/>
        <rFont val="Arial"/>
        <family val="2"/>
      </rPr>
      <t>)</t>
    </r>
  </si>
  <si>
    <t>直通率</t>
  </si>
  <si>
    <t>是</t>
  </si>
  <si>
    <r>
      <rPr>
        <b/>
        <sz val="12"/>
        <rFont val="宋体"/>
        <family val="3"/>
        <charset val="134"/>
      </rPr>
      <t>评比系数</t>
    </r>
  </si>
  <si>
    <r>
      <rPr>
        <b/>
        <sz val="12"/>
        <rFont val="宋体"/>
        <family val="3"/>
        <charset val="134"/>
      </rPr>
      <t>宽放率</t>
    </r>
  </si>
  <si>
    <r>
      <rPr>
        <b/>
        <sz val="12"/>
        <rFont val="宋体"/>
        <family val="3"/>
        <charset val="134"/>
      </rPr>
      <t xml:space="preserve">人力
</t>
    </r>
    <r>
      <rPr>
        <b/>
        <sz val="12"/>
        <rFont val="Arial"/>
        <family val="2"/>
      </rPr>
      <t>(</t>
    </r>
    <r>
      <rPr>
        <b/>
        <sz val="12"/>
        <rFont val="宋体"/>
        <family val="3"/>
        <charset val="134"/>
      </rPr>
      <t>人</t>
    </r>
    <r>
      <rPr>
        <b/>
        <sz val="12"/>
        <rFont val="Arial"/>
        <family val="2"/>
      </rPr>
      <t>)</t>
    </r>
  </si>
  <si>
    <r>
      <rPr>
        <b/>
        <sz val="12"/>
        <rFont val="宋体"/>
        <family val="3"/>
        <charset val="134"/>
      </rPr>
      <t xml:space="preserve">生产批量
</t>
    </r>
    <r>
      <rPr>
        <b/>
        <sz val="12"/>
        <rFont val="Arial"/>
        <family val="2"/>
      </rPr>
      <t>(pcs)</t>
    </r>
  </si>
  <si>
    <r>
      <rPr>
        <b/>
        <sz val="12"/>
        <rFont val="Arial"/>
        <family val="2"/>
      </rPr>
      <t>ST</t>
    </r>
    <r>
      <rPr>
        <b/>
        <vertAlign val="subscript"/>
        <sz val="12"/>
        <rFont val="Arial"/>
        <family val="2"/>
      </rPr>
      <t>E</t>
    </r>
    <r>
      <rPr>
        <b/>
        <sz val="12"/>
        <rFont val="Arial"/>
        <family val="2"/>
      </rPr>
      <t xml:space="preserve">
(S)</t>
    </r>
  </si>
  <si>
    <t>ST
(S)</t>
  </si>
  <si>
    <r>
      <rPr>
        <b/>
        <sz val="12"/>
        <rFont val="宋体"/>
        <family val="3"/>
        <charset val="134"/>
      </rPr>
      <t>备注</t>
    </r>
  </si>
  <si>
    <t>熟练
系数</t>
  </si>
  <si>
    <t>努力
系数</t>
  </si>
  <si>
    <r>
      <rPr>
        <b/>
        <sz val="12"/>
        <rFont val="宋体"/>
        <family val="3"/>
        <charset val="134"/>
      </rPr>
      <t>工作环境系数</t>
    </r>
  </si>
  <si>
    <r>
      <rPr>
        <b/>
        <sz val="12"/>
        <rFont val="宋体"/>
        <family val="3"/>
        <charset val="134"/>
      </rPr>
      <t>一致性系数</t>
    </r>
  </si>
  <si>
    <r>
      <rPr>
        <b/>
        <sz val="12"/>
        <rFont val="宋体"/>
        <family val="3"/>
        <charset val="134"/>
      </rPr>
      <t>作业宽放</t>
    </r>
  </si>
  <si>
    <r>
      <rPr>
        <b/>
        <sz val="12"/>
        <rFont val="宋体"/>
        <family val="3"/>
        <charset val="134"/>
      </rPr>
      <t>疲劳宽放</t>
    </r>
  </si>
  <si>
    <r>
      <rPr>
        <b/>
        <sz val="12"/>
        <rFont val="宋体"/>
        <family val="3"/>
        <charset val="134"/>
      </rPr>
      <t>生理宽放</t>
    </r>
  </si>
  <si>
    <r>
      <rPr>
        <b/>
        <sz val="12"/>
        <rFont val="宋体"/>
        <family val="3"/>
        <charset val="134"/>
      </rPr>
      <t>管理宽放</t>
    </r>
  </si>
  <si>
    <t>目标</t>
  </si>
  <si>
    <r>
      <rPr>
        <b/>
        <sz val="16"/>
        <rFont val="Arial"/>
        <family val="2"/>
      </rPr>
      <t>T</t>
    </r>
    <r>
      <rPr>
        <b/>
        <vertAlign val="subscript"/>
        <sz val="16"/>
        <rFont val="Arial"/>
        <family val="2"/>
      </rPr>
      <t>AV</t>
    </r>
    <r>
      <rPr>
        <b/>
        <sz val="16"/>
        <rFont val="Arial"/>
        <family val="2"/>
      </rPr>
      <t xml:space="preserve">
(S)</t>
    </r>
  </si>
  <si>
    <r>
      <rPr>
        <b/>
        <sz val="16"/>
        <rFont val="Arial"/>
        <family val="2"/>
      </rPr>
      <t>T</t>
    </r>
    <r>
      <rPr>
        <b/>
        <vertAlign val="subscript"/>
        <sz val="16"/>
        <rFont val="Arial"/>
        <family val="2"/>
      </rPr>
      <t>NECK</t>
    </r>
    <r>
      <rPr>
        <b/>
        <sz val="16"/>
        <rFont val="Arial"/>
        <family val="2"/>
      </rPr>
      <t xml:space="preserve">
(S)</t>
    </r>
  </si>
  <si>
    <t>单件标准时间(S)</t>
  </si>
  <si>
    <t>L/B</t>
  </si>
  <si>
    <t>人力</t>
  </si>
  <si>
    <t>线平衡方法</t>
  </si>
  <si>
    <r>
      <rPr>
        <sz val="16"/>
        <color indexed="60"/>
        <rFont val="Wingdings 2"/>
        <family val="1"/>
        <charset val="2"/>
      </rPr>
      <t>u</t>
    </r>
    <r>
      <rPr>
        <sz val="16"/>
        <color indexed="60"/>
        <rFont val="黑体"/>
        <family val="3"/>
        <charset val="134"/>
      </rPr>
      <t>若T</t>
    </r>
    <r>
      <rPr>
        <vertAlign val="subscript"/>
        <sz val="16"/>
        <color indexed="60"/>
        <rFont val="黑体"/>
        <family val="3"/>
        <charset val="134"/>
      </rPr>
      <t>AV</t>
    </r>
    <r>
      <rPr>
        <sz val="16"/>
        <color indexed="60"/>
        <rFont val="黑体"/>
        <family val="3"/>
        <charset val="134"/>
      </rPr>
      <t>&gt;T/T，将T/T设为上限，重排</t>
    </r>
    <r>
      <rPr>
        <sz val="16"/>
        <color indexed="60"/>
        <rFont val="Wingdings"/>
        <charset val="2"/>
      </rPr>
      <t xml:space="preserve">
</t>
    </r>
    <r>
      <rPr>
        <sz val="16"/>
        <color indexed="60"/>
        <rFont val="Wingdings 2"/>
        <family val="1"/>
        <charset val="2"/>
      </rPr>
      <t>v</t>
    </r>
    <r>
      <rPr>
        <sz val="16"/>
        <color indexed="60"/>
        <rFont val="黑体"/>
        <family val="3"/>
        <charset val="134"/>
      </rPr>
      <t>若T</t>
    </r>
    <r>
      <rPr>
        <vertAlign val="subscript"/>
        <sz val="16"/>
        <color indexed="60"/>
        <rFont val="黑体"/>
        <family val="3"/>
        <charset val="134"/>
      </rPr>
      <t>AV</t>
    </r>
    <r>
      <rPr>
        <sz val="16"/>
        <color indexed="60"/>
        <rFont val="黑体"/>
        <family val="3"/>
        <charset val="134"/>
      </rPr>
      <t>略小于T/T，将T/T设为上限，消除瓶颈</t>
    </r>
    <r>
      <rPr>
        <sz val="16"/>
        <color indexed="60"/>
        <rFont val="Wingdings"/>
        <charset val="2"/>
      </rPr>
      <t xml:space="preserve">
</t>
    </r>
    <r>
      <rPr>
        <sz val="16"/>
        <color indexed="60"/>
        <rFont val="Wingdings 2"/>
        <family val="1"/>
        <charset val="2"/>
      </rPr>
      <t>w</t>
    </r>
    <r>
      <rPr>
        <sz val="16"/>
        <color indexed="60"/>
        <rFont val="黑体"/>
        <family val="3"/>
        <charset val="134"/>
      </rPr>
      <t>若T</t>
    </r>
    <r>
      <rPr>
        <vertAlign val="subscript"/>
        <sz val="16"/>
        <color indexed="60"/>
        <rFont val="黑体"/>
        <family val="3"/>
        <charset val="134"/>
      </rPr>
      <t>AV</t>
    </r>
    <r>
      <rPr>
        <sz val="16"/>
        <color indexed="60"/>
        <rFont val="黑体"/>
        <family val="3"/>
        <charset val="134"/>
      </rPr>
      <t>严重小于T/T，将T/T设为上限，重排</t>
    </r>
  </si>
  <si>
    <r>
      <rPr>
        <b/>
        <sz val="12"/>
        <rFont val="宋体"/>
        <family val="3"/>
        <charset val="134"/>
      </rPr>
      <t>人员</t>
    </r>
  </si>
  <si>
    <t>ST1</t>
  </si>
  <si>
    <t>ST2</t>
  </si>
  <si>
    <t>ST3</t>
  </si>
  <si>
    <t>ST4</t>
  </si>
  <si>
    <t>ST5</t>
  </si>
  <si>
    <t>ST6</t>
  </si>
  <si>
    <t>ST7</t>
  </si>
  <si>
    <t>ST8</t>
  </si>
  <si>
    <t>ST</t>
  </si>
  <si>
    <t>T/T</t>
  </si>
  <si>
    <r>
      <rPr>
        <sz val="12"/>
        <color theme="0"/>
        <rFont val="Arial"/>
        <family val="2"/>
      </rPr>
      <t>T</t>
    </r>
    <r>
      <rPr>
        <vertAlign val="subscript"/>
        <sz val="12"/>
        <color indexed="9"/>
        <rFont val="Arial"/>
        <family val="2"/>
      </rPr>
      <t>AV</t>
    </r>
  </si>
  <si>
    <r>
      <rPr>
        <b/>
        <sz val="26"/>
        <rFont val="宋体"/>
        <family val="3"/>
        <charset val="134"/>
      </rPr>
      <t>工时测量记录表</t>
    </r>
  </si>
  <si>
    <t>测量人</t>
  </si>
  <si>
    <r>
      <rPr>
        <b/>
        <sz val="12"/>
        <rFont val="宋体"/>
        <family val="3"/>
        <charset val="134"/>
      </rPr>
      <t>日稼动时间</t>
    </r>
    <r>
      <rPr>
        <b/>
        <sz val="12"/>
        <rFont val="Arial"/>
        <family val="2"/>
      </rPr>
      <t>(H)</t>
    </r>
  </si>
  <si>
    <r>
      <rPr>
        <b/>
        <sz val="12"/>
        <rFont val="宋体"/>
        <family val="3"/>
        <charset val="134"/>
      </rPr>
      <t>必要数量</t>
    </r>
    <r>
      <rPr>
        <b/>
        <sz val="12"/>
        <rFont val="Arial"/>
        <family val="2"/>
      </rPr>
      <t>(PCS/</t>
    </r>
    <r>
      <rPr>
        <b/>
        <sz val="12"/>
        <rFont val="宋体"/>
        <family val="3"/>
        <charset val="134"/>
      </rPr>
      <t>日</t>
    </r>
    <r>
      <rPr>
        <b/>
        <sz val="12"/>
        <rFont val="Arial"/>
        <family val="2"/>
      </rPr>
      <t>)</t>
    </r>
  </si>
  <si>
    <t>评比系数</t>
  </si>
  <si>
    <t>熟练</t>
  </si>
  <si>
    <t>努力</t>
  </si>
  <si>
    <t>工作环境</t>
  </si>
  <si>
    <t>一致性</t>
  </si>
  <si>
    <t>评比因素及等级</t>
  </si>
  <si>
    <t>熟练系数</t>
  </si>
  <si>
    <t>努力系数</t>
  </si>
  <si>
    <t>工作环境系数</t>
  </si>
  <si>
    <t>一致性系数</t>
  </si>
  <si>
    <t>超佳</t>
  </si>
  <si>
    <t>A1</t>
  </si>
  <si>
    <t>理想</t>
  </si>
  <si>
    <t>A2</t>
  </si>
  <si>
    <t>优</t>
  </si>
  <si>
    <t>B1</t>
  </si>
  <si>
    <t>良</t>
  </si>
  <si>
    <t>C</t>
  </si>
  <si>
    <t>B2</t>
  </si>
  <si>
    <t>平均</t>
  </si>
  <si>
    <t>D</t>
  </si>
  <si>
    <t>C1</t>
  </si>
  <si>
    <t>可</t>
  </si>
  <si>
    <t>E</t>
  </si>
  <si>
    <t>C2</t>
  </si>
  <si>
    <t>欠佳</t>
  </si>
  <si>
    <t>F</t>
  </si>
  <si>
    <t>E1</t>
  </si>
  <si>
    <t>E2</t>
  </si>
  <si>
    <t>F1</t>
  </si>
  <si>
    <t>F2</t>
  </si>
  <si>
    <t>宽放率结构表</t>
  </si>
  <si>
    <t>宽放种类及宽放率</t>
  </si>
  <si>
    <t>说  明</t>
  </si>
  <si>
    <t>不可避免的宽放</t>
  </si>
  <si>
    <r>
      <rPr>
        <b/>
        <sz val="12"/>
        <rFont val="黑体"/>
        <family val="3"/>
        <charset val="134"/>
      </rPr>
      <t xml:space="preserve">作业宽放  </t>
    </r>
    <r>
      <rPr>
        <sz val="12"/>
        <rFont val="黑体"/>
        <family val="3"/>
        <charset val="134"/>
      </rPr>
      <t xml:space="preserve">                               3% ~ 5%  （普通 3%）</t>
    </r>
  </si>
  <si>
    <t>更换不良工具、加油、清扫设备等无规律活动，是不可避免的宽放。但准备作业例外。</t>
  </si>
  <si>
    <r>
      <rPr>
        <b/>
        <sz val="12"/>
        <rFont val="黑体"/>
        <family val="3"/>
        <charset val="134"/>
      </rPr>
      <t>疲劳宽放</t>
    </r>
    <r>
      <rPr>
        <sz val="12"/>
        <rFont val="黑体"/>
        <family val="3"/>
        <charset val="134"/>
      </rPr>
      <t xml:space="preserve">                                   特种作业：30%以上                   重作业：   20% ~ 30%                  中作业：   10% ~ 20%                  轻作业：   5% ~ 10%                   特轻作业： 0% ~ 5%</t>
    </r>
  </si>
  <si>
    <t>因疲劳而使作业时间延迟以及为消除疲劳而需休息的宽放。</t>
  </si>
  <si>
    <r>
      <rPr>
        <b/>
        <sz val="12"/>
        <rFont val="黑体"/>
        <family val="3"/>
        <charset val="134"/>
      </rPr>
      <t>生理宽放</t>
    </r>
    <r>
      <rPr>
        <sz val="12"/>
        <rFont val="黑体"/>
        <family val="3"/>
        <charset val="134"/>
      </rPr>
      <t xml:space="preserve">                                 3% ~ 5%  （一般 3%）</t>
    </r>
  </si>
  <si>
    <t>上厕所、擦汗、饮水等生理需要而导致的宽放。</t>
  </si>
  <si>
    <t>可避免的宽放</t>
  </si>
  <si>
    <r>
      <rPr>
        <b/>
        <sz val="12"/>
        <rFont val="黑体"/>
        <family val="3"/>
        <charset val="134"/>
      </rPr>
      <t xml:space="preserve">管理宽放 </t>
    </r>
    <r>
      <rPr>
        <sz val="12"/>
        <rFont val="黑体"/>
        <family val="3"/>
        <charset val="134"/>
      </rPr>
      <t xml:space="preserve">                                3% ~ 5%  （一般 3%）</t>
    </r>
  </si>
  <si>
    <t>等待材料及搬运的宽放，若管理改善，此项可免。</t>
  </si>
  <si>
    <t>工时分析</t>
  </si>
  <si>
    <t>时间：</t>
  </si>
  <si>
    <t>工序号</t>
  </si>
  <si>
    <t>工序名称</t>
  </si>
  <si>
    <t>工序说明</t>
  </si>
  <si>
    <t>作业代号</t>
  </si>
  <si>
    <t>观测时间（S）</t>
  </si>
  <si>
    <t>平均工时</t>
  </si>
  <si>
    <t>人员</t>
  </si>
  <si>
    <t>备注</t>
  </si>
  <si>
    <t>浪费分析</t>
  </si>
  <si>
    <t>改善方案</t>
  </si>
  <si>
    <t>○</t>
  </si>
  <si>
    <t>→</t>
  </si>
  <si>
    <t>□</t>
  </si>
  <si>
    <t>▽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</si>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</sst>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76" formatCode="&quot;$&quot;#,##0;\-&quot;$&quot;#,##0"/>
    <numFmt numFmtId="177" formatCode="_(* #,##0_);_(* &quot;\&quot;&quot;\&quot;\(#,##0&quot;\&quot;&quot;\&quot;\);_(* &quot;-&quot;??_);_(@_)"/>
    <numFmt numFmtId="178" formatCode="####0.0000"/>
    <numFmt numFmtId="179" formatCode="0.00_)"/>
    <numFmt numFmtId="180" formatCode="_(* #,##0_);_(* \(#,##0\);_(* &quot;-&quot;??_);_(@_)"/>
    <numFmt numFmtId="181" formatCode="&quot;£&quot;#,##0;\-&quot;£&quot;#,##0"/>
    <numFmt numFmtId="182" formatCode="_-&quot;$&quot;* #,##0.00_-;\-&quot;$&quot;* #,##0.00_-;_-&quot;$&quot;* &quot;-&quot;??_-;_-@_-"/>
    <numFmt numFmtId="183" formatCode="&quot;£&quot;#,##0;[Red]\-&quot;£&quot;#,##0"/>
    <numFmt numFmtId="184" formatCode="_-* #,##0_-;\-* #,##0_-;_-* &quot;-&quot;_-;_-@_-"/>
    <numFmt numFmtId="185" formatCode="_-* #,##0.00_-;\-* #,##0.00_-;_-* &quot;-&quot;??_-;_-@_-"/>
    <numFmt numFmtId="186" formatCode="_-&quot;$&quot;* #,##0_-;\-&quot;$&quot;* #,##0_-;_-&quot;$&quot;* &quot;-&quot;_-;_-@_-"/>
    <numFmt numFmtId="187" formatCode="&quot;L.&quot;\ #,##0.00;[Red]\-&quot;L.&quot;\ #,##0.00"/>
    <numFmt numFmtId="188" formatCode="mmm\ dd\.\ yyyy"/>
    <numFmt numFmtId="189" formatCode="&quot;L.&quot;\ #,##0.00;\-&quot;L.&quot;\ #,##0.00"/>
    <numFmt numFmtId="190" formatCode="mmm"/>
    <numFmt numFmtId="191" formatCode="mmm;"/>
    <numFmt numFmtId="192" formatCode="#,##0.000_);\(#,##0.000\)"/>
    <numFmt numFmtId="193" formatCode="\60\4\7\:"/>
    <numFmt numFmtId="194" formatCode="&quot;$&quot;#,\);\(&quot;$&quot;#,\)"/>
    <numFmt numFmtId="195" formatCode="_(* #,##0.0_);_(* \(#,##0.00\);_(* &quot;-&quot;??_);_(@_)"/>
    <numFmt numFmtId="196" formatCode="General_)"/>
    <numFmt numFmtId="197" formatCode="&quot;$&quot;#,\);\(&quot;$&quot;#,##0\)"/>
    <numFmt numFmtId="198" formatCode="&quot;$&quot;#,;\(&quot;$&quot;#,\)"/>
    <numFmt numFmtId="199" formatCode="_(&quot;$&quot;* #,##0_);_(&quot;$&quot;* \(#,##0;_(&quot;$&quot;* &quot;-&quot;_);_(@_)"/>
    <numFmt numFmtId="200" formatCode="&quot;\&quot;#,##0;[Red]&quot;\&quot;&quot;\&quot;\-#,##0"/>
    <numFmt numFmtId="201" formatCode="&quot;\&quot;#,##0.00;[Red]&quot;\&quot;&quot;\&quot;&quot;\&quot;&quot;\&quot;&quot;\&quot;&quot;\&quot;\-#,##0.00"/>
    <numFmt numFmtId="202" formatCode="&quot;\&quot;#,##0.00;[Red]&quot;\&quot;\-#,##0.00"/>
    <numFmt numFmtId="203" formatCode="&quot;\&quot;#,##0;[Red]&quot;\&quot;\-#,##0"/>
    <numFmt numFmtId="204" formatCode="0.0"/>
    <numFmt numFmtId="205" formatCode="0.00_ "/>
    <numFmt numFmtId="206" formatCode="0_ "/>
    <numFmt numFmtId="207" formatCode="0.00_);[Red]\(0.00\)"/>
    <numFmt numFmtId="208" formatCode="0.0_ ;[Red]\-0.0\ "/>
    <numFmt numFmtId="209" formatCode="0.0_ "/>
    <numFmt numFmtId="210" formatCode="yyyy/m/d;@"/>
  </numFmts>
  <fonts count="94">
    <font>
      <sz val="12"/>
      <name val="新細明體"/>
      <charset val="134"/>
    </font>
    <font>
      <sz val="11"/>
      <color theme="1"/>
      <name val="宋体"/>
      <family val="3"/>
      <charset val="134"/>
      <scheme val="minor"/>
    </font>
    <font>
      <b/>
      <sz val="16"/>
      <color theme="1"/>
      <name val="黑体"/>
      <family val="3"/>
      <charset val="134"/>
    </font>
    <font>
      <sz val="8"/>
      <color theme="1"/>
      <name val="黑体"/>
      <family val="3"/>
      <charset val="134"/>
    </font>
    <font>
      <sz val="6"/>
      <color theme="1"/>
      <name val="黑体"/>
      <family val="3"/>
      <charset val="134"/>
    </font>
    <font>
      <b/>
      <sz val="8"/>
      <color theme="1"/>
      <name val="黑体"/>
      <family val="3"/>
      <charset val="134"/>
    </font>
    <font>
      <sz val="8"/>
      <color theme="1"/>
      <name val="等线"/>
      <family val="3"/>
      <charset val="134"/>
    </font>
    <font>
      <sz val="12"/>
      <name val="黑体"/>
      <family val="3"/>
      <charset val="134"/>
    </font>
    <font>
      <sz val="24"/>
      <name val="黑体"/>
      <family val="3"/>
      <charset val="134"/>
    </font>
    <font>
      <sz val="12"/>
      <color indexed="9"/>
      <name val="黑体"/>
      <family val="3"/>
      <charset val="134"/>
    </font>
    <font>
      <sz val="20"/>
      <name val="黑体"/>
      <family val="3"/>
      <charset val="134"/>
    </font>
    <font>
      <sz val="18"/>
      <name val="黑体"/>
      <family val="3"/>
      <charset val="134"/>
    </font>
    <font>
      <sz val="12"/>
      <name val="Arial"/>
      <family val="2"/>
    </font>
    <font>
      <b/>
      <sz val="26"/>
      <name val="Arial"/>
      <family val="2"/>
    </font>
    <font>
      <b/>
      <sz val="12"/>
      <name val="宋体"/>
      <family val="3"/>
      <charset val="134"/>
    </font>
    <font>
      <b/>
      <sz val="12"/>
      <name val="Arial"/>
      <family val="2"/>
    </font>
    <font>
      <sz val="12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8"/>
      <name val="Arial"/>
      <family val="2"/>
    </font>
    <font>
      <sz val="12"/>
      <color theme="0"/>
      <name val="Arial"/>
      <family val="2"/>
    </font>
    <font>
      <b/>
      <sz val="16"/>
      <name val="宋体"/>
      <family val="3"/>
      <charset val="134"/>
    </font>
    <font>
      <b/>
      <sz val="16"/>
      <name val="Arial"/>
      <family val="2"/>
    </font>
    <font>
      <b/>
      <sz val="26"/>
      <color rgb="FF0000CC"/>
      <name val="Arial"/>
      <family val="2"/>
    </font>
    <font>
      <b/>
      <sz val="18"/>
      <color theme="0"/>
      <name val="黑体"/>
      <family val="3"/>
      <charset val="134"/>
    </font>
    <font>
      <sz val="16"/>
      <color rgb="FFC00000"/>
      <name val="Wingdings"/>
      <charset val="2"/>
    </font>
    <font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2"/>
      <color theme="0"/>
      <name val="Wingdings 2"/>
      <family val="1"/>
      <charset val="2"/>
    </font>
    <font>
      <b/>
      <sz val="24"/>
      <color theme="0"/>
      <name val="黑体"/>
      <family val="3"/>
      <charset val="134"/>
    </font>
    <font>
      <b/>
      <sz val="12"/>
      <color theme="0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rgb="FF0000CC"/>
      <name val="Arial"/>
      <family val="2"/>
    </font>
    <font>
      <sz val="11"/>
      <color theme="1"/>
      <name val="微软雅黑"/>
      <family val="2"/>
      <charset val="134"/>
    </font>
    <font>
      <b/>
      <sz val="24"/>
      <name val="Arial"/>
      <family val="2"/>
    </font>
    <font>
      <b/>
      <sz val="12"/>
      <color rgb="FF0000CC"/>
      <name val="微软雅黑"/>
      <family val="2"/>
      <charset val="134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Arial"/>
      <family val="2"/>
    </font>
    <font>
      <sz val="12"/>
      <name val="宋体"/>
      <family val="3"/>
      <charset val="134"/>
      <scheme val="minor"/>
    </font>
    <font>
      <b/>
      <sz val="24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color rgb="FF0000CC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name val="MS Sans Serif"/>
      <family val="1"/>
    </font>
    <font>
      <b/>
      <sz val="14"/>
      <name val="Times New Roman"/>
      <family val="1"/>
    </font>
    <font>
      <sz val="12"/>
      <name val="¹UAAA¼"/>
      <charset val="134"/>
    </font>
    <font>
      <sz val="8"/>
      <name val="Times New Roman"/>
      <family val="1"/>
    </font>
    <font>
      <b/>
      <sz val="10"/>
      <name val="MS Sans Serif"/>
      <family val="2"/>
    </font>
    <font>
      <sz val="8"/>
      <name val="Cordia New"/>
      <family val="2"/>
      <charset val="22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MS Serif"/>
      <family val="1"/>
    </font>
    <font>
      <sz val="10"/>
      <name val="Courier"/>
      <family val="3"/>
    </font>
    <font>
      <sz val="8"/>
      <name val="MS Sans Serif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b/>
      <sz val="1"/>
      <color indexed="8"/>
      <name val="Courier"/>
      <family val="3"/>
    </font>
    <font>
      <b/>
      <u/>
      <sz val="1"/>
      <color indexed="8"/>
      <name val="Courier"/>
      <family val="3"/>
    </font>
    <font>
      <u/>
      <sz val="1"/>
      <color indexed="8"/>
      <name val="Courier"/>
      <family val="3"/>
    </font>
    <font>
      <sz val="1"/>
      <color indexed="8"/>
      <name val="Courier"/>
      <family val="3"/>
    </font>
    <font>
      <b/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u/>
      <sz val="10"/>
      <color indexed="12"/>
      <name val="MS Sans Serif"/>
      <family val="2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14"/>
      <name val="뼻뮝"/>
      <charset val="134"/>
    </font>
    <font>
      <sz val="12"/>
      <name val="Courier"/>
      <family val="3"/>
    </font>
    <font>
      <sz val="10"/>
      <name val="Geneva"/>
      <family val="1"/>
    </font>
    <font>
      <sz val="12"/>
      <name val="뼻뮝"/>
      <charset val="134"/>
    </font>
    <font>
      <sz val="12"/>
      <name val="바탕체"/>
      <charset val="134"/>
    </font>
    <font>
      <sz val="10"/>
      <name val="굴림체"/>
      <charset val="134"/>
    </font>
    <font>
      <b/>
      <sz val="12"/>
      <name val="黑体"/>
      <family val="3"/>
      <charset val="134"/>
    </font>
    <font>
      <b/>
      <sz val="12"/>
      <color indexed="9"/>
      <name val="宋体"/>
      <family val="3"/>
      <charset val="134"/>
    </font>
    <font>
      <b/>
      <sz val="12"/>
      <color indexed="9"/>
      <name val="Arial"/>
      <family val="2"/>
    </font>
    <font>
      <b/>
      <sz val="10"/>
      <name val="宋体"/>
      <family val="3"/>
      <charset val="134"/>
    </font>
    <font>
      <b/>
      <vertAlign val="subscript"/>
      <sz val="12"/>
      <name val="Arial"/>
      <family val="2"/>
    </font>
    <font>
      <vertAlign val="subscript"/>
      <sz val="12"/>
      <color indexed="9"/>
      <name val="Arial"/>
      <family val="2"/>
    </font>
    <font>
      <b/>
      <sz val="10"/>
      <color indexed="9"/>
      <name val="宋体"/>
      <family val="3"/>
      <charset val="134"/>
    </font>
    <font>
      <b/>
      <sz val="26"/>
      <name val="宋体"/>
      <family val="3"/>
      <charset val="134"/>
    </font>
    <font>
      <b/>
      <vertAlign val="subscript"/>
      <sz val="16"/>
      <name val="Arial"/>
      <family val="2"/>
    </font>
    <font>
      <b/>
      <sz val="24"/>
      <name val="黑体"/>
      <family val="3"/>
      <charset val="134"/>
    </font>
    <font>
      <sz val="16"/>
      <color indexed="60"/>
      <name val="Wingdings 2"/>
      <family val="1"/>
      <charset val="2"/>
    </font>
    <font>
      <sz val="16"/>
      <color indexed="60"/>
      <name val="黑体"/>
      <family val="3"/>
      <charset val="134"/>
    </font>
    <font>
      <vertAlign val="subscript"/>
      <sz val="16"/>
      <color indexed="60"/>
      <name val="黑体"/>
      <family val="3"/>
      <charset val="134"/>
    </font>
    <font>
      <sz val="16"/>
      <color indexed="60"/>
      <name val="Wingdings"/>
      <charset val="2"/>
    </font>
    <font>
      <b/>
      <vertAlign val="superscript"/>
      <sz val="10"/>
      <name val="Arial"/>
      <family val="2"/>
    </font>
    <font>
      <sz val="12"/>
      <name val="新細明體"/>
      <charset val="134"/>
    </font>
    <font>
      <sz val="9"/>
      <name val="新細明體"/>
      <charset val="134"/>
    </font>
  </fonts>
  <fills count="22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double">
        <color auto="1"/>
      </top>
      <bottom/>
      <diagonal/>
    </border>
  </borders>
  <cellStyleXfs count="79">
    <xf numFmtId="0" fontId="0" fillId="0" borderId="0"/>
    <xf numFmtId="9" fontId="92" fillId="0" borderId="0" applyFont="0" applyFill="0" applyBorder="0" applyAlignment="0" applyProtection="0">
      <alignment vertical="center"/>
    </xf>
    <xf numFmtId="0" fontId="17" fillId="0" borderId="0" applyAlignment="0"/>
    <xf numFmtId="0" fontId="47" fillId="0" borderId="0"/>
    <xf numFmtId="0" fontId="17" fillId="0" borderId="0"/>
    <xf numFmtId="0" fontId="48" fillId="0" borderId="0">
      <alignment horizontal="center" vertical="center"/>
    </xf>
    <xf numFmtId="0" fontId="49" fillId="0" borderId="0" applyFont="0" applyFill="0" applyBorder="0" applyAlignment="0" applyProtection="0"/>
    <xf numFmtId="0" fontId="50" fillId="0" borderId="0">
      <alignment horizontal="center" wrapText="1"/>
      <protection locked="0"/>
    </xf>
    <xf numFmtId="176" fontId="51" fillId="0" borderId="58" applyAlignment="0" applyProtection="0"/>
    <xf numFmtId="0" fontId="49" fillId="0" borderId="0"/>
    <xf numFmtId="177" fontId="52" fillId="0" borderId="0" applyFill="0" applyBorder="0" applyAlignment="0"/>
    <xf numFmtId="178" fontId="17" fillId="0" borderId="0" applyFill="0" applyBorder="0" applyAlignment="0"/>
    <xf numFmtId="179" fontId="17" fillId="0" borderId="0" applyFill="0" applyBorder="0" applyAlignment="0"/>
    <xf numFmtId="180" fontId="17" fillId="0" borderId="0" applyFill="0" applyBorder="0" applyAlignment="0"/>
    <xf numFmtId="181" fontId="17" fillId="0" borderId="0" applyFill="0" applyBorder="0" applyAlignment="0"/>
    <xf numFmtId="182" fontId="53" fillId="0" borderId="0" applyFill="0" applyBorder="0" applyAlignment="0"/>
    <xf numFmtId="183" fontId="17" fillId="0" borderId="0" applyFill="0" applyBorder="0" applyAlignment="0"/>
    <xf numFmtId="0" fontId="51" fillId="0" borderId="0" applyNumberFormat="0" applyFill="0" applyBorder="0" applyAlignment="0" applyProtection="0"/>
    <xf numFmtId="184" fontId="17" fillId="0" borderId="0" applyFont="0" applyFill="0" applyBorder="0" applyAlignment="0" applyProtection="0"/>
    <xf numFmtId="182" fontId="53" fillId="0" borderId="0" applyFont="0" applyFill="0" applyBorder="0" applyAlignment="0" applyProtection="0"/>
    <xf numFmtId="185" fontId="17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Alignment="0">
      <alignment horizontal="left"/>
    </xf>
    <xf numFmtId="0" fontId="56" fillId="0" borderId="0" applyNumberFormat="0" applyAlignment="0"/>
    <xf numFmtId="186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3" fontId="57" fillId="0" borderId="0"/>
    <xf numFmtId="15" fontId="47" fillId="0" borderId="0"/>
    <xf numFmtId="14" fontId="58" fillId="0" borderId="0" applyFill="0" applyBorder="0" applyAlignment="0"/>
    <xf numFmtId="0" fontId="17" fillId="0" borderId="0" applyFont="0" applyFill="0" applyBorder="0" applyAlignment="0" applyProtection="0"/>
    <xf numFmtId="38" fontId="47" fillId="0" borderId="59">
      <alignment vertical="center"/>
    </xf>
    <xf numFmtId="0" fontId="59" fillId="0" borderId="0" applyNumberFormat="0" applyAlignment="0">
      <alignment horizontal="left"/>
    </xf>
    <xf numFmtId="0" fontId="60" fillId="0" borderId="0">
      <protection locked="0"/>
    </xf>
    <xf numFmtId="0" fontId="61" fillId="0" borderId="0">
      <protection locked="0"/>
    </xf>
    <xf numFmtId="0" fontId="62" fillId="0" borderId="0">
      <protection locked="0"/>
    </xf>
    <xf numFmtId="0" fontId="63" fillId="0" borderId="0">
      <protection locked="0"/>
    </xf>
    <xf numFmtId="0" fontId="64" fillId="0" borderId="0">
      <protection locked="0"/>
    </xf>
    <xf numFmtId="2" fontId="17" fillId="0" borderId="0" applyFont="0" applyFill="0" applyBorder="0" applyAlignment="0" applyProtection="0"/>
    <xf numFmtId="0" fontId="65" fillId="0" borderId="0" applyNumberFormat="0" applyFill="0" applyBorder="0" applyAlignment="0" applyProtection="0"/>
    <xf numFmtId="38" fontId="19" fillId="18" borderId="0" applyNumberFormat="0" applyBorder="0" applyAlignment="0" applyProtection="0"/>
    <xf numFmtId="0" fontId="15" fillId="0" borderId="60" applyNumberFormat="0" applyAlignment="0" applyProtection="0">
      <alignment horizontal="left" vertical="center"/>
    </xf>
    <xf numFmtId="0" fontId="15" fillId="0" borderId="15">
      <alignment horizontal="left" vertical="center"/>
    </xf>
    <xf numFmtId="0" fontId="66" fillId="0" borderId="0" applyNumberFormat="0" applyFill="0" applyBorder="0" applyAlignment="0" applyProtection="0"/>
    <xf numFmtId="10" fontId="19" fillId="19" borderId="13" applyNumberFormat="0" applyBorder="0" applyAlignment="0" applyProtection="0"/>
    <xf numFmtId="178" fontId="17" fillId="20" borderId="0"/>
    <xf numFmtId="178" fontId="17" fillId="21" borderId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0" fontId="67" fillId="0" borderId="0"/>
    <xf numFmtId="191" fontId="52" fillId="0" borderId="0"/>
    <xf numFmtId="0" fontId="68" fillId="7" borderId="0"/>
    <xf numFmtId="192" fontId="56" fillId="0" borderId="0" applyFont="0" applyFill="0" applyBorder="0" applyAlignment="0" applyProtection="0"/>
    <xf numFmtId="193" fontId="69" fillId="0" borderId="0" applyFont="0" applyFill="0" applyBorder="0" applyAlignment="0" applyProtection="0"/>
    <xf numFmtId="10" fontId="17" fillId="0" borderId="0" applyFont="0" applyFill="0" applyBorder="0" applyAlignment="0" applyProtection="0"/>
    <xf numFmtId="194" fontId="56" fillId="0" borderId="0" applyFont="0" applyFill="0" applyBorder="0" applyAlignment="0" applyProtection="0"/>
    <xf numFmtId="195" fontId="69" fillId="0" borderId="0" applyFill="0" applyBorder="0" applyAlignment="0"/>
    <xf numFmtId="196" fontId="69" fillId="0" borderId="0" applyFill="0" applyBorder="0" applyAlignment="0"/>
    <xf numFmtId="197" fontId="56" fillId="0" borderId="0" applyFill="0" applyBorder="0" applyAlignment="0"/>
    <xf numFmtId="49" fontId="58" fillId="0" borderId="0" applyFill="0" applyBorder="0" applyAlignment="0"/>
    <xf numFmtId="194" fontId="56" fillId="0" borderId="0" applyFill="0" applyBorder="0" applyAlignment="0"/>
    <xf numFmtId="198" fontId="56" fillId="0" borderId="0" applyFill="0" applyBorder="0" applyAlignment="0"/>
    <xf numFmtId="0" fontId="17" fillId="0" borderId="61" applyNumberFormat="0" applyFont="0" applyFill="0" applyAlignment="0" applyProtection="0"/>
    <xf numFmtId="0" fontId="1" fillId="0" borderId="0">
      <alignment vertical="center"/>
    </xf>
    <xf numFmtId="0" fontId="1" fillId="0" borderId="0"/>
    <xf numFmtId="199" fontId="70" fillId="0" borderId="0" applyFont="0" applyFill="0" applyBorder="0" applyAlignment="0" applyProtection="0"/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72" fillId="0" borderId="0"/>
    <xf numFmtId="0" fontId="73" fillId="0" borderId="0"/>
    <xf numFmtId="0" fontId="71" fillId="0" borderId="0" applyFont="0" applyFill="0" applyBorder="0" applyAlignment="0" applyProtection="0"/>
    <xf numFmtId="0" fontId="74" fillId="0" borderId="0"/>
    <xf numFmtId="200" fontId="17" fillId="0" borderId="0" applyFont="0" applyFill="0" applyBorder="0" applyAlignment="0" applyProtection="0"/>
    <xf numFmtId="201" fontId="17" fillId="0" borderId="0" applyFont="0" applyFill="0" applyBorder="0" applyAlignment="0" applyProtection="0"/>
    <xf numFmtId="202" fontId="75" fillId="0" borderId="0" applyFont="0" applyFill="0" applyBorder="0" applyAlignment="0" applyProtection="0"/>
    <xf numFmtId="203" fontId="75" fillId="0" borderId="0" applyFont="0" applyFill="0" applyBorder="0" applyAlignment="0" applyProtection="0"/>
    <xf numFmtId="0" fontId="76" fillId="0" borderId="0"/>
  </cellStyleXfs>
  <cellXfs count="380">
    <xf numFmtId="0" fontId="0" fillId="0" borderId="0" xfId="0"/>
    <xf numFmtId="0" fontId="1" fillId="0" borderId="0" xfId="66" applyAlignment="1">
      <alignment horizontal="center" vertical="center"/>
    </xf>
    <xf numFmtId="204" fontId="1" fillId="0" borderId="0" xfId="66" applyNumberFormat="1" applyAlignment="1">
      <alignment horizontal="center" vertical="center"/>
    </xf>
    <xf numFmtId="0" fontId="1" fillId="0" borderId="0" xfId="66" applyAlignment="1">
      <alignment horizontal="center"/>
    </xf>
    <xf numFmtId="0" fontId="1" fillId="0" borderId="0" xfId="66"/>
    <xf numFmtId="0" fontId="3" fillId="0" borderId="0" xfId="66" applyFont="1" applyAlignment="1">
      <alignment horizontal="center" vertical="center"/>
    </xf>
    <xf numFmtId="0" fontId="5" fillId="2" borderId="6" xfId="66" applyFont="1" applyFill="1" applyBorder="1" applyAlignment="1">
      <alignment horizontal="center" vertical="center"/>
    </xf>
    <xf numFmtId="0" fontId="3" fillId="0" borderId="10" xfId="66" applyFont="1" applyBorder="1" applyAlignment="1">
      <alignment horizontal="center" vertical="center"/>
    </xf>
    <xf numFmtId="204" fontId="3" fillId="0" borderId="10" xfId="66" applyNumberFormat="1" applyFont="1" applyBorder="1" applyAlignment="1">
      <alignment horizontal="center" vertical="center"/>
    </xf>
    <xf numFmtId="0" fontId="3" fillId="0" borderId="11" xfId="66" applyFont="1" applyBorder="1" applyAlignment="1">
      <alignment vertical="center"/>
    </xf>
    <xf numFmtId="0" fontId="3" fillId="0" borderId="11" xfId="66" applyFont="1" applyBorder="1" applyAlignment="1">
      <alignment vertical="center" wrapText="1"/>
    </xf>
    <xf numFmtId="0" fontId="3" fillId="0" borderId="11" xfId="66" applyFont="1" applyBorder="1"/>
    <xf numFmtId="0" fontId="3" fillId="0" borderId="12" xfId="66" applyFont="1" applyBorder="1" applyAlignment="1">
      <alignment vertical="center" wrapText="1"/>
    </xf>
    <xf numFmtId="0" fontId="3" fillId="0" borderId="13" xfId="66" applyFont="1" applyBorder="1" applyAlignment="1">
      <alignment horizontal="center" vertical="center"/>
    </xf>
    <xf numFmtId="204" fontId="3" fillId="0" borderId="13" xfId="66" applyNumberFormat="1" applyFont="1" applyBorder="1" applyAlignment="1">
      <alignment horizontal="center" vertical="center"/>
    </xf>
    <xf numFmtId="204" fontId="5" fillId="3" borderId="13" xfId="66" applyNumberFormat="1" applyFont="1" applyFill="1" applyBorder="1" applyAlignment="1">
      <alignment horizontal="center" vertical="center"/>
    </xf>
    <xf numFmtId="0" fontId="3" fillId="0" borderId="10" xfId="66" applyFont="1" applyBorder="1" applyAlignment="1">
      <alignment vertical="center"/>
    </xf>
    <xf numFmtId="0" fontId="3" fillId="0" borderId="10" xfId="66" applyFont="1" applyBorder="1" applyAlignment="1">
      <alignment vertical="center" wrapText="1"/>
    </xf>
    <xf numFmtId="0" fontId="3" fillId="0" borderId="10" xfId="66" applyFont="1" applyBorder="1"/>
    <xf numFmtId="0" fontId="3" fillId="0" borderId="17" xfId="66" applyFont="1" applyBorder="1" applyAlignment="1">
      <alignment vertical="center" wrapText="1"/>
    </xf>
    <xf numFmtId="0" fontId="3" fillId="0" borderId="18" xfId="66" applyFont="1" applyBorder="1" applyAlignment="1">
      <alignment vertical="center"/>
    </xf>
    <xf numFmtId="0" fontId="3" fillId="0" borderId="18" xfId="66" applyFont="1" applyBorder="1" applyAlignment="1">
      <alignment vertical="center" wrapText="1"/>
    </xf>
    <xf numFmtId="0" fontId="3" fillId="0" borderId="19" xfId="66" applyFont="1" applyBorder="1" applyAlignment="1">
      <alignment vertical="center" wrapText="1"/>
    </xf>
    <xf numFmtId="204" fontId="5" fillId="3" borderId="6" xfId="66" applyNumberFormat="1" applyFont="1" applyFill="1" applyBorder="1" applyAlignment="1">
      <alignment horizontal="center" vertical="center"/>
    </xf>
    <xf numFmtId="0" fontId="3" fillId="0" borderId="7" xfId="66" applyFont="1" applyBorder="1" applyAlignment="1">
      <alignment vertical="center"/>
    </xf>
    <xf numFmtId="0" fontId="3" fillId="0" borderId="7" xfId="66" applyFont="1" applyBorder="1" applyAlignment="1">
      <alignment vertical="center" wrapText="1"/>
    </xf>
    <xf numFmtId="0" fontId="3" fillId="0" borderId="24" xfId="66" applyFont="1" applyBorder="1" applyAlignment="1">
      <alignment vertical="center" wrapText="1"/>
    </xf>
    <xf numFmtId="0" fontId="3" fillId="0" borderId="2" xfId="66" applyFont="1" applyBorder="1" applyAlignment="1">
      <alignment horizontal="center" vertical="center"/>
    </xf>
    <xf numFmtId="204" fontId="3" fillId="0" borderId="2" xfId="66" applyNumberFormat="1" applyFont="1" applyBorder="1" applyAlignment="1">
      <alignment horizontal="center" vertical="center"/>
    </xf>
    <xf numFmtId="0" fontId="3" fillId="0" borderId="3" xfId="66" applyFont="1" applyBorder="1" applyAlignment="1">
      <alignment vertical="center"/>
    </xf>
    <xf numFmtId="0" fontId="3" fillId="0" borderId="3" xfId="66" applyFont="1" applyBorder="1" applyAlignment="1">
      <alignment vertical="center" wrapText="1"/>
    </xf>
    <xf numFmtId="0" fontId="3" fillId="0" borderId="3" xfId="66" applyFont="1" applyBorder="1"/>
    <xf numFmtId="0" fontId="3" fillId="0" borderId="26" xfId="66" applyFont="1" applyBorder="1" applyAlignment="1">
      <alignment vertical="center"/>
    </xf>
    <xf numFmtId="0" fontId="3" fillId="0" borderId="12" xfId="66" applyFont="1" applyBorder="1" applyAlignment="1">
      <alignment vertical="center"/>
    </xf>
    <xf numFmtId="0" fontId="3" fillId="0" borderId="7" xfId="66" applyFont="1" applyBorder="1"/>
    <xf numFmtId="0" fontId="3" fillId="0" borderId="24" xfId="66" applyFont="1" applyBorder="1" applyAlignment="1">
      <alignment vertical="center"/>
    </xf>
    <xf numFmtId="0" fontId="3" fillId="0" borderId="26" xfId="66" applyFont="1" applyBorder="1"/>
    <xf numFmtId="0" fontId="3" fillId="0" borderId="12" xfId="66" applyFont="1" applyBorder="1"/>
    <xf numFmtId="0" fontId="3" fillId="0" borderId="24" xfId="66" applyFont="1" applyBorder="1"/>
    <xf numFmtId="0" fontId="3" fillId="0" borderId="26" xfId="66" applyFont="1" applyBorder="1" applyAlignment="1">
      <alignment vertical="center" wrapText="1"/>
    </xf>
    <xf numFmtId="204" fontId="5" fillId="3" borderId="18" xfId="66" applyNumberFormat="1" applyFont="1" applyFill="1" applyBorder="1" applyAlignment="1">
      <alignment horizontal="center" vertical="center"/>
    </xf>
    <xf numFmtId="0" fontId="6" fillId="0" borderId="2" xfId="66" applyFont="1" applyBorder="1" applyAlignment="1">
      <alignment horizontal="center" vertical="center"/>
    </xf>
    <xf numFmtId="0" fontId="3" fillId="0" borderId="2" xfId="66" applyFont="1" applyBorder="1" applyAlignment="1">
      <alignment vertical="center"/>
    </xf>
    <xf numFmtId="0" fontId="3" fillId="0" borderId="2" xfId="66" applyFont="1" applyBorder="1"/>
    <xf numFmtId="0" fontId="3" fillId="0" borderId="4" xfId="66" applyFont="1" applyBorder="1"/>
    <xf numFmtId="0" fontId="6" fillId="0" borderId="13" xfId="66" applyFont="1" applyBorder="1" applyAlignment="1">
      <alignment horizontal="center" vertical="center"/>
    </xf>
    <xf numFmtId="0" fontId="3" fillId="0" borderId="13" xfId="66" applyFont="1" applyBorder="1" applyAlignment="1">
      <alignment vertical="center"/>
    </xf>
    <xf numFmtId="0" fontId="3" fillId="0" borderId="13" xfId="66" applyFont="1" applyBorder="1"/>
    <xf numFmtId="0" fontId="3" fillId="0" borderId="29" xfId="66" applyFont="1" applyBorder="1"/>
    <xf numFmtId="0" fontId="3" fillId="0" borderId="18" xfId="66" applyFont="1" applyBorder="1"/>
    <xf numFmtId="0" fontId="3" fillId="0" borderId="19" xfId="66" applyFont="1" applyBorder="1" applyAlignment="1">
      <alignment vertical="center"/>
    </xf>
    <xf numFmtId="204" fontId="3" fillId="0" borderId="0" xfId="66" applyNumberFormat="1" applyFont="1" applyAlignment="1">
      <alignment horizontal="center" vertical="center"/>
    </xf>
    <xf numFmtId="0" fontId="3" fillId="0" borderId="0" xfId="66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205" fontId="7" fillId="0" borderId="32" xfId="0" applyNumberFormat="1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205" fontId="7" fillId="0" borderId="35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06" fontId="7" fillId="0" borderId="35" xfId="0" applyNumberFormat="1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205" fontId="7" fillId="0" borderId="38" xfId="0" applyNumberFormat="1" applyFont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6" borderId="13" xfId="0" applyFont="1" applyFill="1" applyBorder="1" applyAlignment="1">
      <alignment horizontal="center" vertical="center"/>
    </xf>
    <xf numFmtId="0" fontId="15" fillId="0" borderId="14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4" fillId="0" borderId="13" xfId="0" applyFont="1" applyBorder="1" applyAlignment="1">
      <alignment horizontal="center" vertical="center"/>
    </xf>
    <xf numFmtId="0" fontId="15" fillId="6" borderId="14" xfId="0" applyFont="1" applyFill="1" applyBorder="1" applyAlignment="1">
      <alignment vertical="center"/>
    </xf>
    <xf numFmtId="0" fontId="15" fillId="6" borderId="16" xfId="0" applyFont="1" applyFill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4" fillId="6" borderId="13" xfId="0" applyFont="1" applyFill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2" fillId="2" borderId="13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207" fontId="17" fillId="7" borderId="13" xfId="0" applyNumberFormat="1" applyFont="1" applyFill="1" applyBorder="1" applyAlignment="1">
      <alignment horizontal="center" vertical="center"/>
    </xf>
    <xf numFmtId="0" fontId="19" fillId="0" borderId="0" xfId="0" applyFont="1" applyAlignment="1" applyProtection="1">
      <alignment horizontal="center" vertical="center" textRotation="255" wrapText="1"/>
      <protection hidden="1"/>
    </xf>
    <xf numFmtId="0" fontId="20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47" xfId="0" applyFont="1" applyBorder="1" applyAlignment="1" applyProtection="1">
      <alignment vertical="center"/>
      <protection hidden="1"/>
    </xf>
    <xf numFmtId="0" fontId="12" fillId="0" borderId="48" xfId="0" applyFont="1" applyBorder="1" applyAlignment="1" applyProtection="1">
      <alignment vertical="center"/>
      <protection hidden="1"/>
    </xf>
    <xf numFmtId="0" fontId="21" fillId="2" borderId="1" xfId="0" applyFont="1" applyFill="1" applyBorder="1" applyAlignment="1" applyProtection="1">
      <alignment horizontal="center" vertical="center"/>
      <protection hidden="1"/>
    </xf>
    <xf numFmtId="1" fontId="22" fillId="8" borderId="4" xfId="0" applyNumberFormat="1" applyFont="1" applyFill="1" applyBorder="1" applyAlignment="1" applyProtection="1">
      <alignment horizontal="center" vertical="center"/>
      <protection hidden="1"/>
    </xf>
    <xf numFmtId="0" fontId="12" fillId="0" borderId="49" xfId="0" applyFont="1" applyBorder="1" applyAlignment="1" applyProtection="1">
      <alignment vertical="center"/>
      <protection hidden="1"/>
    </xf>
    <xf numFmtId="0" fontId="21" fillId="2" borderId="27" xfId="0" applyFont="1" applyFill="1" applyBorder="1" applyAlignment="1" applyProtection="1">
      <alignment horizontal="center" vertical="center" wrapText="1"/>
      <protection hidden="1"/>
    </xf>
    <xf numFmtId="2" fontId="22" fillId="8" borderId="29" xfId="0" applyNumberFormat="1" applyFont="1" applyFill="1" applyBorder="1" applyAlignment="1" applyProtection="1">
      <alignment horizontal="center" vertical="center"/>
      <protection hidden="1"/>
    </xf>
    <xf numFmtId="0" fontId="22" fillId="2" borderId="27" xfId="0" applyFont="1" applyFill="1" applyBorder="1" applyAlignment="1" applyProtection="1">
      <alignment horizontal="center" vertical="center" wrapText="1"/>
      <protection hidden="1"/>
    </xf>
    <xf numFmtId="2" fontId="22" fillId="8" borderId="50" xfId="0" applyNumberFormat="1" applyFont="1" applyFill="1" applyBorder="1" applyAlignment="1" applyProtection="1">
      <alignment horizontal="center" vertical="center"/>
      <protection hidden="1"/>
    </xf>
    <xf numFmtId="1" fontId="22" fillId="8" borderId="50" xfId="0" applyNumberFormat="1" applyFont="1" applyFill="1" applyBorder="1" applyAlignment="1" applyProtection="1">
      <alignment horizontal="center" vertical="center"/>
      <protection hidden="1"/>
    </xf>
    <xf numFmtId="10" fontId="23" fillId="8" borderId="29" xfId="1" applyNumberFormat="1" applyFont="1" applyFill="1" applyBorder="1" applyAlignment="1" applyProtection="1">
      <alignment horizontal="center" vertical="center"/>
      <protection hidden="1"/>
    </xf>
    <xf numFmtId="0" fontId="21" fillId="2" borderId="5" xfId="0" applyFont="1" applyFill="1" applyBorder="1" applyAlignment="1" applyProtection="1">
      <alignment horizontal="center" vertical="center"/>
      <protection hidden="1"/>
    </xf>
    <xf numFmtId="1" fontId="22" fillId="8" borderId="8" xfId="0" applyNumberFormat="1" applyFont="1" applyFill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top"/>
      <protection hidden="1"/>
    </xf>
    <xf numFmtId="0" fontId="15" fillId="2" borderId="1" xfId="0" applyFont="1" applyFill="1" applyBorder="1" applyAlignment="1" applyProtection="1">
      <alignment horizontal="center" vertical="center"/>
      <protection hidden="1"/>
    </xf>
    <xf numFmtId="0" fontId="12" fillId="10" borderId="2" xfId="0" applyFont="1" applyFill="1" applyBorder="1" applyAlignment="1" applyProtection="1">
      <alignment horizontal="center" vertical="top" textRotation="255" wrapText="1"/>
      <protection hidden="1"/>
    </xf>
    <xf numFmtId="0" fontId="12" fillId="10" borderId="4" xfId="0" applyFont="1" applyFill="1" applyBorder="1" applyAlignment="1" applyProtection="1">
      <alignment horizontal="center" vertical="top" textRotation="255" wrapText="1"/>
      <protection hidden="1"/>
    </xf>
    <xf numFmtId="0" fontId="15" fillId="2" borderId="27" xfId="0" applyFont="1" applyFill="1" applyBorder="1" applyAlignment="1" applyProtection="1">
      <alignment horizontal="center" vertical="center"/>
      <protection hidden="1"/>
    </xf>
    <xf numFmtId="0" fontId="26" fillId="10" borderId="13" xfId="0" applyFont="1" applyFill="1" applyBorder="1" applyAlignment="1" applyProtection="1">
      <alignment horizontal="center" vertical="center"/>
      <protection hidden="1"/>
    </xf>
    <xf numFmtId="0" fontId="26" fillId="10" borderId="29" xfId="0" applyFont="1" applyFill="1" applyBorder="1" applyAlignment="1" applyProtection="1">
      <alignment horizontal="center" vertical="center"/>
      <protection hidden="1"/>
    </xf>
    <xf numFmtId="204" fontId="26" fillId="10" borderId="13" xfId="0" applyNumberFormat="1" applyFont="1" applyFill="1" applyBorder="1" applyAlignment="1" applyProtection="1">
      <alignment horizontal="center" vertical="center"/>
      <protection hidden="1"/>
    </xf>
    <xf numFmtId="204" fontId="26" fillId="10" borderId="29" xfId="0" applyNumberFormat="1" applyFont="1" applyFill="1" applyBorder="1" applyAlignment="1" applyProtection="1">
      <alignment horizontal="center" vertical="center"/>
      <protection hidden="1"/>
    </xf>
    <xf numFmtId="0" fontId="15" fillId="2" borderId="5" xfId="0" applyFont="1" applyFill="1" applyBorder="1" applyAlignment="1" applyProtection="1">
      <alignment horizontal="center" vertical="center"/>
      <protection hidden="1"/>
    </xf>
    <xf numFmtId="208" fontId="27" fillId="10" borderId="6" xfId="0" applyNumberFormat="1" applyFont="1" applyFill="1" applyBorder="1" applyAlignment="1" applyProtection="1">
      <alignment vertical="center"/>
      <protection hidden="1"/>
    </xf>
    <xf numFmtId="208" fontId="28" fillId="10" borderId="6" xfId="0" applyNumberFormat="1" applyFont="1" applyFill="1" applyBorder="1" applyAlignment="1" applyProtection="1">
      <alignment vertical="center"/>
      <protection hidden="1"/>
    </xf>
    <xf numFmtId="208" fontId="28" fillId="10" borderId="8" xfId="0" applyNumberFormat="1" applyFont="1" applyFill="1" applyBorder="1" applyAlignment="1" applyProtection="1">
      <alignment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2" fontId="20" fillId="0" borderId="0" xfId="0" applyNumberFormat="1" applyFont="1" applyAlignment="1" applyProtection="1">
      <alignment vertical="center"/>
      <protection hidden="1"/>
    </xf>
    <xf numFmtId="205" fontId="12" fillId="0" borderId="0" xfId="0" applyNumberFormat="1" applyFont="1" applyAlignment="1" applyProtection="1">
      <alignment vertical="center"/>
      <protection hidden="1"/>
    </xf>
    <xf numFmtId="209" fontId="12" fillId="0" borderId="0" xfId="0" applyNumberFormat="1" applyFont="1" applyAlignment="1" applyProtection="1">
      <alignment vertical="center"/>
      <protection hidden="1"/>
    </xf>
    <xf numFmtId="0" fontId="14" fillId="2" borderId="2" xfId="0" applyFont="1" applyFill="1" applyBorder="1" applyAlignment="1" applyProtection="1">
      <alignment horizontal="center" vertical="center"/>
      <protection hidden="1"/>
    </xf>
    <xf numFmtId="20" fontId="15" fillId="12" borderId="2" xfId="0" applyNumberFormat="1" applyFont="1" applyFill="1" applyBorder="1" applyAlignment="1" applyProtection="1">
      <alignment vertical="center"/>
      <protection hidden="1"/>
    </xf>
    <xf numFmtId="0" fontId="15" fillId="2" borderId="2" xfId="0" applyFont="1" applyFill="1" applyBorder="1" applyAlignment="1" applyProtection="1">
      <alignment horizontal="center" vertical="center"/>
      <protection hidden="1"/>
    </xf>
    <xf numFmtId="1" fontId="15" fillId="12" borderId="2" xfId="0" applyNumberFormat="1" applyFont="1" applyFill="1" applyBorder="1" applyAlignment="1" applyProtection="1">
      <alignment horizontal="center" vertical="center"/>
      <protection hidden="1"/>
    </xf>
    <xf numFmtId="204" fontId="15" fillId="12" borderId="2" xfId="0" applyNumberFormat="1" applyFont="1" applyFill="1" applyBorder="1" applyAlignment="1" applyProtection="1">
      <alignment horizontal="center" vertical="center"/>
      <protection hidden="1"/>
    </xf>
    <xf numFmtId="0" fontId="15" fillId="0" borderId="2" xfId="0" applyFont="1" applyBorder="1" applyAlignment="1" applyProtection="1">
      <alignment horizontal="center" vertical="center"/>
      <protection locked="0"/>
    </xf>
    <xf numFmtId="9" fontId="15" fillId="0" borderId="2" xfId="1" applyFont="1" applyBorder="1" applyAlignment="1" applyProtection="1">
      <alignment horizontal="center" vertical="center"/>
      <protection locked="0"/>
    </xf>
    <xf numFmtId="0" fontId="32" fillId="13" borderId="4" xfId="0" applyFont="1" applyFill="1" applyBorder="1" applyAlignment="1" applyProtection="1">
      <alignment horizontal="center" vertical="center"/>
      <protection hidden="1"/>
    </xf>
    <xf numFmtId="0" fontId="14" fillId="2" borderId="6" xfId="0" applyFont="1" applyFill="1" applyBorder="1" applyAlignment="1" applyProtection="1">
      <alignment horizontal="center" vertical="center"/>
      <protection hidden="1"/>
    </xf>
    <xf numFmtId="0" fontId="15" fillId="12" borderId="6" xfId="0" applyFont="1" applyFill="1" applyBorder="1" applyAlignment="1" applyProtection="1">
      <alignment vertical="center"/>
      <protection hidden="1"/>
    </xf>
    <xf numFmtId="0" fontId="15" fillId="2" borderId="6" xfId="0" applyFont="1" applyFill="1" applyBorder="1" applyAlignment="1" applyProtection="1">
      <alignment horizontal="center" vertical="center"/>
      <protection hidden="1"/>
    </xf>
    <xf numFmtId="1" fontId="15" fillId="12" borderId="6" xfId="0" applyNumberFormat="1" applyFont="1" applyFill="1" applyBorder="1" applyAlignment="1" applyProtection="1">
      <alignment horizontal="center" vertical="center"/>
      <protection hidden="1"/>
    </xf>
    <xf numFmtId="0" fontId="15" fillId="0" borderId="6" xfId="0" applyFont="1" applyBorder="1" applyAlignment="1" applyProtection="1">
      <alignment horizontal="center" vertical="center"/>
      <protection locked="0"/>
    </xf>
    <xf numFmtId="10" fontId="15" fillId="0" borderId="6" xfId="1" applyNumberFormat="1" applyFont="1" applyBorder="1" applyAlignment="1" applyProtection="1">
      <alignment horizontal="center" vertical="center"/>
      <protection locked="0"/>
    </xf>
    <xf numFmtId="0" fontId="33" fillId="0" borderId="8" xfId="0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205" fontId="15" fillId="0" borderId="0" xfId="0" applyNumberFormat="1" applyFont="1" applyAlignment="1" applyProtection="1">
      <alignment horizontal="center" vertical="center"/>
      <protection hidden="1"/>
    </xf>
    <xf numFmtId="209" fontId="15" fillId="0" borderId="0" xfId="0" applyNumberFormat="1" applyFont="1" applyAlignment="1" applyProtection="1">
      <alignment horizontal="center" vertical="center"/>
      <protection hidden="1"/>
    </xf>
    <xf numFmtId="0" fontId="14" fillId="2" borderId="13" xfId="0" applyFont="1" applyFill="1" applyBorder="1" applyAlignment="1" applyProtection="1">
      <alignment horizontal="center" vertical="center" wrapText="1"/>
      <protection hidden="1"/>
    </xf>
    <xf numFmtId="0" fontId="15" fillId="2" borderId="13" xfId="0" applyFont="1" applyFill="1" applyBorder="1" applyAlignment="1" applyProtection="1">
      <alignment horizontal="center" vertical="center" wrapText="1"/>
      <protection hidden="1"/>
    </xf>
    <xf numFmtId="0" fontId="12" fillId="8" borderId="13" xfId="0" applyFont="1" applyFill="1" applyBorder="1" applyAlignment="1" applyProtection="1">
      <alignment horizontal="left" vertical="center" wrapText="1"/>
      <protection hidden="1"/>
    </xf>
    <xf numFmtId="209" fontId="15" fillId="10" borderId="13" xfId="0" applyNumberFormat="1" applyFont="1" applyFill="1" applyBorder="1" applyAlignment="1" applyProtection="1">
      <alignment horizontal="center" vertical="center"/>
      <protection hidden="1"/>
    </xf>
    <xf numFmtId="0" fontId="34" fillId="0" borderId="0" xfId="65" applyFont="1" applyAlignment="1">
      <alignment horizontal="center" vertical="center" wrapText="1"/>
    </xf>
    <xf numFmtId="0" fontId="17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2" borderId="13" xfId="0" applyFont="1" applyFill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Continuous" vertical="center"/>
      <protection hidden="1"/>
    </xf>
    <xf numFmtId="206" fontId="37" fillId="14" borderId="2" xfId="0" applyNumberFormat="1" applyFont="1" applyFill="1" applyBorder="1" applyAlignment="1" applyProtection="1">
      <alignment horizontal="center" vertical="center" wrapText="1"/>
      <protection hidden="1"/>
    </xf>
    <xf numFmtId="206" fontId="37" fillId="15" borderId="2" xfId="0" applyNumberFormat="1" applyFont="1" applyFill="1" applyBorder="1" applyAlignment="1" applyProtection="1">
      <alignment horizontal="center" vertical="center" wrapText="1"/>
      <protection hidden="1"/>
    </xf>
    <xf numFmtId="206" fontId="37" fillId="14" borderId="4" xfId="0" applyNumberFormat="1" applyFont="1" applyFill="1" applyBorder="1" applyAlignment="1" applyProtection="1">
      <alignment horizontal="center" vertical="center" wrapText="1"/>
      <protection hidden="1"/>
    </xf>
    <xf numFmtId="0" fontId="12" fillId="2" borderId="16" xfId="0" applyFont="1" applyFill="1" applyBorder="1" applyAlignment="1" applyProtection="1">
      <alignment horizontal="center" vertical="center"/>
      <protection hidden="1"/>
    </xf>
    <xf numFmtId="0" fontId="12" fillId="2" borderId="13" xfId="0" applyFont="1" applyFill="1" applyBorder="1" applyAlignment="1" applyProtection="1">
      <alignment horizontal="center" vertical="center"/>
      <protection hidden="1"/>
    </xf>
    <xf numFmtId="206" fontId="12" fillId="14" borderId="13" xfId="0" applyNumberFormat="1" applyFont="1" applyFill="1" applyBorder="1" applyAlignment="1" applyProtection="1">
      <alignment horizontal="center" vertical="center" wrapText="1"/>
      <protection hidden="1"/>
    </xf>
    <xf numFmtId="0" fontId="12" fillId="14" borderId="13" xfId="0" applyFont="1" applyFill="1" applyBorder="1" applyAlignment="1" applyProtection="1">
      <alignment horizontal="center" vertical="center"/>
      <protection hidden="1"/>
    </xf>
    <xf numFmtId="206" fontId="12" fillId="15" borderId="13" xfId="0" applyNumberFormat="1" applyFont="1" applyFill="1" applyBorder="1" applyAlignment="1" applyProtection="1">
      <alignment horizontal="center" vertical="center" wrapText="1"/>
      <protection hidden="1"/>
    </xf>
    <xf numFmtId="206" fontId="37" fillId="14" borderId="29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/>
      <protection hidden="1"/>
    </xf>
    <xf numFmtId="49" fontId="38" fillId="16" borderId="27" xfId="0" applyNumberFormat="1" applyFont="1" applyFill="1" applyBorder="1" applyAlignment="1" applyProtection="1">
      <alignment horizontal="center" vertical="center"/>
      <protection hidden="1"/>
    </xf>
    <xf numFmtId="49" fontId="39" fillId="16" borderId="13" xfId="0" applyNumberFormat="1" applyFont="1" applyFill="1" applyBorder="1" applyAlignment="1" applyProtection="1">
      <alignment horizontal="center" vertical="center"/>
      <protection hidden="1"/>
    </xf>
    <xf numFmtId="49" fontId="38" fillId="16" borderId="29" xfId="0" applyNumberFormat="1" applyFont="1" applyFill="1" applyBorder="1" applyAlignment="1" applyProtection="1">
      <alignment horizontal="center" vertical="center"/>
      <protection hidden="1"/>
    </xf>
    <xf numFmtId="0" fontId="18" fillId="7" borderId="13" xfId="0" applyFont="1" applyFill="1" applyBorder="1" applyAlignment="1" applyProtection="1">
      <alignment horizontal="left" vertical="center" wrapText="1"/>
      <protection locked="0"/>
    </xf>
    <xf numFmtId="207" fontId="17" fillId="7" borderId="13" xfId="0" applyNumberFormat="1" applyFont="1" applyFill="1" applyBorder="1" applyAlignment="1" applyProtection="1">
      <alignment horizontal="center" vertical="center"/>
      <protection locked="0"/>
    </xf>
    <xf numFmtId="2" fontId="17" fillId="10" borderId="13" xfId="0" applyNumberFormat="1" applyFont="1" applyFill="1" applyBorder="1" applyAlignment="1" applyProtection="1">
      <alignment horizontal="center" vertical="center"/>
      <protection hidden="1"/>
    </xf>
    <xf numFmtId="2" fontId="37" fillId="10" borderId="13" xfId="0" applyNumberFormat="1" applyFont="1" applyFill="1" applyBorder="1" applyAlignment="1" applyProtection="1">
      <alignment horizontal="center" vertical="center"/>
      <protection hidden="1"/>
    </xf>
    <xf numFmtId="1" fontId="17" fillId="10" borderId="29" xfId="0" applyNumberFormat="1" applyFont="1" applyFill="1" applyBorder="1" applyAlignment="1" applyProtection="1">
      <alignment horizontal="center" vertical="center"/>
      <protection hidden="1"/>
    </xf>
    <xf numFmtId="207" fontId="17" fillId="0" borderId="13" xfId="0" applyNumberFormat="1" applyFont="1" applyBorder="1" applyAlignment="1" applyProtection="1">
      <alignment vertical="center"/>
      <protection hidden="1"/>
    </xf>
    <xf numFmtId="2" fontId="17" fillId="0" borderId="27" xfId="0" applyNumberFormat="1" applyFont="1" applyBorder="1" applyAlignment="1" applyProtection="1">
      <alignment horizontal="center" vertical="center"/>
      <protection hidden="1"/>
    </xf>
    <xf numFmtId="2" fontId="17" fillId="0" borderId="13" xfId="0" applyNumberFormat="1" applyFont="1" applyBorder="1" applyAlignment="1" applyProtection="1">
      <alignment horizontal="center" vertical="center"/>
      <protection hidden="1"/>
    </xf>
    <xf numFmtId="2" fontId="17" fillId="0" borderId="29" xfId="0" applyNumberFormat="1" applyFont="1" applyBorder="1" applyAlignment="1" applyProtection="1">
      <alignment horizontal="center" vertical="center"/>
      <protection hidden="1"/>
    </xf>
    <xf numFmtId="0" fontId="17" fillId="7" borderId="13" xfId="0" applyFont="1" applyFill="1" applyBorder="1" applyAlignment="1" applyProtection="1">
      <alignment horizontal="left" vertical="center" wrapText="1"/>
      <protection locked="0"/>
    </xf>
    <xf numFmtId="207" fontId="18" fillId="7" borderId="13" xfId="0" applyNumberFormat="1" applyFont="1" applyFill="1" applyBorder="1" applyAlignment="1" applyProtection="1">
      <alignment horizontal="center" vertical="center"/>
      <protection locked="0"/>
    </xf>
    <xf numFmtId="2" fontId="17" fillId="0" borderId="5" xfId="0" applyNumberFormat="1" applyFont="1" applyBorder="1" applyAlignment="1" applyProtection="1">
      <alignment horizontal="center" vertical="center"/>
      <protection hidden="1"/>
    </xf>
    <xf numFmtId="2" fontId="17" fillId="0" borderId="6" xfId="0" applyNumberFormat="1" applyFont="1" applyBorder="1" applyAlignment="1" applyProtection="1">
      <alignment horizontal="center" vertical="center"/>
      <protection hidden="1"/>
    </xf>
    <xf numFmtId="2" fontId="17" fillId="0" borderId="8" xfId="0" applyNumberFormat="1" applyFont="1" applyBorder="1" applyAlignment="1" applyProtection="1">
      <alignment horizontal="center" vertical="center"/>
      <protection hidden="1"/>
    </xf>
    <xf numFmtId="207" fontId="17" fillId="0" borderId="0" xfId="0" applyNumberFormat="1" applyFont="1" applyAlignment="1" applyProtection="1">
      <alignment vertical="center"/>
      <protection hidden="1"/>
    </xf>
    <xf numFmtId="0" fontId="40" fillId="0" borderId="13" xfId="0" applyFont="1" applyBorder="1" applyAlignment="1" applyProtection="1">
      <alignment horizontal="left" vertical="center" wrapText="1"/>
      <protection locked="0"/>
    </xf>
    <xf numFmtId="0" fontId="34" fillId="0" borderId="13" xfId="65" applyFont="1" applyBorder="1" applyAlignment="1">
      <alignment horizontal="center" vertical="center" wrapText="1"/>
    </xf>
    <xf numFmtId="207" fontId="17" fillId="7" borderId="16" xfId="0" applyNumberFormat="1" applyFont="1" applyFill="1" applyBorder="1" applyAlignment="1" applyProtection="1">
      <alignment horizontal="center" vertical="center"/>
      <protection locked="0"/>
    </xf>
    <xf numFmtId="0" fontId="41" fillId="0" borderId="13" xfId="65" applyFont="1" applyBorder="1" applyAlignment="1">
      <alignment horizontal="center" vertical="center" wrapText="1"/>
    </xf>
    <xf numFmtId="205" fontId="17" fillId="7" borderId="16" xfId="0" applyNumberFormat="1" applyFont="1" applyFill="1" applyBorder="1" applyAlignment="1" applyProtection="1">
      <alignment horizontal="center" vertical="center"/>
      <protection locked="0"/>
    </xf>
    <xf numFmtId="205" fontId="17" fillId="7" borderId="13" xfId="0" applyNumberFormat="1" applyFont="1" applyFill="1" applyBorder="1" applyAlignment="1" applyProtection="1">
      <alignment horizontal="center" vertical="center"/>
      <protection locked="0"/>
    </xf>
    <xf numFmtId="0" fontId="41" fillId="0" borderId="16" xfId="65" applyFont="1" applyBorder="1" applyAlignment="1">
      <alignment horizontal="center" vertical="center" wrapText="1"/>
    </xf>
    <xf numFmtId="0" fontId="41" fillId="5" borderId="16" xfId="65" applyFont="1" applyFill="1" applyBorder="1" applyAlignment="1">
      <alignment horizontal="center" vertical="center" wrapText="1"/>
    </xf>
    <xf numFmtId="0" fontId="41" fillId="5" borderId="13" xfId="65" applyFont="1" applyFill="1" applyBorder="1" applyAlignment="1">
      <alignment horizontal="center" vertical="center" wrapText="1"/>
    </xf>
    <xf numFmtId="207" fontId="17" fillId="5" borderId="13" xfId="0" applyNumberFormat="1" applyFont="1" applyFill="1" applyBorder="1" applyAlignment="1" applyProtection="1">
      <alignment horizontal="center" vertical="center"/>
      <protection locked="0"/>
    </xf>
    <xf numFmtId="0" fontId="17" fillId="7" borderId="13" xfId="0" applyFont="1" applyFill="1" applyBorder="1" applyAlignment="1" applyProtection="1">
      <alignment horizontal="center" vertical="center" wrapText="1"/>
      <protection locked="0"/>
    </xf>
    <xf numFmtId="0" fontId="18" fillId="7" borderId="13" xfId="0" applyFont="1" applyFill="1" applyBorder="1" applyAlignment="1" applyProtection="1">
      <alignment horizontal="center" vertical="center" wrapText="1"/>
      <protection locked="0"/>
    </xf>
    <xf numFmtId="0" fontId="18" fillId="0" borderId="13" xfId="0" applyFont="1" applyBorder="1" applyAlignment="1" applyProtection="1">
      <alignment horizontal="center" vertical="center" wrapText="1"/>
      <protection locked="0"/>
    </xf>
    <xf numFmtId="207" fontId="17" fillId="0" borderId="13" xfId="0" applyNumberFormat="1" applyFont="1" applyBorder="1" applyAlignment="1" applyProtection="1">
      <alignment horizontal="center" vertical="center"/>
      <protection locked="0"/>
    </xf>
    <xf numFmtId="0" fontId="34" fillId="5" borderId="13" xfId="65" applyFont="1" applyFill="1" applyBorder="1" applyAlignment="1">
      <alignment horizontal="center" vertical="center" wrapText="1"/>
    </xf>
    <xf numFmtId="0" fontId="18" fillId="5" borderId="13" xfId="0" applyFont="1" applyFill="1" applyBorder="1" applyAlignment="1" applyProtection="1">
      <alignment horizontal="center" vertical="center" wrapText="1"/>
      <protection locked="0"/>
    </xf>
    <xf numFmtId="0" fontId="17" fillId="5" borderId="13" xfId="0" applyFont="1" applyFill="1" applyBorder="1" applyAlignment="1" applyProtection="1">
      <alignment horizontal="center" vertical="center" wrapText="1"/>
      <protection locked="0"/>
    </xf>
    <xf numFmtId="0" fontId="17" fillId="0" borderId="13" xfId="0" applyFont="1" applyBorder="1" applyAlignment="1" applyProtection="1">
      <alignment horizontal="center" vertical="center" wrapText="1"/>
      <protection locked="0"/>
    </xf>
    <xf numFmtId="0" fontId="34" fillId="17" borderId="13" xfId="65" applyFont="1" applyFill="1" applyBorder="1" applyAlignment="1">
      <alignment horizontal="center" vertical="center" wrapText="1"/>
    </xf>
    <xf numFmtId="0" fontId="41" fillId="17" borderId="13" xfId="65" applyFont="1" applyFill="1" applyBorder="1" applyAlignment="1">
      <alignment horizontal="center" vertical="center" wrapText="1"/>
    </xf>
    <xf numFmtId="0" fontId="17" fillId="17" borderId="13" xfId="0" applyFont="1" applyFill="1" applyBorder="1" applyAlignment="1" applyProtection="1">
      <alignment horizontal="center" vertical="center" wrapText="1"/>
      <protection locked="0"/>
    </xf>
    <xf numFmtId="207" fontId="17" fillId="17" borderId="13" xfId="0" applyNumberFormat="1" applyFont="1" applyFill="1" applyBorder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vertical="center"/>
      <protection hidden="1"/>
    </xf>
    <xf numFmtId="0" fontId="42" fillId="0" borderId="0" xfId="0" applyFont="1"/>
    <xf numFmtId="0" fontId="44" fillId="2" borderId="13" xfId="0" applyFont="1" applyFill="1" applyBorder="1" applyAlignment="1" applyProtection="1">
      <alignment vertical="center"/>
      <protection hidden="1"/>
    </xf>
    <xf numFmtId="0" fontId="42" fillId="0" borderId="0" xfId="0" applyFont="1" applyAlignment="1" applyProtection="1">
      <alignment horizontal="center" vertical="center"/>
      <protection hidden="1"/>
    </xf>
    <xf numFmtId="0" fontId="1" fillId="0" borderId="0" xfId="65" applyAlignment="1">
      <alignment horizontal="center" vertical="center" wrapText="1"/>
    </xf>
    <xf numFmtId="0" fontId="42" fillId="2" borderId="13" xfId="0" applyFont="1" applyFill="1" applyBorder="1" applyAlignment="1" applyProtection="1">
      <alignment horizontal="center" vertical="center"/>
      <protection hidden="1"/>
    </xf>
    <xf numFmtId="0" fontId="46" fillId="7" borderId="13" xfId="0" applyFont="1" applyFill="1" applyBorder="1" applyAlignment="1" applyProtection="1">
      <alignment horizontal="left" vertical="center" wrapText="1"/>
      <protection locked="0"/>
    </xf>
    <xf numFmtId="207" fontId="46" fillId="7" borderId="13" xfId="0" applyNumberFormat="1" applyFont="1" applyFill="1" applyBorder="1" applyAlignment="1" applyProtection="1">
      <alignment horizontal="center" vertical="center"/>
      <protection locked="0"/>
    </xf>
    <xf numFmtId="0" fontId="12" fillId="0" borderId="29" xfId="0" applyFont="1" applyBorder="1" applyAlignment="1" applyProtection="1">
      <alignment horizontal="center" vertical="center"/>
      <protection locked="0"/>
    </xf>
    <xf numFmtId="209" fontId="15" fillId="10" borderId="13" xfId="0" applyNumberFormat="1" applyFont="1" applyFill="1" applyBorder="1" applyAlignment="1" applyProtection="1">
      <alignment horizontal="center" vertical="center"/>
      <protection hidden="1"/>
    </xf>
    <xf numFmtId="0" fontId="15" fillId="2" borderId="4" xfId="0" applyFont="1" applyFill="1" applyBorder="1" applyAlignment="1" applyProtection="1">
      <alignment horizontal="center" vertical="center"/>
      <protection hidden="1"/>
    </xf>
    <xf numFmtId="0" fontId="15" fillId="2" borderId="29" xfId="0" applyFont="1" applyFill="1" applyBorder="1" applyAlignment="1" applyProtection="1">
      <alignment horizontal="center" vertical="center"/>
      <protection hidden="1"/>
    </xf>
    <xf numFmtId="0" fontId="12" fillId="0" borderId="13" xfId="0" applyFont="1" applyBorder="1" applyAlignment="1" applyProtection="1">
      <alignment horizontal="center" vertical="center"/>
      <protection locked="0"/>
    </xf>
    <xf numFmtId="205" fontId="15" fillId="2" borderId="2" xfId="0" applyNumberFormat="1" applyFont="1" applyFill="1" applyBorder="1" applyAlignment="1" applyProtection="1">
      <alignment horizontal="center" vertical="center" wrapText="1"/>
      <protection hidden="1"/>
    </xf>
    <xf numFmtId="205" fontId="15" fillId="2" borderId="13" xfId="0" applyNumberFormat="1" applyFont="1" applyFill="1" applyBorder="1" applyAlignment="1" applyProtection="1">
      <alignment horizontal="center" vertical="center" wrapText="1"/>
      <protection hidden="1"/>
    </xf>
    <xf numFmtId="209" fontId="15" fillId="2" borderId="2" xfId="0" applyNumberFormat="1" applyFont="1" applyFill="1" applyBorder="1" applyAlignment="1" applyProtection="1">
      <alignment horizontal="center" vertical="center" wrapText="1"/>
      <protection hidden="1"/>
    </xf>
    <xf numFmtId="209" fontId="15" fillId="2" borderId="13" xfId="0" applyNumberFormat="1" applyFont="1" applyFill="1" applyBorder="1" applyAlignment="1" applyProtection="1">
      <alignment horizontal="center" vertical="center" wrapText="1"/>
      <protection hidden="1"/>
    </xf>
    <xf numFmtId="0" fontId="12" fillId="8" borderId="13" xfId="0" applyFont="1" applyFill="1" applyBorder="1" applyAlignment="1" applyProtection="1">
      <alignment horizontal="center" vertical="center"/>
      <protection hidden="1"/>
    </xf>
    <xf numFmtId="0" fontId="15" fillId="2" borderId="2" xfId="0" applyFont="1" applyFill="1" applyBorder="1" applyAlignment="1" applyProtection="1">
      <alignment horizontal="center" vertical="center" wrapText="1"/>
      <protection hidden="1"/>
    </xf>
    <xf numFmtId="0" fontId="15" fillId="2" borderId="13" xfId="0" applyFont="1" applyFill="1" applyBorder="1" applyAlignment="1" applyProtection="1">
      <alignment horizontal="center" vertical="center" wrapText="1"/>
      <protection hidden="1"/>
    </xf>
    <xf numFmtId="9" fontId="12" fillId="8" borderId="13" xfId="0" applyNumberFormat="1" applyFont="1" applyFill="1" applyBorder="1" applyAlignment="1" applyProtection="1">
      <alignment horizontal="center" vertical="center"/>
      <protection hidden="1"/>
    </xf>
    <xf numFmtId="9" fontId="12" fillId="0" borderId="13" xfId="0" applyNumberFormat="1" applyFont="1" applyBorder="1" applyAlignment="1" applyProtection="1">
      <alignment horizontal="center" vertical="center"/>
      <protection locked="0"/>
    </xf>
    <xf numFmtId="205" fontId="12" fillId="8" borderId="13" xfId="1" applyNumberFormat="1" applyFont="1" applyFill="1" applyBorder="1" applyAlignment="1" applyProtection="1">
      <alignment horizontal="center" vertical="center"/>
      <protection hidden="1"/>
    </xf>
    <xf numFmtId="205" fontId="12" fillId="0" borderId="13" xfId="1" applyNumberFormat="1" applyFont="1" applyBorder="1" applyAlignment="1" applyProtection="1">
      <alignment horizontal="center" vertical="center"/>
      <protection locked="0"/>
    </xf>
    <xf numFmtId="0" fontId="12" fillId="8" borderId="13" xfId="0" applyFont="1" applyFill="1" applyBorder="1" applyAlignment="1" applyProtection="1">
      <alignment horizontal="center" vertical="center" wrapText="1"/>
      <protection hidden="1"/>
    </xf>
    <xf numFmtId="0" fontId="14" fillId="2" borderId="2" xfId="0" applyFont="1" applyFill="1" applyBorder="1" applyAlignment="1" applyProtection="1">
      <alignment horizontal="center" vertical="center"/>
      <protection hidden="1"/>
    </xf>
    <xf numFmtId="0" fontId="15" fillId="2" borderId="13" xfId="0" applyFont="1" applyFill="1" applyBorder="1" applyAlignment="1" applyProtection="1">
      <alignment horizontal="center" vertical="center"/>
      <protection hidden="1"/>
    </xf>
    <xf numFmtId="0" fontId="12" fillId="8" borderId="27" xfId="0" applyFont="1" applyFill="1" applyBorder="1" applyAlignment="1" applyProtection="1">
      <alignment horizontal="center" vertical="center" wrapText="1"/>
      <protection hidden="1"/>
    </xf>
    <xf numFmtId="0" fontId="15" fillId="2" borderId="2" xfId="0" applyFont="1" applyFill="1" applyBorder="1" applyAlignment="1" applyProtection="1">
      <alignment horizontal="center" vertical="center"/>
      <protection hidden="1"/>
    </xf>
    <xf numFmtId="0" fontId="30" fillId="11" borderId="0" xfId="0" applyFont="1" applyFill="1" applyAlignment="1" applyProtection="1">
      <alignment horizontal="center" vertical="center"/>
      <protection hidden="1"/>
    </xf>
    <xf numFmtId="0" fontId="14" fillId="2" borderId="1" xfId="0" applyFont="1" applyFill="1" applyBorder="1" applyAlignment="1" applyProtection="1">
      <alignment horizontal="center" vertical="center"/>
      <protection hidden="1"/>
    </xf>
    <xf numFmtId="0" fontId="31" fillId="13" borderId="2" xfId="0" applyFont="1" applyFill="1" applyBorder="1" applyAlignment="1" applyProtection="1">
      <alignment horizontal="center" vertical="center"/>
      <protection hidden="1"/>
    </xf>
    <xf numFmtId="0" fontId="14" fillId="2" borderId="5" xfId="0" applyFont="1" applyFill="1" applyBorder="1" applyAlignment="1" applyProtection="1">
      <alignment horizontal="center" vertical="center"/>
      <protection hidden="1"/>
    </xf>
    <xf numFmtId="0" fontId="14" fillId="2" borderId="6" xfId="0" applyFont="1" applyFill="1" applyBorder="1" applyAlignment="1" applyProtection="1">
      <alignment horizontal="center" vertical="center"/>
      <protection hidden="1"/>
    </xf>
    <xf numFmtId="0" fontId="15" fillId="2" borderId="6" xfId="0" applyFont="1" applyFill="1" applyBorder="1" applyAlignment="1" applyProtection="1">
      <alignment horizontal="center" vertical="center" wrapText="1"/>
      <protection hidden="1"/>
    </xf>
    <xf numFmtId="0" fontId="15" fillId="0" borderId="6" xfId="0" applyFont="1" applyBorder="1" applyAlignment="1" applyProtection="1">
      <alignment horizontal="center" vertical="center"/>
      <protection locked="0"/>
    </xf>
    <xf numFmtId="0" fontId="15" fillId="2" borderId="1" xfId="0" applyFont="1" applyFill="1" applyBorder="1" applyAlignment="1" applyProtection="1">
      <alignment horizontal="center" vertical="center"/>
      <protection hidden="1"/>
    </xf>
    <xf numFmtId="0" fontId="15" fillId="2" borderId="27" xfId="0" applyFont="1" applyFill="1" applyBorder="1" applyAlignment="1" applyProtection="1">
      <alignment horizontal="center" vertical="center"/>
      <protection hidden="1"/>
    </xf>
    <xf numFmtId="0" fontId="17" fillId="7" borderId="18" xfId="0" applyFont="1" applyFill="1" applyBorder="1" applyAlignment="1" applyProtection="1">
      <alignment horizontal="center" vertical="center" wrapText="1"/>
      <protection locked="0"/>
    </xf>
    <xf numFmtId="0" fontId="17" fillId="7" borderId="11" xfId="0" applyFont="1" applyFill="1" applyBorder="1" applyAlignment="1" applyProtection="1">
      <alignment horizontal="center" vertical="center" wrapText="1"/>
      <protection locked="0"/>
    </xf>
    <xf numFmtId="0" fontId="17" fillId="7" borderId="10" xfId="0" applyFont="1" applyFill="1" applyBorder="1" applyAlignment="1" applyProtection="1">
      <alignment horizontal="center" vertical="center" wrapText="1"/>
      <protection locked="0"/>
    </xf>
    <xf numFmtId="0" fontId="17" fillId="17" borderId="18" xfId="0" applyFont="1" applyFill="1" applyBorder="1" applyAlignment="1" applyProtection="1">
      <alignment horizontal="center" vertical="center" wrapText="1"/>
      <protection locked="0"/>
    </xf>
    <xf numFmtId="0" fontId="17" fillId="17" borderId="11" xfId="0" applyFont="1" applyFill="1" applyBorder="1" applyAlignment="1" applyProtection="1">
      <alignment horizontal="center" vertical="center" wrapText="1"/>
      <protection locked="0"/>
    </xf>
    <xf numFmtId="0" fontId="17" fillId="17" borderId="10" xfId="0" applyFont="1" applyFill="1" applyBorder="1" applyAlignment="1" applyProtection="1">
      <alignment horizontal="center" vertical="center" wrapText="1"/>
      <protection locked="0"/>
    </xf>
    <xf numFmtId="0" fontId="17" fillId="0" borderId="18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0" fontId="18" fillId="7" borderId="18" xfId="0" applyFont="1" applyFill="1" applyBorder="1" applyAlignment="1" applyProtection="1">
      <alignment horizontal="center" vertical="center" wrapText="1"/>
      <protection locked="0"/>
    </xf>
    <xf numFmtId="0" fontId="18" fillId="17" borderId="18" xfId="0" applyFont="1" applyFill="1" applyBorder="1" applyAlignment="1" applyProtection="1">
      <alignment horizontal="center" vertical="center" wrapText="1"/>
      <protection locked="0"/>
    </xf>
    <xf numFmtId="0" fontId="18" fillId="17" borderId="11" xfId="0" applyFont="1" applyFill="1" applyBorder="1" applyAlignment="1" applyProtection="1">
      <alignment horizontal="center" vertical="center" wrapText="1"/>
      <protection locked="0"/>
    </xf>
    <xf numFmtId="0" fontId="18" fillId="17" borderId="10" xfId="0" applyFont="1" applyFill="1" applyBorder="1" applyAlignment="1" applyProtection="1">
      <alignment horizontal="center" vertical="center" wrapText="1"/>
      <protection locked="0"/>
    </xf>
    <xf numFmtId="0" fontId="18" fillId="17" borderId="13" xfId="0" applyFont="1" applyFill="1" applyBorder="1" applyAlignment="1" applyProtection="1">
      <alignment horizontal="center" vertical="center" wrapText="1"/>
      <protection locked="0"/>
    </xf>
    <xf numFmtId="0" fontId="17" fillId="17" borderId="13" xfId="0" applyFont="1" applyFill="1" applyBorder="1" applyAlignment="1" applyProtection="1">
      <alignment horizontal="center" vertical="center" wrapText="1"/>
      <protection locked="0"/>
    </xf>
    <xf numFmtId="0" fontId="15" fillId="2" borderId="56" xfId="0" applyFont="1" applyFill="1" applyBorder="1" applyAlignment="1" applyProtection="1">
      <alignment horizontal="center" vertical="center"/>
      <protection hidden="1"/>
    </xf>
    <xf numFmtId="0" fontId="15" fillId="2" borderId="14" xfId="0" applyFont="1" applyFill="1" applyBorder="1" applyAlignment="1" applyProtection="1">
      <alignment horizontal="center" vertical="center"/>
      <protection hidden="1"/>
    </xf>
    <xf numFmtId="0" fontId="18" fillId="7" borderId="11" xfId="0" applyFont="1" applyFill="1" applyBorder="1" applyAlignment="1" applyProtection="1">
      <alignment horizontal="center" vertical="center" wrapText="1"/>
      <protection locked="0"/>
    </xf>
    <xf numFmtId="0" fontId="18" fillId="7" borderId="10" xfId="0" applyFont="1" applyFill="1" applyBorder="1" applyAlignment="1" applyProtection="1">
      <alignment horizontal="center" vertical="center" wrapText="1"/>
      <protection locked="0"/>
    </xf>
    <xf numFmtId="0" fontId="18" fillId="0" borderId="18" xfId="0" applyFont="1" applyBorder="1" applyAlignment="1" applyProtection="1">
      <alignment horizontal="center" vertical="center" wrapText="1"/>
      <protection locked="0"/>
    </xf>
    <xf numFmtId="0" fontId="17" fillId="10" borderId="27" xfId="0" applyFont="1" applyFill="1" applyBorder="1" applyAlignment="1" applyProtection="1">
      <alignment horizontal="center" vertical="center" wrapText="1"/>
      <protection hidden="1"/>
    </xf>
    <xf numFmtId="0" fontId="15" fillId="2" borderId="57" xfId="0" applyFont="1" applyFill="1" applyBorder="1" applyAlignment="1" applyProtection="1">
      <alignment horizontal="center" vertical="center"/>
      <protection hidden="1"/>
    </xf>
    <xf numFmtId="0" fontId="31" fillId="16" borderId="1" xfId="0" applyFont="1" applyFill="1" applyBorder="1" applyAlignment="1" applyProtection="1">
      <alignment horizontal="center" vertical="center"/>
      <protection hidden="1"/>
    </xf>
    <xf numFmtId="0" fontId="31" fillId="16" borderId="2" xfId="0" applyFont="1" applyFill="1" applyBorder="1" applyAlignment="1" applyProtection="1">
      <alignment horizontal="center" vertical="center"/>
      <protection hidden="1"/>
    </xf>
    <xf numFmtId="0" fontId="31" fillId="16" borderId="4" xfId="0" applyFont="1" applyFill="1" applyBorder="1" applyAlignment="1" applyProtection="1">
      <alignment horizontal="center" vertical="center"/>
      <protection hidden="1"/>
    </xf>
    <xf numFmtId="0" fontId="35" fillId="0" borderId="42" xfId="0" applyFont="1" applyBorder="1" applyAlignment="1" applyProtection="1">
      <alignment horizontal="center" vertical="center"/>
      <protection hidden="1"/>
    </xf>
    <xf numFmtId="49" fontId="36" fillId="0" borderId="14" xfId="0" applyNumberFormat="1" applyFont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36" fillId="0" borderId="16" xfId="0" applyNumberFormat="1" applyFont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hidden="1"/>
    </xf>
    <xf numFmtId="49" fontId="36" fillId="0" borderId="13" xfId="0" applyNumberFormat="1" applyFont="1" applyBorder="1" applyAlignment="1" applyProtection="1">
      <alignment horizontal="center" vertical="center"/>
      <protection locked="0"/>
    </xf>
    <xf numFmtId="0" fontId="15" fillId="2" borderId="16" xfId="0" applyFont="1" applyFill="1" applyBorder="1" applyAlignment="1" applyProtection="1">
      <alignment horizontal="center" vertical="center"/>
      <protection hidden="1"/>
    </xf>
    <xf numFmtId="210" fontId="12" fillId="0" borderId="14" xfId="0" applyNumberFormat="1" applyFont="1" applyBorder="1" applyAlignment="1" applyProtection="1">
      <alignment horizontal="center" vertical="center"/>
      <protection locked="0"/>
    </xf>
    <xf numFmtId="210" fontId="12" fillId="0" borderId="15" xfId="0" applyNumberFormat="1" applyFont="1" applyBorder="1" applyAlignment="1" applyProtection="1">
      <alignment horizontal="center" vertical="center"/>
      <protection locked="0"/>
    </xf>
    <xf numFmtId="210" fontId="12" fillId="0" borderId="16" xfId="0" applyNumberFormat="1" applyFont="1" applyBorder="1" applyAlignment="1" applyProtection="1">
      <alignment horizontal="center" vertical="center"/>
      <protection locked="0"/>
    </xf>
    <xf numFmtId="0" fontId="14" fillId="0" borderId="14" xfId="0" applyFont="1" applyBorder="1" applyAlignment="1" applyProtection="1">
      <alignment horizontal="center" vertical="center"/>
      <protection locked="0"/>
    </xf>
    <xf numFmtId="0" fontId="14" fillId="0" borderId="15" xfId="0" applyFont="1" applyBorder="1" applyAlignment="1" applyProtection="1">
      <alignment horizontal="center" vertical="center"/>
      <protection locked="0"/>
    </xf>
    <xf numFmtId="0" fontId="14" fillId="0" borderId="16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hidden="1"/>
    </xf>
    <xf numFmtId="0" fontId="24" fillId="9" borderId="1" xfId="0" applyFont="1" applyFill="1" applyBorder="1" applyAlignment="1" applyProtection="1">
      <alignment horizontal="center" vertical="center"/>
      <protection hidden="1"/>
    </xf>
    <xf numFmtId="0" fontId="24" fillId="9" borderId="4" xfId="0" applyFont="1" applyFill="1" applyBorder="1" applyAlignment="1" applyProtection="1">
      <alignment horizontal="center" vertical="center"/>
      <protection hidden="1"/>
    </xf>
    <xf numFmtId="0" fontId="24" fillId="9" borderId="27" xfId="0" applyFont="1" applyFill="1" applyBorder="1" applyAlignment="1" applyProtection="1">
      <alignment horizontal="center" vertical="center"/>
      <protection hidden="1"/>
    </xf>
    <xf numFmtId="0" fontId="24" fillId="9" borderId="29" xfId="0" applyFont="1" applyFill="1" applyBorder="1" applyAlignment="1" applyProtection="1">
      <alignment horizontal="center" vertical="center"/>
      <protection hidden="1"/>
    </xf>
    <xf numFmtId="0" fontId="25" fillId="0" borderId="51" xfId="0" applyFont="1" applyBorder="1" applyAlignment="1" applyProtection="1">
      <alignment horizontal="left" vertical="center" wrapText="1"/>
      <protection hidden="1"/>
    </xf>
    <xf numFmtId="0" fontId="25" fillId="0" borderId="52" xfId="0" applyFont="1" applyBorder="1" applyAlignment="1" applyProtection="1">
      <alignment horizontal="left" vertical="center" wrapText="1"/>
      <protection hidden="1"/>
    </xf>
    <xf numFmtId="0" fontId="25" fillId="0" borderId="49" xfId="0" applyFont="1" applyBorder="1" applyAlignment="1" applyProtection="1">
      <alignment horizontal="left" vertical="center" wrapText="1"/>
      <protection hidden="1"/>
    </xf>
    <xf numFmtId="0" fontId="25" fillId="0" borderId="53" xfId="0" applyFont="1" applyBorder="1" applyAlignment="1" applyProtection="1">
      <alignment horizontal="left" vertical="center" wrapText="1"/>
      <protection hidden="1"/>
    </xf>
    <xf numFmtId="0" fontId="25" fillId="0" borderId="54" xfId="0" applyFont="1" applyBorder="1" applyAlignment="1" applyProtection="1">
      <alignment horizontal="left" vertical="center" wrapText="1"/>
      <protection hidden="1"/>
    </xf>
    <xf numFmtId="0" fontId="25" fillId="0" borderId="55" xfId="0" applyFont="1" applyBorder="1" applyAlignment="1" applyProtection="1">
      <alignment horizontal="left" vertical="center" wrapText="1"/>
      <protection hidden="1"/>
    </xf>
    <xf numFmtId="207" fontId="17" fillId="7" borderId="18" xfId="0" applyNumberFormat="1" applyFont="1" applyFill="1" applyBorder="1" applyAlignment="1">
      <alignment horizontal="center" vertical="center"/>
    </xf>
    <xf numFmtId="207" fontId="17" fillId="7" borderId="11" xfId="0" applyNumberFormat="1" applyFont="1" applyFill="1" applyBorder="1" applyAlignment="1">
      <alignment horizontal="center" vertical="center"/>
    </xf>
    <xf numFmtId="207" fontId="17" fillId="7" borderId="10" xfId="0" applyNumberFormat="1" applyFont="1" applyFill="1" applyBorder="1" applyAlignment="1">
      <alignment horizontal="center" vertical="center"/>
    </xf>
    <xf numFmtId="0" fontId="14" fillId="2" borderId="43" xfId="0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 wrapText="1"/>
    </xf>
    <xf numFmtId="0" fontId="18" fillId="7" borderId="18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 wrapText="1"/>
    </xf>
    <xf numFmtId="0" fontId="18" fillId="7" borderId="16" xfId="0" applyFont="1" applyFill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46" fillId="7" borderId="13" xfId="0" applyFont="1" applyFill="1" applyBorder="1" applyAlignment="1" applyProtection="1">
      <alignment horizontal="center" vertical="center" wrapText="1"/>
      <protection locked="0"/>
    </xf>
    <xf numFmtId="0" fontId="44" fillId="2" borderId="13" xfId="0" applyFont="1" applyFill="1" applyBorder="1" applyAlignment="1" applyProtection="1">
      <alignment horizontal="center" vertical="center"/>
      <protection hidden="1"/>
    </xf>
    <xf numFmtId="0" fontId="44" fillId="2" borderId="13" xfId="0" applyFont="1" applyFill="1" applyBorder="1" applyAlignment="1" applyProtection="1">
      <alignment horizontal="center" vertical="center" wrapText="1"/>
      <protection hidden="1"/>
    </xf>
    <xf numFmtId="0" fontId="46" fillId="10" borderId="13" xfId="0" applyFont="1" applyFill="1" applyBorder="1" applyAlignment="1" applyProtection="1">
      <alignment horizontal="center" vertical="center" wrapText="1"/>
      <protection hidden="1"/>
    </xf>
    <xf numFmtId="0" fontId="42" fillId="0" borderId="0" xfId="0" applyFont="1" applyAlignment="1" applyProtection="1">
      <alignment horizontal="center" vertical="center"/>
      <protection hidden="1"/>
    </xf>
    <xf numFmtId="0" fontId="44" fillId="2" borderId="14" xfId="0" applyFont="1" applyFill="1" applyBorder="1" applyAlignment="1" applyProtection="1">
      <alignment horizontal="center" vertical="center"/>
      <protection hidden="1"/>
    </xf>
    <xf numFmtId="0" fontId="44" fillId="2" borderId="15" xfId="0" applyFont="1" applyFill="1" applyBorder="1" applyAlignment="1" applyProtection="1">
      <alignment horizontal="center" vertical="center"/>
      <protection hidden="1"/>
    </xf>
    <xf numFmtId="0" fontId="44" fillId="2" borderId="16" xfId="0" applyFont="1" applyFill="1" applyBorder="1" applyAlignment="1" applyProtection="1">
      <alignment horizontal="center" vertical="center"/>
      <protection hidden="1"/>
    </xf>
    <xf numFmtId="0" fontId="43" fillId="0" borderId="15" xfId="0" applyFont="1" applyBorder="1" applyAlignment="1" applyProtection="1">
      <alignment horizontal="center" vertical="center"/>
      <protection hidden="1"/>
    </xf>
    <xf numFmtId="49" fontId="45" fillId="0" borderId="13" xfId="0" applyNumberFormat="1" applyFont="1" applyBorder="1" applyAlignment="1" applyProtection="1">
      <alignment horizontal="center" vertical="center"/>
      <protection locked="0"/>
    </xf>
    <xf numFmtId="0" fontId="44" fillId="0" borderId="14" xfId="0" applyFont="1" applyBorder="1" applyAlignment="1" applyProtection="1">
      <alignment horizontal="center" vertical="center"/>
      <protection hidden="1"/>
    </xf>
    <xf numFmtId="0" fontId="44" fillId="0" borderId="15" xfId="0" applyFont="1" applyBorder="1" applyAlignment="1" applyProtection="1">
      <alignment horizontal="center" vertical="center"/>
      <protection hidden="1"/>
    </xf>
    <xf numFmtId="0" fontId="44" fillId="0" borderId="16" xfId="0" applyFont="1" applyBorder="1" applyAlignment="1" applyProtection="1">
      <alignment horizontal="center" vertical="center"/>
      <protection hidden="1"/>
    </xf>
    <xf numFmtId="0" fontId="43" fillId="0" borderId="42" xfId="0" applyFont="1" applyBorder="1" applyAlignment="1" applyProtection="1">
      <alignment horizontal="center" vertical="center"/>
      <protection hidden="1"/>
    </xf>
    <xf numFmtId="0" fontId="7" fillId="0" borderId="39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3" fillId="2" borderId="4" xfId="66" applyFont="1" applyFill="1" applyBorder="1" applyAlignment="1">
      <alignment horizontal="center" vertical="center"/>
    </xf>
    <xf numFmtId="0" fontId="3" fillId="2" borderId="8" xfId="66" applyFont="1" applyFill="1" applyBorder="1" applyAlignment="1">
      <alignment horizontal="center" vertical="center"/>
    </xf>
    <xf numFmtId="0" fontId="3" fillId="2" borderId="2" xfId="66" applyFont="1" applyFill="1" applyBorder="1" applyAlignment="1">
      <alignment horizontal="center" vertical="center"/>
    </xf>
    <xf numFmtId="0" fontId="3" fillId="2" borderId="6" xfId="66" applyFont="1" applyFill="1" applyBorder="1" applyAlignment="1">
      <alignment horizontal="center" vertical="center"/>
    </xf>
    <xf numFmtId="0" fontId="3" fillId="0" borderId="3" xfId="66" applyFont="1" applyBorder="1" applyAlignment="1">
      <alignment horizontal="center" vertical="center"/>
    </xf>
    <xf numFmtId="0" fontId="3" fillId="0" borderId="11" xfId="66" applyFont="1" applyBorder="1" applyAlignment="1">
      <alignment horizontal="center" vertical="center"/>
    </xf>
    <xf numFmtId="0" fontId="3" fillId="0" borderId="18" xfId="66" applyFont="1" applyBorder="1" applyAlignment="1">
      <alignment horizontal="center" vertical="center"/>
    </xf>
    <xf numFmtId="0" fontId="3" fillId="0" borderId="10" xfId="66" applyFont="1" applyBorder="1" applyAlignment="1">
      <alignment horizontal="center" vertical="center"/>
    </xf>
    <xf numFmtId="0" fontId="3" fillId="2" borderId="3" xfId="66" applyFont="1" applyFill="1" applyBorder="1" applyAlignment="1">
      <alignment horizontal="center" vertical="center"/>
    </xf>
    <xf numFmtId="0" fontId="3" fillId="2" borderId="7" xfId="66" applyFont="1" applyFill="1" applyBorder="1" applyAlignment="1">
      <alignment horizontal="center" vertical="center"/>
    </xf>
    <xf numFmtId="0" fontId="3" fillId="0" borderId="7" xfId="66" applyFont="1" applyBorder="1" applyAlignment="1">
      <alignment horizontal="center" vertical="center"/>
    </xf>
    <xf numFmtId="0" fontId="3" fillId="0" borderId="2" xfId="66" applyFont="1" applyBorder="1" applyAlignment="1">
      <alignment horizontal="center" vertical="center"/>
    </xf>
    <xf numFmtId="0" fontId="3" fillId="0" borderId="13" xfId="66" applyFont="1" applyBorder="1" applyAlignment="1">
      <alignment horizontal="center" vertical="center"/>
    </xf>
    <xf numFmtId="204" fontId="3" fillId="2" borderId="3" xfId="66" applyNumberFormat="1" applyFont="1" applyFill="1" applyBorder="1" applyAlignment="1">
      <alignment horizontal="center" vertical="center"/>
    </xf>
    <xf numFmtId="204" fontId="3" fillId="2" borderId="7" xfId="66" applyNumberFormat="1" applyFont="1" applyFill="1" applyBorder="1" applyAlignment="1">
      <alignment horizontal="center" vertical="center"/>
    </xf>
    <xf numFmtId="0" fontId="3" fillId="0" borderId="6" xfId="66" applyFont="1" applyBorder="1" applyAlignment="1">
      <alignment horizontal="center" vertical="center"/>
    </xf>
    <xf numFmtId="0" fontId="3" fillId="3" borderId="13" xfId="66" applyFont="1" applyFill="1" applyBorder="1" applyAlignment="1">
      <alignment horizontal="center" vertical="center"/>
    </xf>
    <xf numFmtId="0" fontId="3" fillId="2" borderId="1" xfId="66" applyFont="1" applyFill="1" applyBorder="1" applyAlignment="1">
      <alignment horizontal="center" vertical="center"/>
    </xf>
    <xf numFmtId="0" fontId="3" fillId="2" borderId="5" xfId="66" applyFont="1" applyFill="1" applyBorder="1" applyAlignment="1">
      <alignment horizontal="center" vertical="center"/>
    </xf>
    <xf numFmtId="0" fontId="3" fillId="0" borderId="9" xfId="66" applyFont="1" applyBorder="1" applyAlignment="1">
      <alignment horizontal="center" vertical="center"/>
    </xf>
    <xf numFmtId="0" fontId="3" fillId="0" borderId="20" xfId="66" applyFont="1" applyBorder="1" applyAlignment="1">
      <alignment horizontal="center" vertical="center"/>
    </xf>
    <xf numFmtId="0" fontId="3" fillId="0" borderId="25" xfId="66" applyFont="1" applyBorder="1" applyAlignment="1">
      <alignment horizontal="center" vertical="center"/>
    </xf>
    <xf numFmtId="0" fontId="3" fillId="0" borderId="1" xfId="66" applyFont="1" applyBorder="1" applyAlignment="1">
      <alignment horizontal="center" vertical="center"/>
    </xf>
    <xf numFmtId="0" fontId="3" fillId="0" borderId="27" xfId="66" applyFont="1" applyBorder="1" applyAlignment="1">
      <alignment horizontal="center" vertical="center"/>
    </xf>
    <xf numFmtId="0" fontId="3" fillId="0" borderId="5" xfId="66" applyFont="1" applyBorder="1" applyAlignment="1">
      <alignment horizontal="center" vertical="center"/>
    </xf>
    <xf numFmtId="0" fontId="3" fillId="0" borderId="28" xfId="66" applyFont="1" applyBorder="1" applyAlignment="1">
      <alignment horizontal="center" vertical="center"/>
    </xf>
    <xf numFmtId="0" fontId="3" fillId="3" borderId="6" xfId="66" applyFont="1" applyFill="1" applyBorder="1" applyAlignment="1">
      <alignment horizontal="center" vertical="center"/>
    </xf>
    <xf numFmtId="0" fontId="3" fillId="3" borderId="21" xfId="66" applyFont="1" applyFill="1" applyBorder="1" applyAlignment="1">
      <alignment horizontal="center" vertical="center"/>
    </xf>
    <xf numFmtId="0" fontId="3" fillId="3" borderId="22" xfId="66" applyFont="1" applyFill="1" applyBorder="1" applyAlignment="1">
      <alignment horizontal="center" vertical="center"/>
    </xf>
    <xf numFmtId="0" fontId="3" fillId="3" borderId="23" xfId="66" applyFont="1" applyFill="1" applyBorder="1" applyAlignment="1">
      <alignment horizontal="center" vertical="center"/>
    </xf>
    <xf numFmtId="0" fontId="3" fillId="3" borderId="18" xfId="66" applyFont="1" applyFill="1" applyBorder="1" applyAlignment="1">
      <alignment horizontal="center" vertical="center"/>
    </xf>
    <xf numFmtId="0" fontId="3" fillId="3" borderId="14" xfId="66" applyFont="1" applyFill="1" applyBorder="1" applyAlignment="1">
      <alignment horizontal="center" vertical="center"/>
    </xf>
    <xf numFmtId="0" fontId="3" fillId="3" borderId="15" xfId="66" applyFont="1" applyFill="1" applyBorder="1" applyAlignment="1">
      <alignment horizontal="center" vertical="center"/>
    </xf>
    <xf numFmtId="0" fontId="3" fillId="3" borderId="16" xfId="66" applyFont="1" applyFill="1" applyBorder="1" applyAlignment="1">
      <alignment horizontal="center" vertical="center"/>
    </xf>
    <xf numFmtId="0" fontId="2" fillId="0" borderId="0" xfId="66" applyFont="1" applyAlignment="1">
      <alignment horizontal="center" vertical="center"/>
    </xf>
    <xf numFmtId="0" fontId="3" fillId="0" borderId="0" xfId="66" applyFont="1" applyAlignment="1">
      <alignment horizontal="center" vertical="center"/>
    </xf>
    <xf numFmtId="0" fontId="4" fillId="0" borderId="0" xfId="66" applyFont="1" applyAlignment="1">
      <alignment horizontal="center" vertical="center"/>
    </xf>
    <xf numFmtId="0" fontId="3" fillId="0" borderId="0" xfId="66" applyFont="1" applyAlignment="1">
      <alignment horizontal="left" vertical="center"/>
    </xf>
  </cellXfs>
  <cellStyles count="79">
    <cellStyle name="_337341SOP" xfId="2" xr:uid="{00000000-0005-0000-0000-000031000000}"/>
    <cellStyle name="_337341SOP_1" xfId="3" xr:uid="{00000000-0005-0000-0000-000032000000}"/>
    <cellStyle name="_386896SOP1" xfId="4" xr:uid="{00000000-0005-0000-0000-000033000000}"/>
    <cellStyle name="AAA" xfId="5" xr:uid="{00000000-0005-0000-0000-000034000000}"/>
    <cellStyle name="AeE­ [0]_INQUIRY ¿μ¾÷AßAø " xfId="6" xr:uid="{00000000-0005-0000-0000-000035000000}"/>
    <cellStyle name="args.style" xfId="7" xr:uid="{00000000-0005-0000-0000-000036000000}"/>
    <cellStyle name="Border" xfId="8" xr:uid="{00000000-0005-0000-0000-000037000000}"/>
    <cellStyle name="C?AØ_¿?¾÷CoE² " xfId="9" xr:uid="{00000000-0005-0000-0000-000038000000}"/>
    <cellStyle name="Calc Currency (0)" xfId="10" xr:uid="{00000000-0005-0000-0000-000039000000}"/>
    <cellStyle name="Calc Currency (2)" xfId="11" xr:uid="{00000000-0005-0000-0000-00003A000000}"/>
    <cellStyle name="Calc Percent (0)" xfId="12" xr:uid="{00000000-0005-0000-0000-00003B000000}"/>
    <cellStyle name="Calc Percent (1)" xfId="13" xr:uid="{00000000-0005-0000-0000-00003C000000}"/>
    <cellStyle name="Calc Percent (2)" xfId="14" xr:uid="{00000000-0005-0000-0000-00003D000000}"/>
    <cellStyle name="Calc Units (0)" xfId="15" xr:uid="{00000000-0005-0000-0000-00003E000000}"/>
    <cellStyle name="Calc Units (1)" xfId="16" xr:uid="{00000000-0005-0000-0000-00003F000000}"/>
    <cellStyle name="ColLevel_1_BE (2)" xfId="17" xr:uid="{00000000-0005-0000-0000-000040000000}"/>
    <cellStyle name="Comma [0]_!!!GO" xfId="18" xr:uid="{00000000-0005-0000-0000-000041000000}"/>
    <cellStyle name="Comma [00]" xfId="19" xr:uid="{00000000-0005-0000-0000-000042000000}"/>
    <cellStyle name="Comma_!!!GO" xfId="20" xr:uid="{00000000-0005-0000-0000-000043000000}"/>
    <cellStyle name="Comma0" xfId="21" xr:uid="{00000000-0005-0000-0000-000044000000}"/>
    <cellStyle name="Copied" xfId="22" xr:uid="{00000000-0005-0000-0000-000045000000}"/>
    <cellStyle name="COST1" xfId="23" xr:uid="{00000000-0005-0000-0000-000046000000}"/>
    <cellStyle name="Currency [0]_!!!GO" xfId="24" xr:uid="{00000000-0005-0000-0000-000047000000}"/>
    <cellStyle name="Currency [00]" xfId="25" xr:uid="{00000000-0005-0000-0000-000048000000}"/>
    <cellStyle name="Currency_!!!GO" xfId="26" xr:uid="{00000000-0005-0000-0000-000049000000}"/>
    <cellStyle name="Cyndie" xfId="27" xr:uid="{00000000-0005-0000-0000-00004A000000}"/>
    <cellStyle name="Date" xfId="28" xr:uid="{00000000-0005-0000-0000-00004B000000}"/>
    <cellStyle name="Date Short" xfId="29" xr:uid="{00000000-0005-0000-0000-00004C000000}"/>
    <cellStyle name="Date_Book1" xfId="30" xr:uid="{00000000-0005-0000-0000-00004D000000}"/>
    <cellStyle name="DELTA" xfId="31" xr:uid="{00000000-0005-0000-0000-00004E000000}"/>
    <cellStyle name="Entered" xfId="32" xr:uid="{00000000-0005-0000-0000-00004F000000}"/>
    <cellStyle name="F2" xfId="33" xr:uid="{00000000-0005-0000-0000-000050000000}"/>
    <cellStyle name="F4" xfId="34" xr:uid="{00000000-0005-0000-0000-000051000000}"/>
    <cellStyle name="F6" xfId="35" xr:uid="{00000000-0005-0000-0000-000052000000}"/>
    <cellStyle name="F7" xfId="36" xr:uid="{00000000-0005-0000-0000-000053000000}"/>
    <cellStyle name="F8" xfId="37" xr:uid="{00000000-0005-0000-0000-000054000000}"/>
    <cellStyle name="Fixed" xfId="38" xr:uid="{00000000-0005-0000-0000-000055000000}"/>
    <cellStyle name="Followed Hyperlink" xfId="39" xr:uid="{00000000-0005-0000-0000-000056000000}"/>
    <cellStyle name="Grey" xfId="40" xr:uid="{00000000-0005-0000-0000-000057000000}"/>
    <cellStyle name="Header1" xfId="41" xr:uid="{00000000-0005-0000-0000-000058000000}"/>
    <cellStyle name="Header2" xfId="42" xr:uid="{00000000-0005-0000-0000-000059000000}"/>
    <cellStyle name="Hyperlink" xfId="43" xr:uid="{00000000-0005-0000-0000-00005A000000}"/>
    <cellStyle name="Input [yellow]" xfId="44" xr:uid="{00000000-0005-0000-0000-00005B000000}"/>
    <cellStyle name="Input Cells" xfId="45" xr:uid="{00000000-0005-0000-0000-00005C000000}"/>
    <cellStyle name="Linked Cells" xfId="46" xr:uid="{00000000-0005-0000-0000-00005D000000}"/>
    <cellStyle name="Milliers [0]_!!!GO" xfId="47" xr:uid="{00000000-0005-0000-0000-00005E000000}"/>
    <cellStyle name="Milliers_!!!GO" xfId="48" xr:uid="{00000000-0005-0000-0000-00005F000000}"/>
    <cellStyle name="Monétaire [0]_!!!GO" xfId="49" xr:uid="{00000000-0005-0000-0000-000060000000}"/>
    <cellStyle name="Monétaire_!!!GO" xfId="50" xr:uid="{00000000-0005-0000-0000-000061000000}"/>
    <cellStyle name="New Times Roman" xfId="51" xr:uid="{00000000-0005-0000-0000-000062000000}"/>
    <cellStyle name="Normal - Style1" xfId="52" xr:uid="{00000000-0005-0000-0000-000063000000}"/>
    <cellStyle name="paint" xfId="53" xr:uid="{00000000-0005-0000-0000-000064000000}"/>
    <cellStyle name="Percent [0]" xfId="54" xr:uid="{00000000-0005-0000-0000-000065000000}"/>
    <cellStyle name="Percent [00]" xfId="55" xr:uid="{00000000-0005-0000-0000-000066000000}"/>
    <cellStyle name="Percent [2]" xfId="56" xr:uid="{00000000-0005-0000-0000-000067000000}"/>
    <cellStyle name="Percent_#6 Temps &amp; Contractors" xfId="57" xr:uid="{00000000-0005-0000-0000-000068000000}"/>
    <cellStyle name="PrePop Currency (0)" xfId="58" xr:uid="{00000000-0005-0000-0000-000069000000}"/>
    <cellStyle name="PrePop Currency (2)" xfId="59" xr:uid="{00000000-0005-0000-0000-00006A000000}"/>
    <cellStyle name="PrePop Units (1)" xfId="60" xr:uid="{00000000-0005-0000-0000-00006B000000}"/>
    <cellStyle name="Text Indent A" xfId="61" xr:uid="{00000000-0005-0000-0000-00006C000000}"/>
    <cellStyle name="Text Indent B" xfId="62" xr:uid="{00000000-0005-0000-0000-00006D000000}"/>
    <cellStyle name="Text Indent C" xfId="63" xr:uid="{00000000-0005-0000-0000-00006E000000}"/>
    <cellStyle name="Total" xfId="64" xr:uid="{00000000-0005-0000-0000-00006F000000}"/>
    <cellStyle name="百分比" xfId="1" builtinId="5"/>
    <cellStyle name="常规" xfId="0" builtinId="0"/>
    <cellStyle name="常规 2 2" xfId="65" xr:uid="{00000000-0005-0000-0000-000070000000}"/>
    <cellStyle name="常规 3" xfId="66" xr:uid="{00000000-0005-0000-0000-000071000000}"/>
    <cellStyle name="貨幣[0]_04" xfId="67" xr:uid="{00000000-0005-0000-0000-000072000000}"/>
    <cellStyle name="똿뗦먛귟 [0.00]_PRODUCT DETAIL Q1" xfId="68" xr:uid="{00000000-0005-0000-0000-000073000000}"/>
    <cellStyle name="똿뗦먛귟_PRODUCT DETAIL Q1" xfId="69" xr:uid="{00000000-0005-0000-0000-000074000000}"/>
    <cellStyle name="未定義" xfId="70" xr:uid="{00000000-0005-0000-0000-000075000000}"/>
    <cellStyle name="样式 1" xfId="71" xr:uid="{00000000-0005-0000-0000-000076000000}"/>
    <cellStyle name="믅됞 [0.00]_PRODUCT DETAIL Q1" xfId="72" xr:uid="{00000000-0005-0000-0000-000077000000}"/>
    <cellStyle name="뷭?_BOOKSHIP" xfId="73" xr:uid="{00000000-0005-0000-0000-000078000000}"/>
    <cellStyle name="콤마 [0]_1202" xfId="74" xr:uid="{00000000-0005-0000-0000-000079000000}"/>
    <cellStyle name="콤마_1202" xfId="75" xr:uid="{00000000-0005-0000-0000-00007A000000}"/>
    <cellStyle name="통화 [0]_1202" xfId="76" xr:uid="{00000000-0005-0000-0000-00007B000000}"/>
    <cellStyle name="통화_1202" xfId="77" xr:uid="{00000000-0005-0000-0000-00007C000000}"/>
    <cellStyle name="표준_(정보부문)월별인원계획" xfId="78" xr:uid="{00000000-0005-0000-0000-00007D000000}"/>
  </cellStyles>
  <dxfs count="197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2800" b="1" i="0" u="none" strike="noStrike" kern="1200" baseline="0">
                <a:solidFill>
                  <a:srgbClr val="000000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</a:defRPr>
            </a:pPr>
            <a:r>
              <a:rPr lang="zh-CN" altLang="en-US"/>
              <a:t>测量改善前山积表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150917239892098E-2"/>
          <c:y val="0.20221713337615299"/>
          <c:w val="0.96953987516796603"/>
          <c:h val="0.728580407278761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平衡率及动作变异分析图!$A$31</c:f>
              <c:strCache>
                <c:ptCount val="1"/>
                <c:pt idx="0">
                  <c:v>ST1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平衡率及动作变异分析图!$B$31:$CC$31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6-4965-93A9-A4752E8D879E}"/>
            </c:ext>
          </c:extLst>
        </c:ser>
        <c:ser>
          <c:idx val="1"/>
          <c:order val="1"/>
          <c:tx>
            <c:strRef>
              <c:f>平衡率及动作变异分析图!$A$32</c:f>
              <c:strCache>
                <c:ptCount val="1"/>
                <c:pt idx="0">
                  <c:v>ST2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平衡率及动作变异分析图!$B$32:$CC$32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6-4965-93A9-A4752E8D879E}"/>
            </c:ext>
          </c:extLst>
        </c:ser>
        <c:ser>
          <c:idx val="2"/>
          <c:order val="2"/>
          <c:tx>
            <c:strRef>
              <c:f>平衡率及动作变异分析图!$A$33</c:f>
              <c:strCache>
                <c:ptCount val="1"/>
                <c:pt idx="0">
                  <c:v>ST3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平衡率及动作变异分析图!$B$33:$CC$33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6-4965-93A9-A4752E8D879E}"/>
            </c:ext>
          </c:extLst>
        </c:ser>
        <c:ser>
          <c:idx val="3"/>
          <c:order val="3"/>
          <c:tx>
            <c:strRef>
              <c:f>平衡率及动作变异分析图!$A$34</c:f>
              <c:strCache>
                <c:ptCount val="1"/>
                <c:pt idx="0">
                  <c:v>ST4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平衡率及动作变异分析图!$B$34:$CC$34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26-4965-93A9-A4752E8D879E}"/>
            </c:ext>
          </c:extLst>
        </c:ser>
        <c:ser>
          <c:idx val="4"/>
          <c:order val="4"/>
          <c:tx>
            <c:strRef>
              <c:f>平衡率及动作变异分析图!$A$35</c:f>
              <c:strCache>
                <c:ptCount val="1"/>
                <c:pt idx="0">
                  <c:v>ST5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平衡率及动作变异分析图!$B$35:$CC$35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26-4965-93A9-A4752E8D879E}"/>
            </c:ext>
          </c:extLst>
        </c:ser>
        <c:ser>
          <c:idx val="5"/>
          <c:order val="5"/>
          <c:tx>
            <c:strRef>
              <c:f>平衡率及动作变异分析图!$A$36</c:f>
              <c:strCache>
                <c:ptCount val="1"/>
                <c:pt idx="0">
                  <c:v>ST6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平衡率及动作变异分析图!$B$36:$CC$36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26-4965-93A9-A4752E8D879E}"/>
            </c:ext>
          </c:extLst>
        </c:ser>
        <c:ser>
          <c:idx val="6"/>
          <c:order val="6"/>
          <c:tx>
            <c:strRef>
              <c:f>平衡率及动作变异分析图!$A$37</c:f>
              <c:strCache>
                <c:ptCount val="1"/>
                <c:pt idx="0">
                  <c:v>ST7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平衡率及动作变异分析图!$B$37:$CC$37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26-4965-93A9-A4752E8D879E}"/>
            </c:ext>
          </c:extLst>
        </c:ser>
        <c:ser>
          <c:idx val="7"/>
          <c:order val="7"/>
          <c:tx>
            <c:strRef>
              <c:f>平衡率及动作变异分析图!$A$38</c:f>
              <c:strCache>
                <c:ptCount val="1"/>
                <c:pt idx="0">
                  <c:v>ST8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平衡率及动作变异分析图!$B$38:$CC$38</c:f>
              <c:numCache>
                <c:formatCode>0.0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26-4965-93A9-A4752E8D8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4"/>
        <c:overlap val="100"/>
        <c:axId val="243581264"/>
        <c:axId val="246992400"/>
      </c:barChart>
      <c:scatterChart>
        <c:scatterStyle val="lineMarker"/>
        <c:varyColors val="0"/>
        <c:ser>
          <c:idx val="8"/>
          <c:order val="8"/>
          <c:tx>
            <c:v>T/T</c:v>
          </c:tx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ln w="3175" cap="flat" cmpd="sng" algn="ctr">
                <a:solidFill>
                  <a:srgbClr val="000000"/>
                </a:solidFill>
                <a:prstDash val="solid"/>
                <a:round/>
              </a:ln>
            </c:spPr>
          </c:errBars>
          <c:errBars>
            <c:errDir val="x"/>
            <c:errBarType val="plus"/>
            <c:errValType val="fixedVal"/>
            <c:noEndCap val="1"/>
            <c:val val="79"/>
            <c:spPr>
              <a:ln w="3175" cap="flat" cmpd="sng" algn="ctr">
                <a:solidFill>
                  <a:srgbClr val="FF0000"/>
                </a:solidFill>
                <a:prstDash val="solid"/>
                <a:round/>
              </a:ln>
            </c:spPr>
          </c:errBars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平衡率及动作变异分析图!$CF$3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826-4965-93A9-A4752E8D879E}"/>
            </c:ext>
          </c:extLst>
        </c:ser>
        <c:ser>
          <c:idx val="9"/>
          <c:order val="9"/>
          <c:tx>
            <c:v>TAV</c:v>
          </c:tx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ln w="3175" cap="flat" cmpd="sng" algn="ctr">
                <a:solidFill>
                  <a:srgbClr val="000000"/>
                </a:solidFill>
                <a:prstDash val="solid"/>
                <a:round/>
              </a:ln>
            </c:spPr>
          </c:errBars>
          <c:errBars>
            <c:errDir val="x"/>
            <c:errBarType val="plus"/>
            <c:errValType val="fixedVal"/>
            <c:noEndCap val="1"/>
            <c:val val="79"/>
            <c:spPr>
              <a:ln w="3175" cap="flat" cmpd="sng" algn="ctr">
                <a:solidFill>
                  <a:srgbClr val="0000FF"/>
                </a:solidFill>
                <a:prstDash val="solid"/>
                <a:round/>
              </a:ln>
            </c:spPr>
          </c:errBars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Ref>
              <c:f>平衡率及动作变异分析图!$CF$4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826-4965-93A9-A4752E8D8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581264"/>
        <c:axId val="246992400"/>
      </c:scatterChart>
      <c:catAx>
        <c:axId val="243581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246992400"/>
        <c:crosses val="autoZero"/>
        <c:auto val="1"/>
        <c:lblAlgn val="ctr"/>
        <c:lblOffset val="100"/>
        <c:noMultiLvlLbl val="0"/>
      </c:catAx>
      <c:valAx>
        <c:axId val="24699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dash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8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r>
                  <a:rPr lang="en-US" altLang="zh-CN" sz="1800" b="0">
                    <a:latin typeface="Arial" panose="020B0604020202020204" pitchFamily="7" charset="0"/>
                    <a:cs typeface="Arial" panose="020B0604020202020204" pitchFamily="7" charset="0"/>
                  </a:rPr>
                  <a:t>ST</a:t>
                </a:r>
              </a:p>
              <a:p>
                <a:pPr>
                  <a:defRPr lang="zh-CN" sz="18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r>
                  <a:rPr lang="en-US" altLang="zh-CN" sz="1800" b="0">
                    <a:latin typeface="Arial" panose="020B0604020202020204" pitchFamily="7" charset="0"/>
                    <a:cs typeface="Arial" panose="020B0604020202020204" pitchFamily="7" charset="0"/>
                  </a:rPr>
                  <a:t>(S)</a:t>
                </a:r>
                <a:endParaRPr lang="zh-CN" altLang="en-US" sz="1800" b="0">
                  <a:latin typeface="Arial" panose="020B0604020202020204" pitchFamily="7" charset="0"/>
                  <a:cs typeface="Arial" panose="020B0604020202020204" pitchFamily="7" charset="0"/>
                </a:endParaRPr>
              </a:p>
            </c:rich>
          </c:tx>
          <c:layout>
            <c:manualLayout>
              <c:xMode val="edge"/>
              <c:yMode val="edge"/>
              <c:x val="1.2528018649567501E-2"/>
              <c:y val="2.9742645805637902E-2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243581264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t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7f209f-76b3-48c5-b4fa-8d5148bab36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2800" b="1" i="0" u="none" strike="noStrike" kern="1200" baseline="0">
                <a:solidFill>
                  <a:srgbClr val="000000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</a:defRPr>
            </a:pPr>
            <a:r>
              <a:rPr lang="zh-CN" altLang="en-US"/>
              <a:t>线平衡分析图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60246563024592E-2"/>
          <c:y val="0.27272899064035699"/>
          <c:w val="0.97085757159756103"/>
          <c:h val="0.64848868660444303"/>
        </c:manualLayout>
      </c:layout>
      <c:barChart>
        <c:barDir val="col"/>
        <c:grouping val="clustered"/>
        <c:varyColors val="0"/>
        <c:ser>
          <c:idx val="0"/>
          <c:order val="0"/>
          <c:tx>
            <c:v>ST</c:v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平衡率及动作变异分析图!$B$39:$CC$39</c:f>
              <c:numCache>
                <c:formatCode>0.0_ ;[Red]\-0.0\ 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3-48C8-9174-2381A2C0B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30700624"/>
        <c:axId val="241372512"/>
      </c:barChart>
      <c:lineChart>
        <c:grouping val="standard"/>
        <c:varyColors val="0"/>
        <c:ser>
          <c:idx val="1"/>
          <c:order val="1"/>
          <c:tx>
            <c:v>TAV</c:v>
          </c:tx>
          <c:spPr>
            <a:ln w="2540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val>
            <c:numRef>
              <c:f>平衡率及动作变异分析图!$B$42:$CC$42</c:f>
              <c:numCache>
                <c:formatCode>0.00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83-48C8-9174-2381A2C0B769}"/>
            </c:ext>
          </c:extLst>
        </c:ser>
        <c:ser>
          <c:idx val="2"/>
          <c:order val="2"/>
          <c:tx>
            <c:v>TT</c:v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平衡率及动作变异分析图!$B$41:$CC$41</c:f>
              <c:numCache>
                <c:formatCode>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83-48C8-9174-2381A2C0B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00624"/>
        <c:axId val="241372512"/>
      </c:lineChart>
      <c:catAx>
        <c:axId val="130700624"/>
        <c:scaling>
          <c:orientation val="minMax"/>
        </c:scaling>
        <c:delete val="1"/>
        <c:axPos val="b"/>
        <c:majorTickMark val="out"/>
        <c:minorTickMark val="none"/>
        <c:tickLblPos val="nextTo"/>
        <c:crossAx val="241372512"/>
        <c:crosses val="autoZero"/>
        <c:auto val="1"/>
        <c:lblAlgn val="ctr"/>
        <c:lblOffset val="100"/>
        <c:noMultiLvlLbl val="0"/>
      </c:catAx>
      <c:valAx>
        <c:axId val="24137251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ea typeface="宋体" panose="02010600030101010101" pitchFamily="7" charset="-122"/>
                    <a:cs typeface="Arial" panose="020B0604020202020204" pitchFamily="7" charset="0"/>
                  </a:defRPr>
                </a:pPr>
                <a:r>
                  <a:rPr lang="en-US" altLang="zh-CN" sz="1800">
                    <a:solidFill>
                      <a:sysClr val="windowText" lastClr="00000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ST</a:t>
                </a:r>
              </a:p>
              <a:p>
                <a:pPr>
                  <a:defRPr lang="zh-CN"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ea typeface="宋体" panose="02010600030101010101" pitchFamily="7" charset="-122"/>
                    <a:cs typeface="Arial" panose="020B0604020202020204" pitchFamily="7" charset="0"/>
                  </a:defRPr>
                </a:pPr>
                <a:r>
                  <a:rPr lang="en-US" altLang="zh-CN" sz="1800">
                    <a:solidFill>
                      <a:sysClr val="windowText" lastClr="00000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(S)</a:t>
                </a:r>
                <a:endParaRPr lang="zh-CN" altLang="en-US" sz="1800">
                  <a:solidFill>
                    <a:sysClr val="windowText" lastClr="000000"/>
                  </a:solidFill>
                  <a:latin typeface="Arial" panose="020B0604020202020204" pitchFamily="7" charset="0"/>
                  <a:cs typeface="Arial" panose="020B0604020202020204" pitchFamily="7" charset="0"/>
                </a:endParaRPr>
              </a:p>
            </c:rich>
          </c:tx>
          <c:layout>
            <c:manualLayout>
              <c:xMode val="edge"/>
              <c:yMode val="edge"/>
              <c:x val="1.2646098657192901E-2"/>
              <c:y val="0.111990203980408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宋体" panose="02010600030101010101" pitchFamily="7" charset="-122"/>
                <a:cs typeface="Arial" panose="020B0604020202020204" pitchFamily="7" charset="0"/>
              </a:defRPr>
            </a:pPr>
            <a:endParaRPr lang="zh-CN"/>
          </a:p>
        </c:txPr>
        <c:crossAx val="13070062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</a:ln>
      </c:spPr>
    </c:plotArea>
    <c:legend>
      <c:legendPos val="t"/>
      <c:overlay val="0"/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rgbClr val="000000"/>
              </a:solidFill>
              <a:latin typeface="Arial" panose="020B0604020202020204" pitchFamily="7" charset="0"/>
              <a:ea typeface="宋体" panose="02010600030101010101" pitchFamily="7" charset="-122"/>
              <a:cs typeface="Arial" panose="020B0604020202020204" pitchFamily="7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4f90b7-133c-462b-9ef8-2e0d6d3f1d5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2800" b="1" i="0" u="none" strike="noStrike" kern="1200" baseline="0">
                <a:solidFill>
                  <a:srgbClr val="FF0000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</a:defRPr>
            </a:pPr>
            <a:r>
              <a:rPr lang="zh-CN" altLang="en-US"/>
              <a:t>动作变异分析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44186486201842E-2"/>
          <c:y val="0.121894093618525"/>
          <c:w val="0.91865036054799898"/>
          <c:h val="0.76212594297594605"/>
        </c:manualLayout>
      </c:layout>
      <c:stockChart>
        <c:ser>
          <c:idx val="0"/>
          <c:order val="0"/>
          <c:tx>
            <c:strRef>
              <c:f>工时测量记录表!$AU$5</c:f>
              <c:strCache>
                <c:ptCount val="1"/>
                <c:pt idx="0">
                  <c:v>1/4位数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cat>
            <c:numRef>
              <c:f>工时测量记录表!$AT$6:$AT$85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工时测量记录表!$AU$6:$AU$85</c:f>
              <c:numCache>
                <c:formatCode>0.00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4-443F-8972-DAA1ED4B9C76}"/>
            </c:ext>
          </c:extLst>
        </c:ser>
        <c:ser>
          <c:idx val="1"/>
          <c:order val="1"/>
          <c:tx>
            <c:strRef>
              <c:f>工时测量记录表!$AV$5</c:f>
              <c:strCache>
                <c:ptCount val="1"/>
                <c:pt idx="0">
                  <c:v>最大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cat>
            <c:numRef>
              <c:f>工时测量记录表!$AT$6:$AT$85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工时测量记录表!$AV$6:$AV$85</c:f>
              <c:numCache>
                <c:formatCode>0.00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34-443F-8972-DAA1ED4B9C76}"/>
            </c:ext>
          </c:extLst>
        </c:ser>
        <c:ser>
          <c:idx val="2"/>
          <c:order val="2"/>
          <c:tx>
            <c:strRef>
              <c:f>工时测量记录表!$AW$5</c:f>
              <c:strCache>
                <c:ptCount val="1"/>
                <c:pt idx="0">
                  <c:v>最小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cat>
            <c:numRef>
              <c:f>工时测量记录表!$AT$6:$AT$85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工时测量记录表!$AW$6:$AW$85</c:f>
              <c:numCache>
                <c:formatCode>0.00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34-443F-8972-DAA1ED4B9C76}"/>
            </c:ext>
          </c:extLst>
        </c:ser>
        <c:ser>
          <c:idx val="3"/>
          <c:order val="3"/>
          <c:tx>
            <c:strRef>
              <c:f>工时测量记录表!$AX$5</c:f>
              <c:strCache>
                <c:ptCount val="1"/>
                <c:pt idx="0">
                  <c:v>3/4位数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cat>
            <c:numRef>
              <c:f>工时测量记录表!$AT$6:$AT$85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f>工时测量记录表!$AX$6:$AX$85</c:f>
              <c:numCache>
                <c:formatCode>0.00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34-443F-8972-DAA1ED4B9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857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</c:spPr>
        </c:hiLowLines>
        <c:upDownBars>
          <c:gapWidth val="150"/>
          <c:upBars>
            <c:spPr>
              <a:solidFill>
                <a:srgbClr val="FF0000"/>
              </a:solidFill>
              <a:ln w="28575" cap="flat" cmpd="sng" algn="ctr">
                <a:solidFill>
                  <a:schemeClr val="tx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upBars>
          <c:downBars/>
        </c:upDownBars>
        <c:axId val="513387424"/>
        <c:axId val="513387984"/>
      </c:stockChart>
      <c:catAx>
        <c:axId val="513387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513387984"/>
        <c:crosses val="autoZero"/>
        <c:auto val="1"/>
        <c:lblAlgn val="ctr"/>
        <c:lblOffset val="100"/>
        <c:noMultiLvlLbl val="0"/>
      </c:catAx>
      <c:valAx>
        <c:axId val="51338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dash"/>
              <a:round/>
            </a:ln>
          </c:spPr>
        </c:majorGridlines>
        <c:numFmt formatCode="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513387424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96886057782103097"/>
          <c:y val="0.43383953982905099"/>
          <c:w val="1.6635845612931299E-2"/>
          <c:h val="0.159655886599411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8ec06c-bf83-45f4-b710-aaa89b6656ea}"/>
      </c:ext>
    </c:extLst>
  </c:chart>
  <c:spPr>
    <a:ln w="25400" cap="flat" cmpd="sng" algn="ctr">
      <a:solidFill>
        <a:schemeClr val="tx1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504825</xdr:colOff>
      <xdr:row>4</xdr:row>
      <xdr:rowOff>95250</xdr:rowOff>
    </xdr:from>
    <xdr:to>
      <xdr:col>28</xdr:col>
      <xdr:colOff>981075</xdr:colOff>
      <xdr:row>4</xdr:row>
      <xdr:rowOff>257175</xdr:rowOff>
    </xdr:to>
    <xdr:grpSp>
      <xdr:nvGrpSpPr>
        <xdr:cNvPr id="1649" name="Group 19">
          <a:extLst>
            <a:ext uri="{FF2B5EF4-FFF2-40B4-BE49-F238E27FC236}">
              <a16:creationId xmlns:a16="http://schemas.microsoft.com/office/drawing/2014/main" id="{00000000-0008-0000-0100-000071060000}"/>
            </a:ext>
          </a:extLst>
        </xdr:cNvPr>
        <xdr:cNvGrpSpPr/>
      </xdr:nvGrpSpPr>
      <xdr:grpSpPr>
        <a:xfrm>
          <a:off x="14525625" y="1216479"/>
          <a:ext cx="476250" cy="161925"/>
          <a:chOff x="578" y="227"/>
          <a:chExt cx="32" cy="12"/>
        </a:xfrm>
      </xdr:grpSpPr>
      <xdr:sp macro="" textlink="">
        <xdr:nvSpPr>
          <xdr:cNvPr id="1650" name="Line 20">
            <a:extLst>
              <a:ext uri="{FF2B5EF4-FFF2-40B4-BE49-F238E27FC236}">
                <a16:creationId xmlns:a16="http://schemas.microsoft.com/office/drawing/2014/main" id="{00000000-0008-0000-0100-000072060000}"/>
              </a:ext>
            </a:extLst>
          </xdr:cNvPr>
          <xdr:cNvSpPr>
            <a:spLocks noChangeShapeType="1"/>
          </xdr:cNvSpPr>
        </xdr:nvSpPr>
        <xdr:spPr>
          <a:xfrm>
            <a:off x="578" y="235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</a:ln>
        </xdr:spPr>
      </xdr:sp>
      <xdr:sp macro="" textlink="">
        <xdr:nvSpPr>
          <xdr:cNvPr id="1651" name="Line 21">
            <a:extLst>
              <a:ext uri="{FF2B5EF4-FFF2-40B4-BE49-F238E27FC236}">
                <a16:creationId xmlns:a16="http://schemas.microsoft.com/office/drawing/2014/main" id="{00000000-0008-0000-0100-000073060000}"/>
              </a:ext>
            </a:extLst>
          </xdr:cNvPr>
          <xdr:cNvSpPr>
            <a:spLocks noChangeShapeType="1"/>
          </xdr:cNvSpPr>
        </xdr:nvSpPr>
        <xdr:spPr>
          <a:xfrm flipV="1">
            <a:off x="581" y="227"/>
            <a:ext cx="2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</a:ln>
        </xdr:spPr>
      </xdr:sp>
      <xdr:sp macro="" textlink="">
        <xdr:nvSpPr>
          <xdr:cNvPr id="1652" name="Line 22">
            <a:extLst>
              <a:ext uri="{FF2B5EF4-FFF2-40B4-BE49-F238E27FC236}">
                <a16:creationId xmlns:a16="http://schemas.microsoft.com/office/drawing/2014/main" id="{00000000-0008-0000-0100-000074060000}"/>
              </a:ext>
            </a:extLst>
          </xdr:cNvPr>
          <xdr:cNvSpPr>
            <a:spLocks noChangeShapeType="1"/>
          </xdr:cNvSpPr>
        </xdr:nvSpPr>
        <xdr:spPr>
          <a:xfrm>
            <a:off x="582" y="227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</a:ln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57150</xdr:rowOff>
    </xdr:from>
    <xdr:to>
      <xdr:col>81</xdr:col>
      <xdr:colOff>142875</xdr:colOff>
      <xdr:row>28</xdr:row>
      <xdr:rowOff>0</xdr:rowOff>
    </xdr:to>
    <xdr:graphicFrame macro="">
      <xdr:nvGraphicFramePr>
        <xdr:cNvPr id="2329" name="图表 2">
          <a:extLst>
            <a:ext uri="{FF2B5EF4-FFF2-40B4-BE49-F238E27FC236}">
              <a16:creationId xmlns:a16="http://schemas.microsoft.com/office/drawing/2014/main" id="{00000000-0008-0000-0300-00001909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34636</xdr:rowOff>
    </xdr:from>
    <xdr:to>
      <xdr:col>81</xdr:col>
      <xdr:colOff>137431</xdr:colOff>
      <xdr:row>9</xdr:row>
      <xdr:rowOff>27585</xdr:rowOff>
    </xdr:to>
    <xdr:graphicFrame macro="">
      <xdr:nvGraphicFramePr>
        <xdr:cNvPr id="2330" name="图表 1">
          <a:extLst>
            <a:ext uri="{FF2B5EF4-FFF2-40B4-BE49-F238E27FC236}">
              <a16:creationId xmlns:a16="http://schemas.microsoft.com/office/drawing/2014/main" id="{00000000-0008-0000-0300-00001A09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69272</xdr:rowOff>
    </xdr:from>
    <xdr:to>
      <xdr:col>84</xdr:col>
      <xdr:colOff>0</xdr:colOff>
      <xdr:row>69</xdr:row>
      <xdr:rowOff>113434</xdr:rowOff>
    </xdr:to>
    <xdr:graphicFrame macro="">
      <xdr:nvGraphicFramePr>
        <xdr:cNvPr id="2331" name="图表 2">
          <a:extLst>
            <a:ext uri="{FF2B5EF4-FFF2-40B4-BE49-F238E27FC236}">
              <a16:creationId xmlns:a16="http://schemas.microsoft.com/office/drawing/2014/main" id="{00000000-0008-0000-0300-00001B09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55</xdr:row>
      <xdr:rowOff>122466</xdr:rowOff>
    </xdr:from>
    <xdr:to>
      <xdr:col>80</xdr:col>
      <xdr:colOff>421821</xdr:colOff>
      <xdr:row>55</xdr:row>
      <xdr:rowOff>122466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923925" y="17317720"/>
          <a:ext cx="35035490" cy="0"/>
        </a:xfrm>
        <a:prstGeom prst="line">
          <a:avLst/>
        </a:prstGeom>
        <a:ln w="28575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145473</xdr:colOff>
      <xdr:row>4</xdr:row>
      <xdr:rowOff>117763</xdr:rowOff>
    </xdr:from>
    <xdr:to>
      <xdr:col>5</xdr:col>
      <xdr:colOff>180109</xdr:colOff>
      <xdr:row>5</xdr:row>
      <xdr:rowOff>138545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4650740" y="1438275"/>
          <a:ext cx="367665" cy="2736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159327</xdr:colOff>
      <xdr:row>5</xdr:row>
      <xdr:rowOff>145473</xdr:rowOff>
    </xdr:from>
    <xdr:to>
      <xdr:col>5</xdr:col>
      <xdr:colOff>166254</xdr:colOff>
      <xdr:row>6</xdr:row>
      <xdr:rowOff>131619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 flipV="1">
          <a:off x="4664075" y="1718945"/>
          <a:ext cx="340360" cy="23876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173182</xdr:colOff>
      <xdr:row>6</xdr:row>
      <xdr:rowOff>131619</xdr:rowOff>
    </xdr:from>
    <xdr:to>
      <xdr:col>5</xdr:col>
      <xdr:colOff>180109</xdr:colOff>
      <xdr:row>7</xdr:row>
      <xdr:rowOff>131618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>
          <a:off x="4678045" y="1957705"/>
          <a:ext cx="340360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145472</xdr:colOff>
      <xdr:row>7</xdr:row>
      <xdr:rowOff>138547</xdr:rowOff>
    </xdr:from>
    <xdr:to>
      <xdr:col>5</xdr:col>
      <xdr:colOff>159327</xdr:colOff>
      <xdr:row>8</xdr:row>
      <xdr:rowOff>138546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CxnSpPr/>
      </xdr:nvCxnSpPr>
      <xdr:spPr>
        <a:xfrm flipV="1">
          <a:off x="4317365" y="2217420"/>
          <a:ext cx="68008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166255</xdr:colOff>
      <xdr:row>8</xdr:row>
      <xdr:rowOff>131619</xdr:rowOff>
    </xdr:from>
    <xdr:to>
      <xdr:col>6</xdr:col>
      <xdr:colOff>187037</xdr:colOff>
      <xdr:row>9</xdr:row>
      <xdr:rowOff>138545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>
          <a:off x="4337685" y="2463165"/>
          <a:ext cx="1021080" cy="25971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173182</xdr:colOff>
      <xdr:row>9</xdr:row>
      <xdr:rowOff>166254</xdr:rowOff>
    </xdr:from>
    <xdr:to>
      <xdr:col>6</xdr:col>
      <xdr:colOff>138545</xdr:colOff>
      <xdr:row>10</xdr:row>
      <xdr:rowOff>117763</xdr:rowOff>
    </xdr:to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/>
      </xdr:nvCxnSpPr>
      <xdr:spPr>
        <a:xfrm flipV="1">
          <a:off x="4344670" y="2750185"/>
          <a:ext cx="965835" cy="204470"/>
        </a:xfrm>
        <a:prstGeom prst="line">
          <a:avLst/>
        </a:prstGeom>
        <a:ln w="1905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159328</xdr:colOff>
      <xdr:row>12</xdr:row>
      <xdr:rowOff>138552</xdr:rowOff>
    </xdr:from>
    <xdr:to>
      <xdr:col>4</xdr:col>
      <xdr:colOff>131624</xdr:colOff>
      <xdr:row>13</xdr:row>
      <xdr:rowOff>124691</xdr:rowOff>
    </xdr:to>
    <xdr:cxnSp macro="">
      <xdr:nvCxnSpPr>
        <xdr:cNvPr id="8" name="直接连接符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CxnSpPr/>
      </xdr:nvCxnSpPr>
      <xdr:spPr>
        <a:xfrm flipH="1">
          <a:off x="4330700" y="3481070"/>
          <a:ext cx="306070" cy="23876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159328</xdr:colOff>
      <xdr:row>13</xdr:row>
      <xdr:rowOff>131618</xdr:rowOff>
    </xdr:from>
    <xdr:to>
      <xdr:col>4</xdr:col>
      <xdr:colOff>138547</xdr:colOff>
      <xdr:row>14</xdr:row>
      <xdr:rowOff>103909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CxnSpPr/>
      </xdr:nvCxnSpPr>
      <xdr:spPr>
        <a:xfrm flipH="1" flipV="1">
          <a:off x="4330700" y="3726815"/>
          <a:ext cx="313055" cy="22479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14</xdr:row>
      <xdr:rowOff>138552</xdr:rowOff>
    </xdr:from>
    <xdr:to>
      <xdr:col>4</xdr:col>
      <xdr:colOff>159335</xdr:colOff>
      <xdr:row>15</xdr:row>
      <xdr:rowOff>131618</xdr:rowOff>
    </xdr:to>
    <xdr:cxnSp macro="">
      <xdr:nvCxnSpPr>
        <xdr:cNvPr id="10" name="直接连接符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CxnSpPr/>
      </xdr:nvCxnSpPr>
      <xdr:spPr>
        <a:xfrm flipH="1">
          <a:off x="4324350" y="3986530"/>
          <a:ext cx="339725" cy="24574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159328</xdr:colOff>
      <xdr:row>15</xdr:row>
      <xdr:rowOff>131619</xdr:rowOff>
    </xdr:from>
    <xdr:to>
      <xdr:col>4</xdr:col>
      <xdr:colOff>145473</xdr:colOff>
      <xdr:row>16</xdr:row>
      <xdr:rowOff>110836</xdr:rowOff>
    </xdr:to>
    <xdr:cxnSp macro="">
      <xdr:nvCxnSpPr>
        <xdr:cNvPr id="11" name="直接连接符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CxnSpPr/>
      </xdr:nvCxnSpPr>
      <xdr:spPr>
        <a:xfrm flipH="1" flipV="1">
          <a:off x="4330700" y="4232275"/>
          <a:ext cx="320040" cy="23177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16</xdr:row>
      <xdr:rowOff>117765</xdr:rowOff>
    </xdr:from>
    <xdr:to>
      <xdr:col>4</xdr:col>
      <xdr:colOff>152400</xdr:colOff>
      <xdr:row>17</xdr:row>
      <xdr:rowOff>117764</xdr:rowOff>
    </xdr:to>
    <xdr:cxnSp macro="">
      <xdr:nvCxnSpPr>
        <xdr:cNvPr id="12" name="直接连接符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CxnSpPr/>
      </xdr:nvCxnSpPr>
      <xdr:spPr>
        <a:xfrm flipV="1">
          <a:off x="4657725" y="4471035"/>
          <a:ext cx="0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159327</xdr:colOff>
      <xdr:row>17</xdr:row>
      <xdr:rowOff>138546</xdr:rowOff>
    </xdr:from>
    <xdr:to>
      <xdr:col>6</xdr:col>
      <xdr:colOff>152401</xdr:colOff>
      <xdr:row>18</xdr:row>
      <xdr:rowOff>124693</xdr:rowOff>
    </xdr:to>
    <xdr:cxnSp macro="">
      <xdr:nvCxnSpPr>
        <xdr:cNvPr id="13" name="直接连接符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 flipH="1" flipV="1">
          <a:off x="4664075" y="4744720"/>
          <a:ext cx="660400" cy="23876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20</xdr:row>
      <xdr:rowOff>137160</xdr:rowOff>
    </xdr:from>
    <xdr:to>
      <xdr:col>7</xdr:col>
      <xdr:colOff>152400</xdr:colOff>
      <xdr:row>21</xdr:row>
      <xdr:rowOff>129542</xdr:rowOff>
    </xdr:to>
    <xdr:cxnSp macro="">
      <xdr:nvCxnSpPr>
        <xdr:cNvPr id="14" name="直接连接符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CxnSpPr/>
      </xdr:nvCxnSpPr>
      <xdr:spPr>
        <a:xfrm flipH="1" flipV="1">
          <a:off x="4331970" y="5501640"/>
          <a:ext cx="1325880" cy="24511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21</xdr:row>
      <xdr:rowOff>137160</xdr:rowOff>
    </xdr:from>
    <xdr:to>
      <xdr:col>7</xdr:col>
      <xdr:colOff>152400</xdr:colOff>
      <xdr:row>22</xdr:row>
      <xdr:rowOff>137160</xdr:rowOff>
    </xdr:to>
    <xdr:cxnSp macro="">
      <xdr:nvCxnSpPr>
        <xdr:cNvPr id="15" name="直接连接符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CxnSpPr/>
      </xdr:nvCxnSpPr>
      <xdr:spPr>
        <a:xfrm flipH="1">
          <a:off x="4324350" y="5754370"/>
          <a:ext cx="1333500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24</xdr:row>
      <xdr:rowOff>137160</xdr:rowOff>
    </xdr:from>
    <xdr:to>
      <xdr:col>7</xdr:col>
      <xdr:colOff>121920</xdr:colOff>
      <xdr:row>25</xdr:row>
      <xdr:rowOff>114302</xdr:rowOff>
    </xdr:to>
    <xdr:cxnSp macro="">
      <xdr:nvCxnSpPr>
        <xdr:cNvPr id="16" name="直接连接符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CxnSpPr/>
      </xdr:nvCxnSpPr>
      <xdr:spPr>
        <a:xfrm flipH="1" flipV="1">
          <a:off x="4339590" y="6512560"/>
          <a:ext cx="1287780" cy="2298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25</xdr:row>
      <xdr:rowOff>144780</xdr:rowOff>
    </xdr:from>
    <xdr:to>
      <xdr:col>7</xdr:col>
      <xdr:colOff>129540</xdr:colOff>
      <xdr:row>26</xdr:row>
      <xdr:rowOff>137160</xdr:rowOff>
    </xdr:to>
    <xdr:cxnSp macro="">
      <xdr:nvCxnSpPr>
        <xdr:cNvPr id="17" name="直接连接符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CxnSpPr/>
      </xdr:nvCxnSpPr>
      <xdr:spPr>
        <a:xfrm flipH="1">
          <a:off x="4316730" y="6772910"/>
          <a:ext cx="1318260" cy="24511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28</xdr:row>
      <xdr:rowOff>129540</xdr:rowOff>
    </xdr:from>
    <xdr:to>
      <xdr:col>4</xdr:col>
      <xdr:colOff>160020</xdr:colOff>
      <xdr:row>29</xdr:row>
      <xdr:rowOff>129540</xdr:rowOff>
    </xdr:to>
    <xdr:cxnSp macro="">
      <xdr:nvCxnSpPr>
        <xdr:cNvPr id="18" name="直接连接符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CxnSpPr/>
      </xdr:nvCxnSpPr>
      <xdr:spPr>
        <a:xfrm flipH="1">
          <a:off x="4324350" y="7515860"/>
          <a:ext cx="34099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29</xdr:row>
      <xdr:rowOff>137160</xdr:rowOff>
    </xdr:from>
    <xdr:to>
      <xdr:col>5</xdr:col>
      <xdr:colOff>152400</xdr:colOff>
      <xdr:row>30</xdr:row>
      <xdr:rowOff>129540</xdr:rowOff>
    </xdr:to>
    <xdr:cxnSp macro="">
      <xdr:nvCxnSpPr>
        <xdr:cNvPr id="19" name="直接连接符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CxnSpPr/>
      </xdr:nvCxnSpPr>
      <xdr:spPr>
        <a:xfrm flipH="1" flipV="1">
          <a:off x="4347210" y="7776210"/>
          <a:ext cx="643890" cy="24511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34</xdr:row>
      <xdr:rowOff>137160</xdr:rowOff>
    </xdr:from>
    <xdr:to>
      <xdr:col>4</xdr:col>
      <xdr:colOff>152400</xdr:colOff>
      <xdr:row>35</xdr:row>
      <xdr:rowOff>152400</xdr:rowOff>
    </xdr:to>
    <xdr:cxnSp macro="">
      <xdr:nvCxnSpPr>
        <xdr:cNvPr id="20" name="直接连接符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CxnSpPr/>
      </xdr:nvCxnSpPr>
      <xdr:spPr>
        <a:xfrm>
          <a:off x="4657725" y="9039860"/>
          <a:ext cx="0" cy="2679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33</xdr:row>
      <xdr:rowOff>106680</xdr:rowOff>
    </xdr:from>
    <xdr:to>
      <xdr:col>4</xdr:col>
      <xdr:colOff>152400</xdr:colOff>
      <xdr:row>34</xdr:row>
      <xdr:rowOff>121920</xdr:rowOff>
    </xdr:to>
    <xdr:cxnSp macro="">
      <xdr:nvCxnSpPr>
        <xdr:cNvPr id="21" name="直接连接符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CxnSpPr/>
      </xdr:nvCxnSpPr>
      <xdr:spPr>
        <a:xfrm>
          <a:off x="4657725" y="8756650"/>
          <a:ext cx="0" cy="2679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35</xdr:row>
      <xdr:rowOff>129540</xdr:rowOff>
    </xdr:from>
    <xdr:to>
      <xdr:col>4</xdr:col>
      <xdr:colOff>152400</xdr:colOff>
      <xdr:row>36</xdr:row>
      <xdr:rowOff>144780</xdr:rowOff>
    </xdr:to>
    <xdr:cxnSp macro="">
      <xdr:nvCxnSpPr>
        <xdr:cNvPr id="22" name="直接连接符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CxnSpPr/>
      </xdr:nvCxnSpPr>
      <xdr:spPr>
        <a:xfrm>
          <a:off x="4657725" y="9284970"/>
          <a:ext cx="0" cy="2679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36</xdr:row>
      <xdr:rowOff>137160</xdr:rowOff>
    </xdr:from>
    <xdr:to>
      <xdr:col>4</xdr:col>
      <xdr:colOff>152400</xdr:colOff>
      <xdr:row>37</xdr:row>
      <xdr:rowOff>152400</xdr:rowOff>
    </xdr:to>
    <xdr:cxnSp macro="">
      <xdr:nvCxnSpPr>
        <xdr:cNvPr id="23" name="直接连接符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CxnSpPr/>
      </xdr:nvCxnSpPr>
      <xdr:spPr>
        <a:xfrm>
          <a:off x="4657725" y="9545320"/>
          <a:ext cx="0" cy="2679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37</xdr:row>
      <xdr:rowOff>114300</xdr:rowOff>
    </xdr:from>
    <xdr:to>
      <xdr:col>4</xdr:col>
      <xdr:colOff>152400</xdr:colOff>
      <xdr:row>38</xdr:row>
      <xdr:rowOff>137160</xdr:rowOff>
    </xdr:to>
    <xdr:cxnSp macro="">
      <xdr:nvCxnSpPr>
        <xdr:cNvPr id="24" name="直接连接符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CxnSpPr/>
      </xdr:nvCxnSpPr>
      <xdr:spPr>
        <a:xfrm flipH="1">
          <a:off x="4331970" y="9775190"/>
          <a:ext cx="325755" cy="27559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40</xdr:row>
      <xdr:rowOff>114300</xdr:rowOff>
    </xdr:from>
    <xdr:to>
      <xdr:col>4</xdr:col>
      <xdr:colOff>160020</xdr:colOff>
      <xdr:row>41</xdr:row>
      <xdr:rowOff>129540</xdr:rowOff>
    </xdr:to>
    <xdr:cxnSp macro="">
      <xdr:nvCxnSpPr>
        <xdr:cNvPr id="25" name="直接连接符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CxnSpPr/>
      </xdr:nvCxnSpPr>
      <xdr:spPr>
        <a:xfrm>
          <a:off x="4665345" y="10533380"/>
          <a:ext cx="0" cy="2679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41</xdr:row>
      <xdr:rowOff>129540</xdr:rowOff>
    </xdr:from>
    <xdr:to>
      <xdr:col>4</xdr:col>
      <xdr:colOff>160020</xdr:colOff>
      <xdr:row>42</xdr:row>
      <xdr:rowOff>137160</xdr:rowOff>
    </xdr:to>
    <xdr:cxnSp macro="">
      <xdr:nvCxnSpPr>
        <xdr:cNvPr id="26" name="直接连接符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CxnSpPr/>
      </xdr:nvCxnSpPr>
      <xdr:spPr>
        <a:xfrm flipH="1">
          <a:off x="4331970" y="10801350"/>
          <a:ext cx="333375" cy="26035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42</xdr:row>
      <xdr:rowOff>129540</xdr:rowOff>
    </xdr:from>
    <xdr:to>
      <xdr:col>4</xdr:col>
      <xdr:colOff>152400</xdr:colOff>
      <xdr:row>43</xdr:row>
      <xdr:rowOff>114300</xdr:rowOff>
    </xdr:to>
    <xdr:cxnSp macro="">
      <xdr:nvCxnSpPr>
        <xdr:cNvPr id="27" name="直接连接符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CxnSpPr/>
      </xdr:nvCxnSpPr>
      <xdr:spPr>
        <a:xfrm flipH="1" flipV="1">
          <a:off x="4324350" y="11054080"/>
          <a:ext cx="333375" cy="23749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43</xdr:row>
      <xdr:rowOff>121920</xdr:rowOff>
    </xdr:from>
    <xdr:to>
      <xdr:col>4</xdr:col>
      <xdr:colOff>167640</xdr:colOff>
      <xdr:row>44</xdr:row>
      <xdr:rowOff>129540</xdr:rowOff>
    </xdr:to>
    <xdr:cxnSp macro="">
      <xdr:nvCxnSpPr>
        <xdr:cNvPr id="28" name="直接连接符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CxnSpPr/>
      </xdr:nvCxnSpPr>
      <xdr:spPr>
        <a:xfrm flipH="1">
          <a:off x="4339590" y="11299190"/>
          <a:ext cx="333375" cy="26035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44</xdr:row>
      <xdr:rowOff>152400</xdr:rowOff>
    </xdr:from>
    <xdr:to>
      <xdr:col>4</xdr:col>
      <xdr:colOff>167640</xdr:colOff>
      <xdr:row>45</xdr:row>
      <xdr:rowOff>137160</xdr:rowOff>
    </xdr:to>
    <xdr:cxnSp macro="">
      <xdr:nvCxnSpPr>
        <xdr:cNvPr id="29" name="直接连接符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/>
      </xdr:nvCxnSpPr>
      <xdr:spPr>
        <a:xfrm flipH="1" flipV="1">
          <a:off x="4339590" y="11582400"/>
          <a:ext cx="333375" cy="23749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45</xdr:row>
      <xdr:rowOff>144780</xdr:rowOff>
    </xdr:from>
    <xdr:to>
      <xdr:col>4</xdr:col>
      <xdr:colOff>152400</xdr:colOff>
      <xdr:row>46</xdr:row>
      <xdr:rowOff>160020</xdr:rowOff>
    </xdr:to>
    <xdr:cxnSp macro="">
      <xdr:nvCxnSpPr>
        <xdr:cNvPr id="30" name="直接连接符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CxnSpPr/>
      </xdr:nvCxnSpPr>
      <xdr:spPr>
        <a:xfrm>
          <a:off x="4657725" y="11827510"/>
          <a:ext cx="0" cy="2679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46</xdr:row>
      <xdr:rowOff>137160</xdr:rowOff>
    </xdr:from>
    <xdr:to>
      <xdr:col>4</xdr:col>
      <xdr:colOff>160020</xdr:colOff>
      <xdr:row>47</xdr:row>
      <xdr:rowOff>152400</xdr:rowOff>
    </xdr:to>
    <xdr:cxnSp macro="">
      <xdr:nvCxnSpPr>
        <xdr:cNvPr id="31" name="直接连接符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CxnSpPr/>
      </xdr:nvCxnSpPr>
      <xdr:spPr>
        <a:xfrm>
          <a:off x="4665345" y="12072620"/>
          <a:ext cx="0" cy="2679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47</xdr:row>
      <xdr:rowOff>144780</xdr:rowOff>
    </xdr:from>
    <xdr:to>
      <xdr:col>4</xdr:col>
      <xdr:colOff>160020</xdr:colOff>
      <xdr:row>48</xdr:row>
      <xdr:rowOff>152400</xdr:rowOff>
    </xdr:to>
    <xdr:cxnSp macro="">
      <xdr:nvCxnSpPr>
        <xdr:cNvPr id="32" name="直接连接符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CxnSpPr/>
      </xdr:nvCxnSpPr>
      <xdr:spPr>
        <a:xfrm flipH="1">
          <a:off x="4324350" y="12332970"/>
          <a:ext cx="340995" cy="26035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48</xdr:row>
      <xdr:rowOff>160020</xdr:rowOff>
    </xdr:from>
    <xdr:to>
      <xdr:col>4</xdr:col>
      <xdr:colOff>182880</xdr:colOff>
      <xdr:row>49</xdr:row>
      <xdr:rowOff>129540</xdr:rowOff>
    </xdr:to>
    <xdr:cxnSp macro="">
      <xdr:nvCxnSpPr>
        <xdr:cNvPr id="33" name="直接连接符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CxnSpPr/>
      </xdr:nvCxnSpPr>
      <xdr:spPr>
        <a:xfrm flipH="1" flipV="1">
          <a:off x="4324350" y="12600940"/>
          <a:ext cx="363855" cy="22225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49</xdr:row>
      <xdr:rowOff>144780</xdr:rowOff>
    </xdr:from>
    <xdr:to>
      <xdr:col>4</xdr:col>
      <xdr:colOff>160020</xdr:colOff>
      <xdr:row>50</xdr:row>
      <xdr:rowOff>160020</xdr:rowOff>
    </xdr:to>
    <xdr:cxnSp macro="">
      <xdr:nvCxnSpPr>
        <xdr:cNvPr id="34" name="直接连接符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CxnSpPr/>
      </xdr:nvCxnSpPr>
      <xdr:spPr>
        <a:xfrm>
          <a:off x="4665345" y="12838430"/>
          <a:ext cx="0" cy="2679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50</xdr:row>
      <xdr:rowOff>129540</xdr:rowOff>
    </xdr:from>
    <xdr:to>
      <xdr:col>4</xdr:col>
      <xdr:colOff>160020</xdr:colOff>
      <xdr:row>51</xdr:row>
      <xdr:rowOff>129540</xdr:rowOff>
    </xdr:to>
    <xdr:cxnSp macro="">
      <xdr:nvCxnSpPr>
        <xdr:cNvPr id="35" name="直接连接符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 flipH="1">
          <a:off x="4331970" y="13075920"/>
          <a:ext cx="33337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51</xdr:row>
      <xdr:rowOff>137160</xdr:rowOff>
    </xdr:from>
    <xdr:to>
      <xdr:col>4</xdr:col>
      <xdr:colOff>160020</xdr:colOff>
      <xdr:row>52</xdr:row>
      <xdr:rowOff>129540</xdr:rowOff>
    </xdr:to>
    <xdr:cxnSp macro="">
      <xdr:nvCxnSpPr>
        <xdr:cNvPr id="36" name="直接连接符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CxnSpPr/>
      </xdr:nvCxnSpPr>
      <xdr:spPr>
        <a:xfrm>
          <a:off x="4331970" y="13336270"/>
          <a:ext cx="333375" cy="24511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54</xdr:row>
      <xdr:rowOff>121920</xdr:rowOff>
    </xdr:from>
    <xdr:to>
      <xdr:col>4</xdr:col>
      <xdr:colOff>160020</xdr:colOff>
      <xdr:row>55</xdr:row>
      <xdr:rowOff>121920</xdr:rowOff>
    </xdr:to>
    <xdr:cxnSp macro="">
      <xdr:nvCxnSpPr>
        <xdr:cNvPr id="37" name="直接连接符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CxnSpPr/>
      </xdr:nvCxnSpPr>
      <xdr:spPr>
        <a:xfrm flipH="1">
          <a:off x="4331970" y="14079220"/>
          <a:ext cx="33337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55</xdr:row>
      <xdr:rowOff>129540</xdr:rowOff>
    </xdr:from>
    <xdr:to>
      <xdr:col>3</xdr:col>
      <xdr:colOff>152400</xdr:colOff>
      <xdr:row>60</xdr:row>
      <xdr:rowOff>121920</xdr:rowOff>
    </xdr:to>
    <xdr:cxnSp macro="">
      <xdr:nvCxnSpPr>
        <xdr:cNvPr id="38" name="直接连接符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CxnSpPr/>
      </xdr:nvCxnSpPr>
      <xdr:spPr>
        <a:xfrm>
          <a:off x="4324350" y="14339570"/>
          <a:ext cx="0" cy="12560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60</xdr:row>
      <xdr:rowOff>129540</xdr:rowOff>
    </xdr:from>
    <xdr:to>
      <xdr:col>7</xdr:col>
      <xdr:colOff>152400</xdr:colOff>
      <xdr:row>61</xdr:row>
      <xdr:rowOff>129540</xdr:rowOff>
    </xdr:to>
    <xdr:cxnSp macro="">
      <xdr:nvCxnSpPr>
        <xdr:cNvPr id="39" name="直接连接符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CxnSpPr/>
      </xdr:nvCxnSpPr>
      <xdr:spPr>
        <a:xfrm flipH="1" flipV="1">
          <a:off x="4354830" y="15603220"/>
          <a:ext cx="1303020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30</xdr:row>
      <xdr:rowOff>137160</xdr:rowOff>
    </xdr:from>
    <xdr:to>
      <xdr:col>7</xdr:col>
      <xdr:colOff>144780</xdr:colOff>
      <xdr:row>31</xdr:row>
      <xdr:rowOff>129540</xdr:rowOff>
    </xdr:to>
    <xdr:cxnSp macro="">
      <xdr:nvCxnSpPr>
        <xdr:cNvPr id="40" name="直接连接符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CxnSpPr/>
      </xdr:nvCxnSpPr>
      <xdr:spPr>
        <a:xfrm flipH="1" flipV="1">
          <a:off x="5006340" y="8028940"/>
          <a:ext cx="643890" cy="24511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63</xdr:row>
      <xdr:rowOff>129540</xdr:rowOff>
    </xdr:from>
    <xdr:to>
      <xdr:col>4</xdr:col>
      <xdr:colOff>144780</xdr:colOff>
      <xdr:row>64</xdr:row>
      <xdr:rowOff>129540</xdr:rowOff>
    </xdr:to>
    <xdr:cxnSp macro="">
      <xdr:nvCxnSpPr>
        <xdr:cNvPr id="41" name="直接连接符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CxnSpPr/>
      </xdr:nvCxnSpPr>
      <xdr:spPr>
        <a:xfrm flipH="1">
          <a:off x="4316730" y="16361410"/>
          <a:ext cx="33337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64</xdr:row>
      <xdr:rowOff>99060</xdr:rowOff>
    </xdr:from>
    <xdr:to>
      <xdr:col>3</xdr:col>
      <xdr:colOff>152400</xdr:colOff>
      <xdr:row>67</xdr:row>
      <xdr:rowOff>152400</xdr:rowOff>
    </xdr:to>
    <xdr:cxnSp macro="">
      <xdr:nvCxnSpPr>
        <xdr:cNvPr id="42" name="直接连接符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CxnSpPr/>
      </xdr:nvCxnSpPr>
      <xdr:spPr>
        <a:xfrm>
          <a:off x="4316730" y="16583660"/>
          <a:ext cx="7620" cy="8115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69</xdr:row>
      <xdr:rowOff>129540</xdr:rowOff>
    </xdr:from>
    <xdr:to>
      <xdr:col>4</xdr:col>
      <xdr:colOff>160020</xdr:colOff>
      <xdr:row>71</xdr:row>
      <xdr:rowOff>137160</xdr:rowOff>
    </xdr:to>
    <xdr:cxnSp macro="">
      <xdr:nvCxnSpPr>
        <xdr:cNvPr id="43" name="直接连接符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CxnSpPr/>
      </xdr:nvCxnSpPr>
      <xdr:spPr>
        <a:xfrm flipH="1">
          <a:off x="4657725" y="17877790"/>
          <a:ext cx="7620" cy="51308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71</xdr:row>
      <xdr:rowOff>121920</xdr:rowOff>
    </xdr:from>
    <xdr:to>
      <xdr:col>4</xdr:col>
      <xdr:colOff>160020</xdr:colOff>
      <xdr:row>72</xdr:row>
      <xdr:rowOff>121920</xdr:rowOff>
    </xdr:to>
    <xdr:cxnSp macro="">
      <xdr:nvCxnSpPr>
        <xdr:cNvPr id="44" name="直接连接符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CxnSpPr/>
      </xdr:nvCxnSpPr>
      <xdr:spPr>
        <a:xfrm flipH="1">
          <a:off x="4331970" y="18375630"/>
          <a:ext cx="33337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74</xdr:row>
      <xdr:rowOff>137160</xdr:rowOff>
    </xdr:from>
    <xdr:to>
      <xdr:col>4</xdr:col>
      <xdr:colOff>160020</xdr:colOff>
      <xdr:row>75</xdr:row>
      <xdr:rowOff>137160</xdr:rowOff>
    </xdr:to>
    <xdr:cxnSp macro="">
      <xdr:nvCxnSpPr>
        <xdr:cNvPr id="45" name="直接连接符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CxnSpPr/>
      </xdr:nvCxnSpPr>
      <xdr:spPr>
        <a:xfrm flipH="1" flipV="1">
          <a:off x="4331970" y="19149060"/>
          <a:ext cx="33337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75</xdr:row>
      <xdr:rowOff>129540</xdr:rowOff>
    </xdr:from>
    <xdr:to>
      <xdr:col>4</xdr:col>
      <xdr:colOff>160020</xdr:colOff>
      <xdr:row>76</xdr:row>
      <xdr:rowOff>121920</xdr:rowOff>
    </xdr:to>
    <xdr:cxnSp macro="">
      <xdr:nvCxnSpPr>
        <xdr:cNvPr id="46" name="直接连接符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CxnSpPr/>
      </xdr:nvCxnSpPr>
      <xdr:spPr>
        <a:xfrm flipH="1">
          <a:off x="4324350" y="19394170"/>
          <a:ext cx="340995" cy="24511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76</xdr:row>
      <xdr:rowOff>137160</xdr:rowOff>
    </xdr:from>
    <xdr:to>
      <xdr:col>4</xdr:col>
      <xdr:colOff>152400</xdr:colOff>
      <xdr:row>77</xdr:row>
      <xdr:rowOff>137160</xdr:rowOff>
    </xdr:to>
    <xdr:cxnSp macro="">
      <xdr:nvCxnSpPr>
        <xdr:cNvPr id="47" name="直接连接符 4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CxnSpPr/>
      </xdr:nvCxnSpPr>
      <xdr:spPr>
        <a:xfrm flipH="1" flipV="1">
          <a:off x="4324350" y="19654520"/>
          <a:ext cx="33337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77</xdr:row>
      <xdr:rowOff>129540</xdr:rowOff>
    </xdr:from>
    <xdr:to>
      <xdr:col>7</xdr:col>
      <xdr:colOff>167640</xdr:colOff>
      <xdr:row>78</xdr:row>
      <xdr:rowOff>144780</xdr:rowOff>
    </xdr:to>
    <xdr:cxnSp macro="">
      <xdr:nvCxnSpPr>
        <xdr:cNvPr id="48" name="直接连接符 47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CxnSpPr/>
      </xdr:nvCxnSpPr>
      <xdr:spPr>
        <a:xfrm flipH="1" flipV="1">
          <a:off x="4642485" y="19899630"/>
          <a:ext cx="1030605" cy="26797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80</xdr:row>
      <xdr:rowOff>129540</xdr:rowOff>
    </xdr:from>
    <xdr:to>
      <xdr:col>4</xdr:col>
      <xdr:colOff>152400</xdr:colOff>
      <xdr:row>81</xdr:row>
      <xdr:rowOff>121920</xdr:rowOff>
    </xdr:to>
    <xdr:cxnSp macro="">
      <xdr:nvCxnSpPr>
        <xdr:cNvPr id="49" name="直接连接符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CxnSpPr/>
      </xdr:nvCxnSpPr>
      <xdr:spPr>
        <a:xfrm flipH="1">
          <a:off x="4316730" y="20657820"/>
          <a:ext cx="340995" cy="24511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82</xdr:row>
      <xdr:rowOff>114300</xdr:rowOff>
    </xdr:from>
    <xdr:to>
      <xdr:col>4</xdr:col>
      <xdr:colOff>137160</xdr:colOff>
      <xdr:row>83</xdr:row>
      <xdr:rowOff>114300</xdr:rowOff>
    </xdr:to>
    <xdr:cxnSp macro="">
      <xdr:nvCxnSpPr>
        <xdr:cNvPr id="50" name="直接连接符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CxnSpPr/>
      </xdr:nvCxnSpPr>
      <xdr:spPr>
        <a:xfrm flipH="1" flipV="1">
          <a:off x="4309110" y="21148040"/>
          <a:ext cx="33337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81</xdr:row>
      <xdr:rowOff>91440</xdr:rowOff>
    </xdr:from>
    <xdr:to>
      <xdr:col>3</xdr:col>
      <xdr:colOff>144780</xdr:colOff>
      <xdr:row>82</xdr:row>
      <xdr:rowOff>137160</xdr:rowOff>
    </xdr:to>
    <xdr:cxnSp macro="">
      <xdr:nvCxnSpPr>
        <xdr:cNvPr id="51" name="直接连接符 50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CxnSpPr/>
      </xdr:nvCxnSpPr>
      <xdr:spPr>
        <a:xfrm>
          <a:off x="4316730" y="20872450"/>
          <a:ext cx="0" cy="29845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85</xdr:row>
      <xdr:rowOff>114300</xdr:rowOff>
    </xdr:from>
    <xdr:to>
      <xdr:col>4</xdr:col>
      <xdr:colOff>160020</xdr:colOff>
      <xdr:row>86</xdr:row>
      <xdr:rowOff>121920</xdr:rowOff>
    </xdr:to>
    <xdr:cxnSp macro="">
      <xdr:nvCxnSpPr>
        <xdr:cNvPr id="52" name="直接连接符 5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CxnSpPr/>
      </xdr:nvCxnSpPr>
      <xdr:spPr>
        <a:xfrm flipH="1" flipV="1">
          <a:off x="4324350" y="21906230"/>
          <a:ext cx="340995" cy="26035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87</xdr:row>
      <xdr:rowOff>121920</xdr:rowOff>
    </xdr:from>
    <xdr:to>
      <xdr:col>4</xdr:col>
      <xdr:colOff>152400</xdr:colOff>
      <xdr:row>88</xdr:row>
      <xdr:rowOff>129540</xdr:rowOff>
    </xdr:to>
    <xdr:cxnSp macro="">
      <xdr:nvCxnSpPr>
        <xdr:cNvPr id="53" name="直接连接符 5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CxnSpPr/>
      </xdr:nvCxnSpPr>
      <xdr:spPr>
        <a:xfrm flipH="1" flipV="1">
          <a:off x="4316730" y="22419310"/>
          <a:ext cx="340995" cy="26035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86</xdr:row>
      <xdr:rowOff>129540</xdr:rowOff>
    </xdr:from>
    <xdr:to>
      <xdr:col>4</xdr:col>
      <xdr:colOff>144780</xdr:colOff>
      <xdr:row>87</xdr:row>
      <xdr:rowOff>129540</xdr:rowOff>
    </xdr:to>
    <xdr:cxnSp macro="">
      <xdr:nvCxnSpPr>
        <xdr:cNvPr id="54" name="直接连接符 5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CxnSpPr/>
      </xdr:nvCxnSpPr>
      <xdr:spPr>
        <a:xfrm flipV="1">
          <a:off x="4324350" y="22174200"/>
          <a:ext cx="32575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88</xdr:row>
      <xdr:rowOff>129540</xdr:rowOff>
    </xdr:from>
    <xdr:to>
      <xdr:col>4</xdr:col>
      <xdr:colOff>144780</xdr:colOff>
      <xdr:row>89</xdr:row>
      <xdr:rowOff>129540</xdr:rowOff>
    </xdr:to>
    <xdr:cxnSp macro="">
      <xdr:nvCxnSpPr>
        <xdr:cNvPr id="55" name="直接连接符 54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CxnSpPr/>
      </xdr:nvCxnSpPr>
      <xdr:spPr>
        <a:xfrm flipV="1">
          <a:off x="4324350" y="22679660"/>
          <a:ext cx="32575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89</xdr:row>
      <xdr:rowOff>121920</xdr:rowOff>
    </xdr:from>
    <xdr:to>
      <xdr:col>3</xdr:col>
      <xdr:colOff>160020</xdr:colOff>
      <xdr:row>90</xdr:row>
      <xdr:rowOff>129540</xdr:rowOff>
    </xdr:to>
    <xdr:cxnSp macro="">
      <xdr:nvCxnSpPr>
        <xdr:cNvPr id="56" name="直接连接符 5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CxnSpPr/>
      </xdr:nvCxnSpPr>
      <xdr:spPr>
        <a:xfrm flipV="1">
          <a:off x="4324350" y="22924770"/>
          <a:ext cx="7620" cy="26035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92</xdr:row>
      <xdr:rowOff>129540</xdr:rowOff>
    </xdr:from>
    <xdr:to>
      <xdr:col>4</xdr:col>
      <xdr:colOff>137160</xdr:colOff>
      <xdr:row>93</xdr:row>
      <xdr:rowOff>129540</xdr:rowOff>
    </xdr:to>
    <xdr:cxnSp macro="">
      <xdr:nvCxnSpPr>
        <xdr:cNvPr id="57" name="直接连接符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CxnSpPr/>
      </xdr:nvCxnSpPr>
      <xdr:spPr>
        <a:xfrm flipV="1">
          <a:off x="4316730" y="23690580"/>
          <a:ext cx="32575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93</xdr:row>
      <xdr:rowOff>129540</xdr:rowOff>
    </xdr:from>
    <xdr:to>
      <xdr:col>3</xdr:col>
      <xdr:colOff>152400</xdr:colOff>
      <xdr:row>95</xdr:row>
      <xdr:rowOff>129540</xdr:rowOff>
    </xdr:to>
    <xdr:cxnSp macro="">
      <xdr:nvCxnSpPr>
        <xdr:cNvPr id="58" name="直接连接符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CxnSpPr/>
      </xdr:nvCxnSpPr>
      <xdr:spPr>
        <a:xfrm flipV="1">
          <a:off x="4324350" y="23943310"/>
          <a:ext cx="0" cy="50546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95</xdr:row>
      <xdr:rowOff>129540</xdr:rowOff>
    </xdr:from>
    <xdr:to>
      <xdr:col>4</xdr:col>
      <xdr:colOff>160020</xdr:colOff>
      <xdr:row>96</xdr:row>
      <xdr:rowOff>129540</xdr:rowOff>
    </xdr:to>
    <xdr:cxnSp macro="">
      <xdr:nvCxnSpPr>
        <xdr:cNvPr id="59" name="直接连接符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CxnSpPr/>
      </xdr:nvCxnSpPr>
      <xdr:spPr>
        <a:xfrm flipH="1" flipV="1">
          <a:off x="4324350" y="24448770"/>
          <a:ext cx="34099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98</xdr:row>
      <xdr:rowOff>129540</xdr:rowOff>
    </xdr:from>
    <xdr:to>
      <xdr:col>4</xdr:col>
      <xdr:colOff>152400</xdr:colOff>
      <xdr:row>99</xdr:row>
      <xdr:rowOff>129540</xdr:rowOff>
    </xdr:to>
    <xdr:cxnSp macro="">
      <xdr:nvCxnSpPr>
        <xdr:cNvPr id="60" name="直接连接符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CxnSpPr/>
      </xdr:nvCxnSpPr>
      <xdr:spPr>
        <a:xfrm flipV="1">
          <a:off x="4331970" y="25206960"/>
          <a:ext cx="32575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99</xdr:row>
      <xdr:rowOff>144780</xdr:rowOff>
    </xdr:from>
    <xdr:to>
      <xdr:col>4</xdr:col>
      <xdr:colOff>167640</xdr:colOff>
      <xdr:row>100</xdr:row>
      <xdr:rowOff>144780</xdr:rowOff>
    </xdr:to>
    <xdr:cxnSp macro="">
      <xdr:nvCxnSpPr>
        <xdr:cNvPr id="61" name="直接连接符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CxnSpPr/>
      </xdr:nvCxnSpPr>
      <xdr:spPr>
        <a:xfrm flipH="1" flipV="1">
          <a:off x="4331970" y="25474930"/>
          <a:ext cx="34099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100</xdr:row>
      <xdr:rowOff>137160</xdr:rowOff>
    </xdr:from>
    <xdr:to>
      <xdr:col>4</xdr:col>
      <xdr:colOff>144780</xdr:colOff>
      <xdr:row>101</xdr:row>
      <xdr:rowOff>137160</xdr:rowOff>
    </xdr:to>
    <xdr:cxnSp macro="">
      <xdr:nvCxnSpPr>
        <xdr:cNvPr id="62" name="直接连接符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CxnSpPr/>
      </xdr:nvCxnSpPr>
      <xdr:spPr>
        <a:xfrm flipV="1">
          <a:off x="4324350" y="25720040"/>
          <a:ext cx="325755" cy="25273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Media\Documents%20and%20Settings\w08636\&#26700;&#38754;\Capella%20UI%20SOP%20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Media\Documents%20and%20Settings\w08636\&#26700;&#38754;\Capella%20UI%20SOP%20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6.34.37\sirius\&#26446;&#29577;&#24950;\products\SIRIUS\SIRIUS%20POP\&#22099;,&#21029;&#21205;!\&#29579;&#23389;&#20625;\SIRIUS%20&#36039;&#26009;\BOM\Srius%20B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b-c8832\&#24247;%20&#22283;&#38914;\DEMI(N8310)\BOM\Demi%20%20BO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59.29.158\f$\New_AV_Beol_FAB\capacity\170E2&#29983;&#29986;&#23433;&#25490;&#20998;&#26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產品基本信息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產品基本信息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history (1)"/>
      <sheetName val="Change history (2)"/>
      <sheetName val="Change history"/>
      <sheetName val="UPPER BLOCK (B)"/>
      <sheetName val="UPPER BLOCK"/>
      <sheetName val="UI MODULE"/>
      <sheetName val="UI MODULE (B)"/>
      <sheetName val="IHF SUB ASS'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01510_BOM_101702"/>
      <sheetName val=" (TOP) "/>
      <sheetName val="(BOTTOM)"/>
      <sheetName val="HDa1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0E2生產安排分析"/>
      <sheetName val="72HX"/>
      <sheetName val="72HY"/>
      <sheetName val="75EX"/>
      <sheetName val="75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1" tint="0.34998626667073579"/>
    <pageSetUpPr fitToPage="1"/>
  </sheetPr>
  <dimension ref="A1:AX637"/>
  <sheetViews>
    <sheetView showGridLines="0" zoomScale="70" zoomScaleNormal="70" workbookViewId="0">
      <pane ySplit="5" topLeftCell="A173" activePane="bottomLeft" state="frozen"/>
      <selection pane="bottomLeft" activeCell="Y183" sqref="Y183"/>
    </sheetView>
  </sheetViews>
  <sheetFormatPr defaultColWidth="9" defaultRowHeight="15.6"/>
  <cols>
    <col min="1" max="1" width="6.33203125" style="94" customWidth="1"/>
    <col min="2" max="2" width="9.33203125" style="94" customWidth="1"/>
    <col min="3" max="3" width="4.6640625" style="94" customWidth="1"/>
    <col min="4" max="4" width="22.88671875" style="150" customWidth="1"/>
    <col min="5" max="9" width="6.21875" style="93" customWidth="1"/>
    <col min="10" max="19" width="5.21875" style="93" customWidth="1"/>
    <col min="20" max="20" width="7.44140625" style="93" customWidth="1"/>
    <col min="21" max="21" width="6.21875" style="93" customWidth="1"/>
    <col min="22" max="22" width="5.88671875" style="93" customWidth="1"/>
    <col min="23" max="23" width="8.21875" style="93" customWidth="1"/>
    <col min="24" max="24" width="9.109375" style="93" customWidth="1"/>
    <col min="25" max="25" width="8.77734375" style="93" customWidth="1"/>
    <col min="26" max="28" width="10.77734375" style="93" customWidth="1"/>
    <col min="29" max="29" width="18" style="93" customWidth="1"/>
    <col min="30" max="30" width="9" style="93" hidden="1" customWidth="1"/>
    <col min="31" max="45" width="5.44140625" style="151" hidden="1" customWidth="1"/>
    <col min="46" max="16384" width="9" style="93"/>
  </cols>
  <sheetData>
    <row r="1" spans="1:50" ht="33">
      <c r="A1" s="268" t="s">
        <v>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152"/>
      <c r="V1" s="152"/>
      <c r="W1" s="152"/>
      <c r="X1" s="152"/>
      <c r="Y1" s="152"/>
      <c r="Z1" s="152"/>
      <c r="AA1" s="152"/>
      <c r="AB1" s="152"/>
      <c r="AC1" s="152"/>
    </row>
    <row r="2" spans="1:50" ht="18.75" customHeight="1">
      <c r="A2" s="153" t="s">
        <v>1</v>
      </c>
      <c r="B2" s="269"/>
      <c r="C2" s="270"/>
      <c r="D2" s="271"/>
      <c r="E2" s="272" t="s">
        <v>2</v>
      </c>
      <c r="F2" s="272"/>
      <c r="G2" s="273"/>
      <c r="H2" s="273"/>
      <c r="I2" s="273"/>
      <c r="J2" s="273"/>
      <c r="K2" s="259" t="s">
        <v>3</v>
      </c>
      <c r="L2" s="274"/>
      <c r="M2" s="275"/>
      <c r="N2" s="276"/>
      <c r="O2" s="277"/>
      <c r="P2" s="259" t="s">
        <v>10</v>
      </c>
      <c r="Q2" s="274"/>
      <c r="R2" s="278"/>
      <c r="S2" s="279"/>
      <c r="T2" s="280"/>
      <c r="U2" s="154"/>
      <c r="V2" s="154"/>
      <c r="W2" s="154"/>
      <c r="X2" s="154"/>
      <c r="Y2" s="154"/>
      <c r="Z2" s="154"/>
      <c r="AA2" s="154"/>
      <c r="AB2" s="154"/>
    </row>
    <row r="3" spans="1:50" ht="6.75" customHeight="1">
      <c r="H3" s="281"/>
      <c r="I3" s="281"/>
      <c r="L3" s="281"/>
      <c r="M3" s="281"/>
      <c r="N3" s="281"/>
      <c r="O3" s="94"/>
      <c r="P3" s="94"/>
      <c r="Q3" s="94"/>
      <c r="R3" s="94"/>
      <c r="S3" s="94"/>
    </row>
    <row r="4" spans="1:50" ht="29.25" customHeight="1">
      <c r="A4" s="241" t="s">
        <v>11</v>
      </c>
      <c r="B4" s="233" t="s">
        <v>12</v>
      </c>
      <c r="C4" s="258" t="s">
        <v>13</v>
      </c>
      <c r="D4" s="231" t="s">
        <v>14</v>
      </c>
      <c r="E4" s="264" t="s">
        <v>15</v>
      </c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155" t="s">
        <v>16</v>
      </c>
      <c r="U4" s="155" t="s">
        <v>17</v>
      </c>
      <c r="V4" s="155" t="s">
        <v>18</v>
      </c>
      <c r="W4" s="155" t="s">
        <v>19</v>
      </c>
      <c r="X4" s="155" t="s">
        <v>20</v>
      </c>
      <c r="Y4" s="155" t="s">
        <v>21</v>
      </c>
      <c r="Z4" s="156" t="s">
        <v>22</v>
      </c>
      <c r="AA4" s="156" t="s">
        <v>23</v>
      </c>
      <c r="AB4" s="156" t="s">
        <v>24</v>
      </c>
      <c r="AC4" s="157" t="s">
        <v>25</v>
      </c>
      <c r="AU4" s="265" t="s">
        <v>26</v>
      </c>
      <c r="AV4" s="266"/>
      <c r="AW4" s="266"/>
      <c r="AX4" s="267"/>
    </row>
    <row r="5" spans="1:50" ht="27.75" customHeight="1">
      <c r="A5" s="242"/>
      <c r="B5" s="231"/>
      <c r="C5" s="259"/>
      <c r="D5" s="231"/>
      <c r="E5" s="158">
        <v>1</v>
      </c>
      <c r="F5" s="159">
        <v>2</v>
      </c>
      <c r="G5" s="159">
        <v>3</v>
      </c>
      <c r="H5" s="159">
        <v>4</v>
      </c>
      <c r="I5" s="159">
        <v>5</v>
      </c>
      <c r="J5" s="159">
        <v>6</v>
      </c>
      <c r="K5" s="159">
        <v>7</v>
      </c>
      <c r="L5" s="159">
        <v>8</v>
      </c>
      <c r="M5" s="159">
        <v>9</v>
      </c>
      <c r="N5" s="159">
        <v>10</v>
      </c>
      <c r="O5" s="159">
        <v>11</v>
      </c>
      <c r="P5" s="159">
        <v>12</v>
      </c>
      <c r="Q5" s="159">
        <v>13</v>
      </c>
      <c r="R5" s="159">
        <v>14</v>
      </c>
      <c r="S5" s="159">
        <v>15</v>
      </c>
      <c r="T5" s="160" t="s">
        <v>27</v>
      </c>
      <c r="U5" s="160" t="s">
        <v>28</v>
      </c>
      <c r="V5" s="160" t="s">
        <v>29</v>
      </c>
      <c r="W5" s="161" t="s">
        <v>30</v>
      </c>
      <c r="X5" s="161" t="s">
        <v>31</v>
      </c>
      <c r="Y5" s="161" t="s">
        <v>32</v>
      </c>
      <c r="Z5" s="162" t="s">
        <v>33</v>
      </c>
      <c r="AA5" s="162" t="s">
        <v>34</v>
      </c>
      <c r="AB5" s="162" t="s">
        <v>35</v>
      </c>
      <c r="AC5" s="163" t="s">
        <v>36</v>
      </c>
      <c r="AE5" s="164">
        <v>1</v>
      </c>
      <c r="AF5" s="164">
        <v>2</v>
      </c>
      <c r="AG5" s="164">
        <v>3</v>
      </c>
      <c r="AH5" s="164">
        <v>4</v>
      </c>
      <c r="AI5" s="164">
        <v>5</v>
      </c>
      <c r="AJ5" s="164">
        <v>6</v>
      </c>
      <c r="AK5" s="164">
        <v>7</v>
      </c>
      <c r="AL5" s="164">
        <v>8</v>
      </c>
      <c r="AM5" s="164">
        <v>9</v>
      </c>
      <c r="AN5" s="164">
        <v>10</v>
      </c>
      <c r="AO5" s="164">
        <v>11</v>
      </c>
      <c r="AP5" s="164">
        <v>12</v>
      </c>
      <c r="AQ5" s="164">
        <v>13</v>
      </c>
      <c r="AR5" s="164">
        <v>14</v>
      </c>
      <c r="AS5" s="164">
        <v>15</v>
      </c>
      <c r="AU5" s="165" t="s">
        <v>37</v>
      </c>
      <c r="AV5" s="166" t="s">
        <v>38</v>
      </c>
      <c r="AW5" s="166" t="s">
        <v>39</v>
      </c>
      <c r="AX5" s="167" t="s">
        <v>40</v>
      </c>
    </row>
    <row r="6" spans="1:50" ht="15" customHeight="1">
      <c r="A6" s="263">
        <v>1</v>
      </c>
      <c r="B6" s="252"/>
      <c r="C6" s="243"/>
      <c r="D6" s="168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70" t="str">
        <f>IF(COUNT(E6:S6)=0,"",SUM(E6:S6))</f>
        <v/>
      </c>
      <c r="U6" s="170" t="str">
        <f>IF(COUNT(E6:S6)=0,"",SUMSQ(E6:S6))</f>
        <v/>
      </c>
      <c r="V6" s="170" t="str">
        <f>IF(COUNT(E6:S6)=0,"",AVERAGE(E6:S6))</f>
        <v/>
      </c>
      <c r="W6" s="170" t="str">
        <f>IF(COUNT(E6:S6)=0,"",STDEVP(E6:S6))</f>
        <v/>
      </c>
      <c r="X6" s="170" t="str">
        <f>IF(COUNT(E6:S6)=0,"",V6-1*W6)</f>
        <v/>
      </c>
      <c r="Y6" s="170" t="str">
        <f>IF(COUNT(E6:S6)=0,"",V6+1*W6)</f>
        <v/>
      </c>
      <c r="Z6" s="171" t="str">
        <f>IF(COUNT(E6:S6)=0,"",SUM(IF(AND(E6&gt;X6,E6&lt;Y6),E6,0),IF(AND(F6&gt;X6,F6&lt;Y6),F6,0),IF(AND(G6&gt;X6,G6&lt;Y6),G6,0),IF(AND(H6&gt;X6,H6&lt;Y6),H6,0),IF(AND(I6&gt;X6,I6&lt;Y6),I6,0),IF(AND(J6&gt;X6,J6&lt;Y6),J6,0),IF(AND(K6&gt;X6,K6&lt;Y6),K6,0),IF(AND(L6&gt;X6,L6&lt;Y6),L6,0),IF(AND(M6&gt;X6,M6&lt;Y6),M6,0),IF(AND(N6&gt;X6,N6&lt;Y6),N6,0),IF(AND(O6&gt;X6,O6&lt;Y6),O6,0),IF(AND(P6&gt;X6,P6&lt;Y6),P6,0),IF(AND(Q6&gt;X6,Q6&lt;Y6),Q6,0),IF(AND(R6&gt;X6,R6&lt;Y6),R6,0),IF(AND(S6&gt;X6,S6&lt;Y6),S6,0))/SUM(IF(AND(E6&gt;X6,E6&lt;Y6,E6&lt;&gt;0),1,0),IF(AND(F6&gt;X6,F6&lt;Y6,F6&lt;&gt;0),1,0),IF(AND(G6&gt;X6,G6&lt;Y6,G6&lt;&gt;0),1,0),IF(AND(H6&gt;X6,H6&lt;Y6,H6&lt;&gt;0),1,0),IF(AND(I6&gt;X6,I6&lt;Y6,I6&lt;&gt;0),1,0),IF(AND(J6&gt;X6,J6&lt;Y6,J6&lt;&gt;0),1,0),IF(AND(K6&gt;X6,K6&lt;Y6,K6&lt;&gt;0),1,0),IF(AND(L6&gt;X6,L6&lt;Y6,L6&lt;&gt;0),1,0),IF(AND(M6&gt;X6,M6&lt;Y6,M6&lt;&gt;0),1,0),IF(AND(N6&gt;X6,N6&lt;Y6,N6&lt;&gt;0),1,0),IF(AND(O6&gt;X6,O6&lt;Y6,O6&lt;&gt;0),1,0),IF(AND(P6&gt;X6,P6&lt;Y6,P6&lt;&gt;0),1,0),IF(AND(Q6&gt;X6,Q6&lt;Y6,Q6&lt;&gt;0),1,0),IF(AND(R6&gt;X6,R6&lt;Y6,R6&lt;&gt;0),1,0),IF(AND(S6&gt;X6,S6&lt;Y6,S6&lt;&gt;0),1,0)))</f>
        <v/>
      </c>
      <c r="AA6" s="170" t="str">
        <f>IF(COUNT(E6:S6)=0,"",SUM(IF(AND(E6&gt;X6,E6&lt;Y6),E6,0),IF(AND(F6&gt;X6,F6&lt;Y6),F6,0),IF(AND(G6&gt;X6,G6&lt;Y6),G6,0),IF(AND(H6&gt;X6,H6&lt;Y6),H6,0),IF(AND(I6&gt;X6,I6&lt;Y6),I6,0),IF(AND(J6&gt;X6,J6&lt;Y6),J6,0),IF(AND(K6&gt;X6,K6&lt;Y6),K6,0),IF(AND(L6&gt;X6,L6&lt;Y6),L6,0),IF(AND(M6&gt;X6,M6&lt;Y6),M6,0),IF(AND(N6&gt;X6,N6&lt;Y6),N6,0),IF(AND(O6&gt;X6,O6&lt;Y6),O6,0),IF(AND(P6&gt;X6,P6&lt;Y6),P6,0),IF(AND(Q6&gt;X6,Q6&lt;Y6),Q6,0),IF(AND(R6&gt;X6,R6&lt;Y6),R6,0),IF(AND(S6&gt;X6,S6&lt;Y6),S6,0)))</f>
        <v/>
      </c>
      <c r="AB6" s="170" t="str">
        <f>IF(COUNT(E6:S6)=0,"",SUMSQ(IF(AND(E6&gt;X6,E6&lt;Y6),E6,0),IF(AND(F6&gt;X6,F6&lt;Y6),F6,0),IF(AND(G6&gt;X6,G6&lt;Y6),G6,0),IF(AND(H6&gt;X6,H6&lt;Y6),H6,0),IF(AND(I6&gt;X6,I6&lt;Y6),I6,0),IF(AND(J6&gt;X6,J6&lt;Y6),J6,0),IF(AND(K6&gt;X6,K6&lt;Y6),K6,0),IF(AND(L6&gt;X6,L6&lt;Y6),L6,0),IF(AND(M6&gt;X6,M6&lt;Y6),M6,0),IF(AND(N6&gt;X6,N6&lt;Y6),N6,0),IF(AND(O6&gt;X6,O6&lt;Y6),O6,0),IF(AND(P6&gt;X6,P6&lt;Y6),P6,0),IF(AND(Q6&gt;X6,Q6&lt;Y6),Q6,0),IF(AND(R6&gt;X6,R6&lt;Y6),R6,0),IF(AND(S6&gt;X6,S6&lt;Y6),S6,0)))</f>
        <v/>
      </c>
      <c r="AC6" s="172" t="str">
        <f>IF(COUNT(E6:S6)=0,"",POWER(40*SQRT(SUM(IF(AND(E6&gt;X6,E6&lt;Y6),1,0),IF(AND(F6&gt;X6,F6&lt;Y6),1,0),IF(AND(G6&gt;X6,G6&lt;Y6),1,0),IF(AND(H6&gt;X6,H6&lt;Y6),1,0),IF(AND(I6&gt;X6,I6&lt;Y6),1,0),IF(AND(J6&gt;X6,J6&lt;Y6),1,0),IF(AND(K6&gt;X6,K6&lt;Y6),1,0),IF(AND(L6&gt;X6,L6&lt;Y6),1,0),IF(AND(M6&gt;X6,M6&lt;Y6),1,0),IF(AND(N6&gt;X6,N6&lt;Y6),1,0),IF(AND(O6&gt;X6,O6&lt;Y6),1,0),IF(AND(P6&gt;X6,P6&lt;Y6),1,0),IF(AND(Q6&gt;X6,Q6&lt;Y6),1,0),IF(AND(R6&gt;X6,R6&lt;Y6),1,0),IF(AND(S6&gt;X6,S6&lt;Y6),1,0))*AB6-POWER(AA6,2))/AA6,2))</f>
        <v/>
      </c>
      <c r="AD6" s="151">
        <v>1</v>
      </c>
      <c r="AE6" s="173" t="str">
        <f ca="1">IF(SUM(INDIRECT(CHAR(COLUMN()+38)&amp;(ROW()-5)*8-2&amp;":"&amp;CHAR(COLUMN()+38)&amp;(ROW()-5)*8+5))=0,"",SUM(INDIRECT(CHAR(COLUMN()+38)&amp;(ROW()-5)*8-2&amp;":"&amp;CHAR(COLUMN()+38)&amp;(ROW()-5)*8+5))/INDIRECT("C"&amp;(ROW()-5)*8-2))</f>
        <v/>
      </c>
      <c r="AF6" s="173" t="str">
        <f t="shared" ref="AF6:AS21" ca="1" si="0">IF(SUM(INDIRECT(CHAR(COLUMN()+38)&amp;(ROW()-5)*8-2&amp;":"&amp;CHAR(COLUMN()+38)&amp;(ROW()-5)*8+5))=0,"",SUM(INDIRECT(CHAR(COLUMN()+38)&amp;(ROW()-5)*8-2&amp;":"&amp;CHAR(COLUMN()+38)&amp;(ROW()-5)*8+5))/INDIRECT("C"&amp;(ROW()-5)*8-2))</f>
        <v/>
      </c>
      <c r="AG6" s="173" t="str">
        <f t="shared" ca="1" si="0"/>
        <v/>
      </c>
      <c r="AH6" s="173" t="str">
        <f t="shared" ca="1" si="0"/>
        <v/>
      </c>
      <c r="AI6" s="173" t="str">
        <f t="shared" ca="1" si="0"/>
        <v/>
      </c>
      <c r="AJ6" s="173" t="str">
        <f t="shared" ca="1" si="0"/>
        <v/>
      </c>
      <c r="AK6" s="173" t="str">
        <f t="shared" ca="1" si="0"/>
        <v/>
      </c>
      <c r="AL6" s="173" t="str">
        <f t="shared" ca="1" si="0"/>
        <v/>
      </c>
      <c r="AM6" s="173" t="str">
        <f t="shared" ca="1" si="0"/>
        <v/>
      </c>
      <c r="AN6" s="173" t="str">
        <f t="shared" ca="1" si="0"/>
        <v/>
      </c>
      <c r="AO6" s="173" t="str">
        <f t="shared" ca="1" si="0"/>
        <v/>
      </c>
      <c r="AP6" s="173" t="str">
        <f t="shared" ca="1" si="0"/>
        <v/>
      </c>
      <c r="AQ6" s="173" t="str">
        <f t="shared" ca="1" si="0"/>
        <v/>
      </c>
      <c r="AR6" s="173" t="str">
        <f t="shared" ca="1" si="0"/>
        <v/>
      </c>
      <c r="AS6" s="173" t="str">
        <f t="shared" ca="1" si="0"/>
        <v/>
      </c>
      <c r="AT6" s="151">
        <v>1</v>
      </c>
      <c r="AU6" s="174" t="str">
        <f ca="1">IF(COUNT($AE6:$AS6)=0,"",PERCENTILE($AE6:$AS6,0.25))</f>
        <v/>
      </c>
      <c r="AV6" s="175" t="str">
        <f ca="1">IF(COUNT($AE6:$AS6)=0,"",MAX($AE6:$AS6))</f>
        <v/>
      </c>
      <c r="AW6" s="175" t="str">
        <f ca="1">IF(COUNT($AE6:$AS6)=0,"",MIN($AE6:$AS6))</f>
        <v/>
      </c>
      <c r="AX6" s="176" t="str">
        <f ca="1">IF(COUNT($AE6:$AS6)=0,"",PERCENTILE($AE6:$AS6,0.75))</f>
        <v/>
      </c>
    </row>
    <row r="7" spans="1:50" ht="15" customHeight="1">
      <c r="A7" s="263"/>
      <c r="B7" s="244"/>
      <c r="C7" s="244"/>
      <c r="D7" s="168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70" t="str">
        <f>IF(COUNT(E7:S7)=0,"",SUM(E7:S7))</f>
        <v/>
      </c>
      <c r="U7" s="170" t="str">
        <f>IF(COUNT(E7:S7)=0,"",SUMSQ(E7:S7))</f>
        <v/>
      </c>
      <c r="V7" s="170" t="str">
        <f>IF(COUNT(E7:S7)=0,"",AVERAGE(E7:S7))</f>
        <v/>
      </c>
      <c r="W7" s="170" t="str">
        <f>IF(COUNT(E7:S7)=0,"",STDEVP(E7:S7))</f>
        <v/>
      </c>
      <c r="X7" s="170" t="str">
        <f t="shared" ref="X7:X70" si="1">IF(COUNT(E7:S7)=0,"",V7-1*W7)</f>
        <v/>
      </c>
      <c r="Y7" s="170" t="str">
        <f t="shared" ref="Y7:Y70" si="2">IF(COUNT(E7:S7)=0,"",V7+1*W7)</f>
        <v/>
      </c>
      <c r="Z7" s="171" t="str">
        <f t="shared" ref="Z7:Z70" si="3">IF(COUNT(E7:S7)=0,"",SUM(IF(AND(E7&gt;X7,E7&lt;Y7),E7,0),IF(AND(F7&gt;X7,F7&lt;Y7),F7,0),IF(AND(G7&gt;X7,G7&lt;Y7),G7,0),IF(AND(H7&gt;X7,H7&lt;Y7),H7,0),IF(AND(I7&gt;X7,I7&lt;Y7),I7,0),IF(AND(J7&gt;X7,J7&lt;Y7),J7,0),IF(AND(K7&gt;X7,K7&lt;Y7),K7,0),IF(AND(L7&gt;X7,L7&lt;Y7),L7,0),IF(AND(M7&gt;X7,M7&lt;Y7),M7,0),IF(AND(N7&gt;X7,N7&lt;Y7),N7,0),IF(AND(O7&gt;X7,O7&lt;Y7),O7,0),IF(AND(P7&gt;X7,P7&lt;Y7),P7,0),IF(AND(Q7&gt;X7,Q7&lt;Y7),Q7,0),IF(AND(R7&gt;X7,R7&lt;Y7),R7,0),IF(AND(S7&gt;X7,S7&lt;Y7),S7,0))/SUM(IF(AND(E7&gt;X7,E7&lt;Y7,E7&lt;&gt;0),1,0),IF(AND(F7&gt;X7,F7&lt;Y7,F7&lt;&gt;0),1,0),IF(AND(G7&gt;X7,G7&lt;Y7,G7&lt;&gt;0),1,0),IF(AND(H7&gt;X7,H7&lt;Y7,H7&lt;&gt;0),1,0),IF(AND(I7&gt;X7,I7&lt;Y7,I7&lt;&gt;0),1,0),IF(AND(J7&gt;X7,J7&lt;Y7,J7&lt;&gt;0),1,0),IF(AND(K7&gt;X7,K7&lt;Y7,K7&lt;&gt;0),1,0),IF(AND(L7&gt;X7,L7&lt;Y7,L7&lt;&gt;0),1,0),IF(AND(M7&gt;X7,M7&lt;Y7,M7&lt;&gt;0),1,0),IF(AND(N7&gt;X7,N7&lt;Y7,N7&lt;&gt;0),1,0),IF(AND(O7&gt;X7,O7&lt;Y7,O7&lt;&gt;0),1,0),IF(AND(P7&gt;X7,P7&lt;Y7,P7&lt;&gt;0),1,0),IF(AND(Q7&gt;X7,Q7&lt;Y7,Q7&lt;&gt;0),1,0),IF(AND(R7&gt;X7,R7&lt;Y7,R7&lt;&gt;0),1,0),IF(AND(S7&gt;X7,S7&lt;Y7,S7&lt;&gt;0),1,0)))</f>
        <v/>
      </c>
      <c r="AA7" s="170" t="str">
        <f>IF(COUNT(E7:S7)=0,"",SUM(IF(AND(E7&gt;X7,E7&lt;Y7),E7,0),IF(AND(F7&gt;X7,F7&lt;Y7),F7,0),IF(AND(G7&gt;X7,G7&lt;Y7),G7,0),IF(AND(H7&gt;X7,H7&lt;Y7),H7,0),IF(AND(I7&gt;X7,I7&lt;Y7),I7,0),IF(AND(J7&gt;X7,J7&lt;Y7),J7,0),IF(AND(K7&gt;X7,K7&lt;Y7),K7,0),IF(AND(L7&gt;X7,L7&lt;Y7),L7,0),IF(AND(M7&gt;X7,M7&lt;Y7),M7,0),IF(AND(N7&gt;X7,N7&lt;Y7),N7,0),IF(AND(O7&gt;X7,O7&lt;Y7),O7,0),IF(AND(P7&gt;X7,P7&lt;Y7),P7,0),IF(AND(Q7&gt;X7,Q7&lt;Y7),Q7,0),IF(AND(R7&gt;X7,R7&lt;Y7),R7,0),IF(AND(S7&gt;X7,S7&lt;Y7),S7,0)))</f>
        <v/>
      </c>
      <c r="AB7" s="170" t="str">
        <f>IF(COUNT(E7:S7)=0,"",SUMSQ(IF(AND(E7&gt;X7,E7&lt;Y7),E7,0),IF(AND(F7&gt;X7,F7&lt;Y7),F7,0),IF(AND(G7&gt;X7,G7&lt;Y7),G7,0),IF(AND(H7&gt;X7,H7&lt;Y7),H7,0),IF(AND(I7&gt;X7,I7&lt;Y7),I7,0),IF(AND(J7&gt;X7,J7&lt;Y7),J7,0),IF(AND(K7&gt;X7,K7&lt;Y7),K7,0),IF(AND(L7&gt;X7,L7&lt;Y7),L7,0),IF(AND(M7&gt;X7,M7&lt;Y7),M7,0),IF(AND(N7&gt;X7,N7&lt;Y7),N7,0),IF(AND(O7&gt;X7,O7&lt;Y7),O7,0),IF(AND(P7&gt;X7,P7&lt;Y7),P7,0),IF(AND(Q7&gt;X7,Q7&lt;Y7),Q7,0),IF(AND(R7&gt;X7,R7&lt;Y7),R7,0),IF(AND(S7&gt;X7,S7&lt;Y7),S7,0)))</f>
        <v/>
      </c>
      <c r="AC7" s="172" t="str">
        <f>IF(COUNT(E7:S7)=0,"",POWER(40*SQRT(SUM(IF(AND(E7&gt;X7,E7&lt;Y7),1,0),IF(AND(F7&gt;X7,F7&lt;Y7),1,0),IF(AND(G7&gt;X7,G7&lt;Y7),1,0),IF(AND(H7&gt;X7,H7&lt;Y7),1,0),IF(AND(I7&gt;X7,I7&lt;Y7),1,0),IF(AND(J7&gt;X7,J7&lt;Y7),1,0),IF(AND(K7&gt;X7,K7&lt;Y7),1,0),IF(AND(L7&gt;X7,L7&lt;Y7),1,0),IF(AND(M7&gt;X7,M7&lt;Y7),1,0),IF(AND(N7&gt;X7,N7&lt;Y7),1,0),IF(AND(O7&gt;X7,O7&lt;Y7),1,0),IF(AND(P7&gt;X7,P7&lt;Y7),1,0),IF(AND(Q7&gt;X7,Q7&lt;Y7),1,0),IF(AND(R7&gt;X7,R7&lt;Y7),1,0),IF(AND(S7&gt;X7,S7&lt;Y7),1,0))*AB7-POWER(AA7,2))/AA7,2))</f>
        <v/>
      </c>
      <c r="AD7" s="151">
        <v>2</v>
      </c>
      <c r="AE7" s="173" t="str">
        <f t="shared" ref="AE7:AS37" ca="1" si="4">IF(SUM(INDIRECT(CHAR(COLUMN()+38)&amp;(ROW()-5)*8-2&amp;":"&amp;CHAR(COLUMN()+38)&amp;(ROW()-5)*8+5))=0,"",SUM(INDIRECT(CHAR(COLUMN()+38)&amp;(ROW()-5)*8-2&amp;":"&amp;CHAR(COLUMN()+38)&amp;(ROW()-5)*8+5))/INDIRECT("C"&amp;(ROW()-5)*8-2))</f>
        <v/>
      </c>
      <c r="AF7" s="173" t="str">
        <f t="shared" ca="1" si="0"/>
        <v/>
      </c>
      <c r="AG7" s="173" t="str">
        <f t="shared" ca="1" si="0"/>
        <v/>
      </c>
      <c r="AH7" s="173" t="str">
        <f t="shared" ca="1" si="0"/>
        <v/>
      </c>
      <c r="AI7" s="173" t="str">
        <f t="shared" ca="1" si="0"/>
        <v/>
      </c>
      <c r="AJ7" s="173" t="str">
        <f t="shared" ca="1" si="0"/>
        <v/>
      </c>
      <c r="AK7" s="173" t="str">
        <f t="shared" ca="1" si="0"/>
        <v/>
      </c>
      <c r="AL7" s="173" t="str">
        <f t="shared" ca="1" si="0"/>
        <v/>
      </c>
      <c r="AM7" s="173" t="str">
        <f t="shared" ca="1" si="0"/>
        <v/>
      </c>
      <c r="AN7" s="173" t="str">
        <f t="shared" ca="1" si="0"/>
        <v/>
      </c>
      <c r="AO7" s="173" t="str">
        <f t="shared" ca="1" si="0"/>
        <v/>
      </c>
      <c r="AP7" s="173" t="str">
        <f t="shared" ca="1" si="0"/>
        <v/>
      </c>
      <c r="AQ7" s="173" t="str">
        <f t="shared" ca="1" si="0"/>
        <v/>
      </c>
      <c r="AR7" s="173" t="str">
        <f t="shared" ca="1" si="0"/>
        <v/>
      </c>
      <c r="AS7" s="173" t="str">
        <f t="shared" ca="1" si="0"/>
        <v/>
      </c>
      <c r="AT7" s="151">
        <v>2</v>
      </c>
      <c r="AU7" s="174" t="str">
        <f t="shared" ref="AU7:AU70" ca="1" si="5">IF(COUNT($AE7:$AS7)=0,"",PERCENTILE($AE7:$AS7,0.25))</f>
        <v/>
      </c>
      <c r="AV7" s="175" t="str">
        <f t="shared" ref="AV7:AV70" ca="1" si="6">IF(COUNT($AE7:$AS7)=0,"",MAX($AE7:$AS7))</f>
        <v/>
      </c>
      <c r="AW7" s="175" t="str">
        <f t="shared" ref="AW7:AW70" ca="1" si="7">IF(COUNT($AE7:$AS7)=0,"",MIN($AE7:$AS7))</f>
        <v/>
      </c>
      <c r="AX7" s="176" t="str">
        <f t="shared" ref="AX7:AX70" ca="1" si="8">IF(COUNT($AE7:$AS7)=0,"",PERCENTILE($AE7:$AS7,0.75))</f>
        <v/>
      </c>
    </row>
    <row r="8" spans="1:50" ht="15" customHeight="1">
      <c r="A8" s="263"/>
      <c r="B8" s="244"/>
      <c r="C8" s="244"/>
      <c r="D8" s="168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70" t="str">
        <f>IF(COUNT(E8:S8)=0,"",SUM(E8:S8))</f>
        <v/>
      </c>
      <c r="U8" s="170" t="str">
        <f>IF(COUNT(E8:S8)=0,"",SUMSQ(E8:S8))</f>
        <v/>
      </c>
      <c r="V8" s="170" t="str">
        <f>IF(COUNT(E8:S8)=0,"",AVERAGE(E8:S8))</f>
        <v/>
      </c>
      <c r="W8" s="170" t="str">
        <f>IF(COUNT(E8:S8)=0,"",STDEVP(E8:S8))</f>
        <v/>
      </c>
      <c r="X8" s="170" t="str">
        <f t="shared" si="1"/>
        <v/>
      </c>
      <c r="Y8" s="170" t="str">
        <f t="shared" si="2"/>
        <v/>
      </c>
      <c r="Z8" s="171" t="str">
        <f t="shared" si="3"/>
        <v/>
      </c>
      <c r="AA8" s="170" t="str">
        <f>IF(COUNT(E8:S8)=0,"",SUM(IF(AND(E8&gt;X8,E8&lt;Y8),E8,0),IF(AND(F8&gt;X8,F8&lt;Y8),F8,0),IF(AND(G8&gt;X8,G8&lt;Y8),G8,0),IF(AND(H8&gt;X8,H8&lt;Y8),H8,0),IF(AND(I8&gt;X8,I8&lt;Y8),I8,0),IF(AND(J8&gt;X8,J8&lt;Y8),J8,0),IF(AND(K8&gt;X8,K8&lt;Y8),K8,0),IF(AND(L8&gt;X8,L8&lt;Y8),L8,0),IF(AND(M8&gt;X8,M8&lt;Y8),M8,0),IF(AND(N8&gt;X8,N8&lt;Y8),N8,0),IF(AND(O8&gt;X8,O8&lt;Y8),O8,0),IF(AND(P8&gt;X8,P8&lt;Y8),P8,0),IF(AND(Q8&gt;X8,Q8&lt;Y8),Q8,0),IF(AND(R8&gt;X8,R8&lt;Y8),R8,0),IF(AND(S8&gt;X8,S8&lt;Y8),S8,0)))</f>
        <v/>
      </c>
      <c r="AB8" s="170" t="str">
        <f>IF(COUNT(E8:S8)=0,"",SUMSQ(IF(AND(E8&gt;X8,E8&lt;Y8),E8,0),IF(AND(F8&gt;X8,F8&lt;Y8),F8,0),IF(AND(G8&gt;X8,G8&lt;Y8),G8,0),IF(AND(H8&gt;X8,H8&lt;Y8),H8,0),IF(AND(I8&gt;X8,I8&lt;Y8),I8,0),IF(AND(J8&gt;X8,J8&lt;Y8),J8,0),IF(AND(K8&gt;X8,K8&lt;Y8),K8,0),IF(AND(L8&gt;X8,L8&lt;Y8),L8,0),IF(AND(M8&gt;X8,M8&lt;Y8),M8,0),IF(AND(N8&gt;X8,N8&lt;Y8),N8,0),IF(AND(O8&gt;X8,O8&lt;Y8),O8,0),IF(AND(P8&gt;X8,P8&lt;Y8),P8,0),IF(AND(Q8&gt;X8,Q8&lt;Y8),Q8,0),IF(AND(R8&gt;X8,R8&lt;Y8),R8,0),IF(AND(S8&gt;X8,S8&lt;Y8),S8,0)))</f>
        <v/>
      </c>
      <c r="AC8" s="172" t="str">
        <f>IF(COUNT(E8:S8)=0,"",POWER(40*SQRT(SUM(IF(AND(E8&gt;X8,E8&lt;Y8),1,0),IF(AND(F8&gt;X8,F8&lt;Y8),1,0),IF(AND(G8&gt;X8,G8&lt;Y8),1,0),IF(AND(H8&gt;X8,H8&lt;Y8),1,0),IF(AND(I8&gt;X8,I8&lt;Y8),1,0),IF(AND(J8&gt;X8,J8&lt;Y8),1,0),IF(AND(K8&gt;X8,K8&lt;Y8),1,0),IF(AND(L8&gt;X8,L8&lt;Y8),1,0),IF(AND(M8&gt;X8,M8&lt;Y8),1,0),IF(AND(N8&gt;X8,N8&lt;Y8),1,0),IF(AND(O8&gt;X8,O8&lt;Y8),1,0),IF(AND(P8&gt;X8,P8&lt;Y8),1,0),IF(AND(Q8&gt;X8,Q8&lt;Y8),1,0),IF(AND(R8&gt;X8,R8&lt;Y8),1,0),IF(AND(S8&gt;X8,S8&lt;Y8),1,0))*AB8-POWER(AA8,2))/AA8,2))</f>
        <v/>
      </c>
      <c r="AD8" s="151">
        <v>3</v>
      </c>
      <c r="AE8" s="173" t="str">
        <f t="shared" ca="1" si="4"/>
        <v/>
      </c>
      <c r="AF8" s="173" t="str">
        <f t="shared" ca="1" si="0"/>
        <v/>
      </c>
      <c r="AG8" s="173" t="str">
        <f t="shared" ca="1" si="0"/>
        <v/>
      </c>
      <c r="AH8" s="173" t="str">
        <f t="shared" ca="1" si="0"/>
        <v/>
      </c>
      <c r="AI8" s="173" t="str">
        <f t="shared" ca="1" si="0"/>
        <v/>
      </c>
      <c r="AJ8" s="173" t="str">
        <f t="shared" ca="1" si="0"/>
        <v/>
      </c>
      <c r="AK8" s="173" t="str">
        <f t="shared" ca="1" si="0"/>
        <v/>
      </c>
      <c r="AL8" s="173" t="str">
        <f t="shared" ca="1" si="0"/>
        <v/>
      </c>
      <c r="AM8" s="173" t="str">
        <f t="shared" ca="1" si="0"/>
        <v/>
      </c>
      <c r="AN8" s="173" t="str">
        <f t="shared" ca="1" si="0"/>
        <v/>
      </c>
      <c r="AO8" s="173" t="str">
        <f t="shared" ca="1" si="0"/>
        <v/>
      </c>
      <c r="AP8" s="173" t="str">
        <f t="shared" ca="1" si="0"/>
        <v/>
      </c>
      <c r="AQ8" s="173" t="str">
        <f t="shared" ca="1" si="0"/>
        <v/>
      </c>
      <c r="AR8" s="173" t="str">
        <f t="shared" ca="1" si="0"/>
        <v/>
      </c>
      <c r="AS8" s="173" t="str">
        <f t="shared" ca="1" si="0"/>
        <v/>
      </c>
      <c r="AT8" s="151">
        <v>3</v>
      </c>
      <c r="AU8" s="174" t="str">
        <f t="shared" ca="1" si="5"/>
        <v/>
      </c>
      <c r="AV8" s="175" t="str">
        <f t="shared" ca="1" si="6"/>
        <v/>
      </c>
      <c r="AW8" s="175" t="str">
        <f t="shared" ca="1" si="7"/>
        <v/>
      </c>
      <c r="AX8" s="176" t="str">
        <f t="shared" ca="1" si="8"/>
        <v/>
      </c>
    </row>
    <row r="9" spans="1:50" ht="15" customHeight="1">
      <c r="A9" s="263"/>
      <c r="B9" s="244"/>
      <c r="C9" s="244"/>
      <c r="D9" s="168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70" t="str">
        <f>IF(COUNT(E9:S9)=0,"",SUM(E9:S9))</f>
        <v/>
      </c>
      <c r="U9" s="170" t="str">
        <f>IF(COUNT(E9:S9)=0,"",SUMSQ(E9:S9))</f>
        <v/>
      </c>
      <c r="V9" s="170" t="str">
        <f>IF(COUNT(E9:S9)=0,"",AVERAGE(E9:S9))</f>
        <v/>
      </c>
      <c r="W9" s="170" t="str">
        <f>IF(COUNT(E9:S9)=0,"",STDEVP(E9:S9))</f>
        <v/>
      </c>
      <c r="X9" s="170" t="str">
        <f t="shared" si="1"/>
        <v/>
      </c>
      <c r="Y9" s="170" t="str">
        <f t="shared" si="2"/>
        <v/>
      </c>
      <c r="Z9" s="171" t="str">
        <f t="shared" si="3"/>
        <v/>
      </c>
      <c r="AA9" s="170" t="str">
        <f>IF(COUNT(E9:S9)=0,"",SUM(IF(AND(E9&gt;X9,E9&lt;Y9),E9,0),IF(AND(F9&gt;X9,F9&lt;Y9),F9,0),IF(AND(G9&gt;X9,G9&lt;Y9),G9,0),IF(AND(H9&gt;X9,H9&lt;Y9),H9,0),IF(AND(I9&gt;X9,I9&lt;Y9),I9,0),IF(AND(J9&gt;X9,J9&lt;Y9),J9,0),IF(AND(K9&gt;X9,K9&lt;Y9),K9,0),IF(AND(L9&gt;X9,L9&lt;Y9),L9,0),IF(AND(M9&gt;X9,M9&lt;Y9),M9,0),IF(AND(N9&gt;X9,N9&lt;Y9),N9,0),IF(AND(O9&gt;X9,O9&lt;Y9),O9,0),IF(AND(P9&gt;X9,P9&lt;Y9),P9,0),IF(AND(Q9&gt;X9,Q9&lt;Y9),Q9,0),IF(AND(R9&gt;X9,R9&lt;Y9),R9,0),IF(AND(S9&gt;X9,S9&lt;Y9),S9,0)))</f>
        <v/>
      </c>
      <c r="AB9" s="170" t="str">
        <f>IF(COUNT(E9:S9)=0,"",SUMSQ(IF(AND(E9&gt;X9,E9&lt;Y9),E9,0),IF(AND(F9&gt;X9,F9&lt;Y9),F9,0),IF(AND(G9&gt;X9,G9&lt;Y9),G9,0),IF(AND(H9&gt;X9,H9&lt;Y9),H9,0),IF(AND(I9&gt;X9,I9&lt;Y9),I9,0),IF(AND(J9&gt;X9,J9&lt;Y9),J9,0),IF(AND(K9&gt;X9,K9&lt;Y9),K9,0),IF(AND(L9&gt;X9,L9&lt;Y9),L9,0),IF(AND(M9&gt;X9,M9&lt;Y9),M9,0),IF(AND(N9&gt;X9,N9&lt;Y9),N9,0),IF(AND(O9&gt;X9,O9&lt;Y9),O9,0),IF(AND(P9&gt;X9,P9&lt;Y9),P9,0),IF(AND(Q9&gt;X9,Q9&lt;Y9),Q9,0),IF(AND(R9&gt;X9,R9&lt;Y9),R9,0),IF(AND(S9&gt;X9,S9&lt;Y9),S9,0)))</f>
        <v/>
      </c>
      <c r="AC9" s="172" t="str">
        <f>IF(COUNT(E9:S9)=0,"",POWER(40*SQRT(SUM(IF(AND(E9&gt;X9,E9&lt;Y9),1,0),IF(AND(F9&gt;X9,F9&lt;Y9),1,0),IF(AND(G9&gt;X9,G9&lt;Y9),1,0),IF(AND(H9&gt;X9,H9&lt;Y9),1,0),IF(AND(I9&gt;X9,I9&lt;Y9),1,0),IF(AND(J9&gt;X9,J9&lt;Y9),1,0),IF(AND(K9&gt;X9,K9&lt;Y9),1,0),IF(AND(L9&gt;X9,L9&lt;Y9),1,0),IF(AND(M9&gt;X9,M9&lt;Y9),1,0),IF(AND(N9&gt;X9,N9&lt;Y9),1,0),IF(AND(O9&gt;X9,O9&lt;Y9),1,0),IF(AND(P9&gt;X9,P9&lt;Y9),1,0),IF(AND(Q9&gt;X9,Q9&lt;Y9),1,0),IF(AND(R9&gt;X9,R9&lt;Y9),1,0),IF(AND(S9&gt;X9,S9&lt;Y9),1,0))*AB9-POWER(AA9,2))/AA9,2))</f>
        <v/>
      </c>
      <c r="AD9" s="151">
        <v>4</v>
      </c>
      <c r="AE9" s="173" t="str">
        <f t="shared" ca="1" si="4"/>
        <v/>
      </c>
      <c r="AF9" s="173" t="str">
        <f t="shared" ca="1" si="0"/>
        <v/>
      </c>
      <c r="AG9" s="173" t="str">
        <f t="shared" ca="1" si="0"/>
        <v/>
      </c>
      <c r="AH9" s="173" t="str">
        <f t="shared" ca="1" si="0"/>
        <v/>
      </c>
      <c r="AI9" s="173" t="str">
        <f t="shared" ca="1" si="0"/>
        <v/>
      </c>
      <c r="AJ9" s="173" t="str">
        <f t="shared" ca="1" si="0"/>
        <v/>
      </c>
      <c r="AK9" s="173" t="str">
        <f t="shared" ca="1" si="0"/>
        <v/>
      </c>
      <c r="AL9" s="173" t="str">
        <f t="shared" ca="1" si="0"/>
        <v/>
      </c>
      <c r="AM9" s="173" t="str">
        <f t="shared" ca="1" si="0"/>
        <v/>
      </c>
      <c r="AN9" s="173" t="str">
        <f t="shared" ca="1" si="0"/>
        <v/>
      </c>
      <c r="AO9" s="173" t="str">
        <f t="shared" ca="1" si="0"/>
        <v/>
      </c>
      <c r="AP9" s="173" t="str">
        <f t="shared" ca="1" si="0"/>
        <v/>
      </c>
      <c r="AQ9" s="173" t="str">
        <f t="shared" ca="1" si="0"/>
        <v/>
      </c>
      <c r="AR9" s="173" t="str">
        <f t="shared" ca="1" si="0"/>
        <v/>
      </c>
      <c r="AS9" s="173" t="str">
        <f t="shared" ca="1" si="0"/>
        <v/>
      </c>
      <c r="AT9" s="151">
        <v>4</v>
      </c>
      <c r="AU9" s="174" t="str">
        <f t="shared" ca="1" si="5"/>
        <v/>
      </c>
      <c r="AV9" s="175" t="str">
        <f t="shared" ca="1" si="6"/>
        <v/>
      </c>
      <c r="AW9" s="175" t="str">
        <f t="shared" ca="1" si="7"/>
        <v/>
      </c>
      <c r="AX9" s="176" t="str">
        <f t="shared" ca="1" si="8"/>
        <v/>
      </c>
    </row>
    <row r="10" spans="1:50" ht="15" customHeight="1">
      <c r="A10" s="263"/>
      <c r="B10" s="244"/>
      <c r="C10" s="244"/>
      <c r="D10" s="168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70" t="str">
        <f>IF(COUNT(E10:S10)=0,"",SUM(E10:S10))</f>
        <v/>
      </c>
      <c r="U10" s="170" t="str">
        <f>IF(COUNT(E10:S10)=0,"",SUMSQ(E10:S10))</f>
        <v/>
      </c>
      <c r="V10" s="170" t="str">
        <f>IF(COUNT(E10:S10)=0,"",AVERAGE(E10:S10))</f>
        <v/>
      </c>
      <c r="W10" s="170" t="str">
        <f>IF(COUNT(E10:S10)=0,"",STDEVP(E10:S10))</f>
        <v/>
      </c>
      <c r="X10" s="170" t="str">
        <f t="shared" si="1"/>
        <v/>
      </c>
      <c r="Y10" s="170" t="str">
        <f t="shared" si="2"/>
        <v/>
      </c>
      <c r="Z10" s="171" t="str">
        <f t="shared" si="3"/>
        <v/>
      </c>
      <c r="AA10" s="170" t="str">
        <f>IF(COUNT(E10:S10)=0,"",SUM(IF(AND(E10&gt;X10,E10&lt;Y10),E10,0),IF(AND(F10&gt;X10,F10&lt;Y10),F10,0),IF(AND(G10&gt;X10,G10&lt;Y10),G10,0),IF(AND(H10&gt;X10,H10&lt;Y10),H10,0),IF(AND(I10&gt;X10,I10&lt;Y10),I10,0),IF(AND(J10&gt;X10,J10&lt;Y10),J10,0),IF(AND(K10&gt;X10,K10&lt;Y10),K10,0),IF(AND(L10&gt;X10,L10&lt;Y10),L10,0),IF(AND(M10&gt;X10,M10&lt;Y10),M10,0),IF(AND(N10&gt;X10,N10&lt;Y10),N10,0),IF(AND(O10&gt;X10,O10&lt;Y10),O10,0),IF(AND(P10&gt;X10,P10&lt;Y10),P10,0),IF(AND(Q10&gt;X10,Q10&lt;Y10),Q10,0),IF(AND(R10&gt;X10,R10&lt;Y10),R10,0),IF(AND(S10&gt;X10,S10&lt;Y10),S10,0)))</f>
        <v/>
      </c>
      <c r="AB10" s="170" t="str">
        <f>IF(COUNT(E10:S10)=0,"",SUMSQ(IF(AND(E10&gt;X10,E10&lt;Y10),E10,0),IF(AND(F10&gt;X10,F10&lt;Y10),F10,0),IF(AND(G10&gt;X10,G10&lt;Y10),G10,0),IF(AND(H10&gt;X10,H10&lt;Y10),H10,0),IF(AND(I10&gt;X10,I10&lt;Y10),I10,0),IF(AND(J10&gt;X10,J10&lt;Y10),J10,0),IF(AND(K10&gt;X10,K10&lt;Y10),K10,0),IF(AND(L10&gt;X10,L10&lt;Y10),L10,0),IF(AND(M10&gt;X10,M10&lt;Y10),M10,0),IF(AND(N10&gt;X10,N10&lt;Y10),N10,0),IF(AND(O10&gt;X10,O10&lt;Y10),O10,0),IF(AND(P10&gt;X10,P10&lt;Y10),P10,0),IF(AND(Q10&gt;X10,Q10&lt;Y10),Q10,0),IF(AND(R10&gt;X10,R10&lt;Y10),R10,0),IF(AND(S10&gt;X10,S10&lt;Y10),S10,0)))</f>
        <v/>
      </c>
      <c r="AC10" s="172" t="str">
        <f>IF(COUNT(E10:S10)=0,"",POWER(40*SQRT(SUM(IF(AND(E10&gt;X10,E10&lt;Y10),1,0),IF(AND(F10&gt;X10,F10&lt;Y10),1,0),IF(AND(G10&gt;X10,G10&lt;Y10),1,0),IF(AND(H10&gt;X10,H10&lt;Y10),1,0),IF(AND(I10&gt;X10,I10&lt;Y10),1,0),IF(AND(J10&gt;X10,J10&lt;Y10),1,0),IF(AND(K10&gt;X10,K10&lt;Y10),1,0),IF(AND(L10&gt;X10,L10&lt;Y10),1,0),IF(AND(M10&gt;X10,M10&lt;Y10),1,0),IF(AND(N10&gt;X10,N10&lt;Y10),1,0),IF(AND(O10&gt;X10,O10&lt;Y10),1,0),IF(AND(P10&gt;X10,P10&lt;Y10),1,0),IF(AND(Q10&gt;X10,Q10&lt;Y10),1,0),IF(AND(R10&gt;X10,R10&lt;Y10),1,0),IF(AND(S10&gt;X10,S10&lt;Y10),1,0))*AB10-POWER(AA10,2))/AA10,2))</f>
        <v/>
      </c>
      <c r="AD10" s="151">
        <v>5</v>
      </c>
      <c r="AE10" s="173" t="str">
        <f t="shared" ca="1" si="4"/>
        <v/>
      </c>
      <c r="AF10" s="173" t="str">
        <f t="shared" ca="1" si="0"/>
        <v/>
      </c>
      <c r="AG10" s="173" t="str">
        <f t="shared" ca="1" si="0"/>
        <v/>
      </c>
      <c r="AH10" s="173" t="str">
        <f t="shared" ca="1" si="0"/>
        <v/>
      </c>
      <c r="AI10" s="173" t="str">
        <f t="shared" ca="1" si="0"/>
        <v/>
      </c>
      <c r="AJ10" s="173" t="str">
        <f t="shared" ca="1" si="0"/>
        <v/>
      </c>
      <c r="AK10" s="173" t="str">
        <f t="shared" ca="1" si="0"/>
        <v/>
      </c>
      <c r="AL10" s="173" t="str">
        <f t="shared" ca="1" si="0"/>
        <v/>
      </c>
      <c r="AM10" s="173" t="str">
        <f t="shared" ca="1" si="0"/>
        <v/>
      </c>
      <c r="AN10" s="173" t="str">
        <f t="shared" ca="1" si="0"/>
        <v/>
      </c>
      <c r="AO10" s="173" t="str">
        <f t="shared" ca="1" si="0"/>
        <v/>
      </c>
      <c r="AP10" s="173" t="str">
        <f t="shared" ca="1" si="0"/>
        <v/>
      </c>
      <c r="AQ10" s="173" t="str">
        <f t="shared" ca="1" si="0"/>
        <v/>
      </c>
      <c r="AR10" s="173" t="str">
        <f t="shared" ca="1" si="0"/>
        <v/>
      </c>
      <c r="AS10" s="173" t="str">
        <f t="shared" ca="1" si="0"/>
        <v/>
      </c>
      <c r="AT10" s="151">
        <v>5</v>
      </c>
      <c r="AU10" s="174" t="str">
        <f t="shared" ca="1" si="5"/>
        <v/>
      </c>
      <c r="AV10" s="175" t="str">
        <f t="shared" ca="1" si="6"/>
        <v/>
      </c>
      <c r="AW10" s="175" t="str">
        <f t="shared" ca="1" si="7"/>
        <v/>
      </c>
      <c r="AX10" s="176" t="str">
        <f t="shared" ca="1" si="8"/>
        <v/>
      </c>
    </row>
    <row r="11" spans="1:50" ht="15" customHeight="1">
      <c r="A11" s="263"/>
      <c r="B11" s="244"/>
      <c r="C11" s="244"/>
      <c r="D11" s="168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70" t="str">
        <f t="shared" ref="T11:T18" si="9">IF(COUNT(E11:S11)=0,"",SUM(E11:S11))</f>
        <v/>
      </c>
      <c r="U11" s="170" t="str">
        <f t="shared" ref="U11:U18" si="10">IF(COUNT(E11:S11)=0,"",SUMSQ(E11:S11))</f>
        <v/>
      </c>
      <c r="V11" s="170" t="str">
        <f t="shared" ref="V11:V18" si="11">IF(COUNT(E11:S11)=0,"",AVERAGE(E11:S11))</f>
        <v/>
      </c>
      <c r="W11" s="170" t="str">
        <f t="shared" ref="W11:W18" si="12">IF(COUNT(E11:S11)=0,"",STDEVP(E11:S11))</f>
        <v/>
      </c>
      <c r="X11" s="170" t="str">
        <f t="shared" si="1"/>
        <v/>
      </c>
      <c r="Y11" s="170" t="str">
        <f t="shared" si="2"/>
        <v/>
      </c>
      <c r="Z11" s="171" t="str">
        <f t="shared" si="3"/>
        <v/>
      </c>
      <c r="AA11" s="170" t="str">
        <f t="shared" ref="AA11:AA18" si="13">IF(COUNT(E11:S11)=0,"",SUM(IF(AND(E11&gt;X11,E11&lt;Y11),E11,0),IF(AND(F11&gt;X11,F11&lt;Y11),F11,0),IF(AND(G11&gt;X11,G11&lt;Y11),G11,0),IF(AND(H11&gt;X11,H11&lt;Y11),H11,0),IF(AND(I11&gt;X11,I11&lt;Y11),I11,0),IF(AND(J11&gt;X11,J11&lt;Y11),J11,0),IF(AND(K11&gt;X11,K11&lt;Y11),K11,0),IF(AND(L11&gt;X11,L11&lt;Y11),L11,0),IF(AND(M11&gt;X11,M11&lt;Y11),M11,0),IF(AND(N11&gt;X11,N11&lt;Y11),N11,0),IF(AND(O11&gt;X11,O11&lt;Y11),O11,0),IF(AND(P11&gt;X11,P11&lt;Y11),P11,0),IF(AND(Q11&gt;X11,Q11&lt;Y11),Q11,0),IF(AND(R11&gt;X11,R11&lt;Y11),R11,0),IF(AND(S11&gt;X11,S11&lt;Y11),S11,0)))</f>
        <v/>
      </c>
      <c r="AB11" s="170" t="str">
        <f t="shared" ref="AB11:AB18" si="14">IF(COUNT(E11:S11)=0,"",SUMSQ(IF(AND(E11&gt;X11,E11&lt;Y11),E11,0),IF(AND(F11&gt;X11,F11&lt;Y11),F11,0),IF(AND(G11&gt;X11,G11&lt;Y11),G11,0),IF(AND(H11&gt;X11,H11&lt;Y11),H11,0),IF(AND(I11&gt;X11,I11&lt;Y11),I11,0),IF(AND(J11&gt;X11,J11&lt;Y11),J11,0),IF(AND(K11&gt;X11,K11&lt;Y11),K11,0),IF(AND(L11&gt;X11,L11&lt;Y11),L11,0),IF(AND(M11&gt;X11,M11&lt;Y11),M11,0),IF(AND(N11&gt;X11,N11&lt;Y11),N11,0),IF(AND(O11&gt;X11,O11&lt;Y11),O11,0),IF(AND(P11&gt;X11,P11&lt;Y11),P11,0),IF(AND(Q11&gt;X11,Q11&lt;Y11),Q11,0),IF(AND(R11&gt;X11,R11&lt;Y11),R11,0),IF(AND(S11&gt;X11,S11&lt;Y11),S11,0)))</f>
        <v/>
      </c>
      <c r="AC11" s="172" t="str">
        <f t="shared" ref="AC11:AC18" si="15">IF(COUNT(E11:S11)=0,"",POWER(40*SQRT(SUM(IF(AND(E11&gt;X11,E11&lt;Y11),1,0),IF(AND(F11&gt;X11,F11&lt;Y11),1,0),IF(AND(G11&gt;X11,G11&lt;Y11),1,0),IF(AND(H11&gt;X11,H11&lt;Y11),1,0),IF(AND(I11&gt;X11,I11&lt;Y11),1,0),IF(AND(J11&gt;X11,J11&lt;Y11),1,0),IF(AND(K11&gt;X11,K11&lt;Y11),1,0),IF(AND(L11&gt;X11,L11&lt;Y11),1,0),IF(AND(M11&gt;X11,M11&lt;Y11),1,0),IF(AND(N11&gt;X11,N11&lt;Y11),1,0),IF(AND(O11&gt;X11,O11&lt;Y11),1,0),IF(AND(P11&gt;X11,P11&lt;Y11),1,0),IF(AND(Q11&gt;X11,Q11&lt;Y11),1,0),IF(AND(R11&gt;X11,R11&lt;Y11),1,0),IF(AND(S11&gt;X11,S11&lt;Y11),1,0))*AB11-POWER(AA11,2))/AA11,2))</f>
        <v/>
      </c>
      <c r="AD11" s="151">
        <v>6</v>
      </c>
      <c r="AE11" s="173" t="str">
        <f t="shared" ca="1" si="4"/>
        <v/>
      </c>
      <c r="AF11" s="173" t="str">
        <f t="shared" ca="1" si="0"/>
        <v/>
      </c>
      <c r="AG11" s="173" t="str">
        <f t="shared" ca="1" si="0"/>
        <v/>
      </c>
      <c r="AH11" s="173" t="str">
        <f t="shared" ca="1" si="0"/>
        <v/>
      </c>
      <c r="AI11" s="173" t="str">
        <f t="shared" ca="1" si="0"/>
        <v/>
      </c>
      <c r="AJ11" s="173" t="str">
        <f t="shared" ca="1" si="0"/>
        <v/>
      </c>
      <c r="AK11" s="173" t="str">
        <f t="shared" ca="1" si="0"/>
        <v/>
      </c>
      <c r="AL11" s="173" t="str">
        <f t="shared" ca="1" si="0"/>
        <v/>
      </c>
      <c r="AM11" s="173" t="str">
        <f t="shared" ca="1" si="0"/>
        <v/>
      </c>
      <c r="AN11" s="173" t="str">
        <f t="shared" ca="1" si="0"/>
        <v/>
      </c>
      <c r="AO11" s="173" t="str">
        <f t="shared" ca="1" si="0"/>
        <v/>
      </c>
      <c r="AP11" s="173" t="str">
        <f t="shared" ca="1" si="0"/>
        <v/>
      </c>
      <c r="AQ11" s="173" t="str">
        <f t="shared" ca="1" si="0"/>
        <v/>
      </c>
      <c r="AR11" s="173" t="str">
        <f t="shared" ca="1" si="0"/>
        <v/>
      </c>
      <c r="AS11" s="173" t="str">
        <f t="shared" ca="1" si="0"/>
        <v/>
      </c>
      <c r="AT11" s="151">
        <v>6</v>
      </c>
      <c r="AU11" s="174" t="str">
        <f t="shared" ca="1" si="5"/>
        <v/>
      </c>
      <c r="AV11" s="175" t="str">
        <f t="shared" ca="1" si="6"/>
        <v/>
      </c>
      <c r="AW11" s="175" t="str">
        <f t="shared" ca="1" si="7"/>
        <v/>
      </c>
      <c r="AX11" s="176" t="str">
        <f t="shared" ca="1" si="8"/>
        <v/>
      </c>
    </row>
    <row r="12" spans="1:50" ht="15" customHeight="1">
      <c r="A12" s="263"/>
      <c r="B12" s="244"/>
      <c r="C12" s="244"/>
      <c r="D12" s="168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70" t="str">
        <f t="shared" si="9"/>
        <v/>
      </c>
      <c r="U12" s="170" t="str">
        <f t="shared" si="10"/>
        <v/>
      </c>
      <c r="V12" s="170" t="str">
        <f t="shared" si="11"/>
        <v/>
      </c>
      <c r="W12" s="170" t="str">
        <f t="shared" si="12"/>
        <v/>
      </c>
      <c r="X12" s="170" t="str">
        <f t="shared" si="1"/>
        <v/>
      </c>
      <c r="Y12" s="170" t="str">
        <f t="shared" si="2"/>
        <v/>
      </c>
      <c r="Z12" s="171" t="str">
        <f t="shared" si="3"/>
        <v/>
      </c>
      <c r="AA12" s="170" t="str">
        <f t="shared" si="13"/>
        <v/>
      </c>
      <c r="AB12" s="170" t="str">
        <f t="shared" si="14"/>
        <v/>
      </c>
      <c r="AC12" s="172" t="str">
        <f t="shared" si="15"/>
        <v/>
      </c>
      <c r="AD12" s="151">
        <v>7</v>
      </c>
      <c r="AE12" s="173" t="str">
        <f t="shared" ca="1" si="4"/>
        <v/>
      </c>
      <c r="AF12" s="173" t="str">
        <f t="shared" ca="1" si="0"/>
        <v/>
      </c>
      <c r="AG12" s="173" t="str">
        <f t="shared" ca="1" si="0"/>
        <v/>
      </c>
      <c r="AH12" s="173" t="str">
        <f t="shared" ca="1" si="0"/>
        <v/>
      </c>
      <c r="AI12" s="173" t="str">
        <f t="shared" ca="1" si="0"/>
        <v/>
      </c>
      <c r="AJ12" s="173" t="str">
        <f t="shared" ca="1" si="0"/>
        <v/>
      </c>
      <c r="AK12" s="173" t="str">
        <f t="shared" ca="1" si="0"/>
        <v/>
      </c>
      <c r="AL12" s="173" t="str">
        <f t="shared" ca="1" si="0"/>
        <v/>
      </c>
      <c r="AM12" s="173" t="str">
        <f t="shared" ca="1" si="0"/>
        <v/>
      </c>
      <c r="AN12" s="173" t="str">
        <f t="shared" ca="1" si="0"/>
        <v/>
      </c>
      <c r="AO12" s="173" t="str">
        <f t="shared" ca="1" si="0"/>
        <v/>
      </c>
      <c r="AP12" s="173" t="str">
        <f t="shared" ca="1" si="0"/>
        <v/>
      </c>
      <c r="AQ12" s="173" t="str">
        <f t="shared" ca="1" si="0"/>
        <v/>
      </c>
      <c r="AR12" s="173" t="str">
        <f t="shared" ca="1" si="0"/>
        <v/>
      </c>
      <c r="AS12" s="173" t="str">
        <f t="shared" ca="1" si="0"/>
        <v/>
      </c>
      <c r="AT12" s="151">
        <v>7</v>
      </c>
      <c r="AU12" s="174" t="str">
        <f t="shared" ca="1" si="5"/>
        <v/>
      </c>
      <c r="AV12" s="175" t="str">
        <f t="shared" ca="1" si="6"/>
        <v/>
      </c>
      <c r="AW12" s="175" t="str">
        <f t="shared" ca="1" si="7"/>
        <v/>
      </c>
      <c r="AX12" s="176" t="str">
        <f t="shared" ca="1" si="8"/>
        <v/>
      </c>
    </row>
    <row r="13" spans="1:50" ht="15" customHeight="1">
      <c r="A13" s="263"/>
      <c r="B13" s="245"/>
      <c r="C13" s="245"/>
      <c r="D13" s="168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70" t="str">
        <f t="shared" si="9"/>
        <v/>
      </c>
      <c r="U13" s="170" t="str">
        <f t="shared" si="10"/>
        <v/>
      </c>
      <c r="V13" s="170" t="str">
        <f t="shared" si="11"/>
        <v/>
      </c>
      <c r="W13" s="170" t="str">
        <f t="shared" si="12"/>
        <v/>
      </c>
      <c r="X13" s="170" t="str">
        <f t="shared" si="1"/>
        <v/>
      </c>
      <c r="Y13" s="170" t="str">
        <f t="shared" si="2"/>
        <v/>
      </c>
      <c r="Z13" s="170"/>
      <c r="AA13" s="170" t="str">
        <f t="shared" si="13"/>
        <v/>
      </c>
      <c r="AB13" s="170" t="str">
        <f t="shared" si="14"/>
        <v/>
      </c>
      <c r="AC13" s="172" t="str">
        <f t="shared" si="15"/>
        <v/>
      </c>
      <c r="AD13" s="151">
        <v>8</v>
      </c>
      <c r="AE13" s="173" t="str">
        <f t="shared" ca="1" si="4"/>
        <v/>
      </c>
      <c r="AF13" s="173" t="str">
        <f t="shared" ca="1" si="0"/>
        <v/>
      </c>
      <c r="AG13" s="173" t="str">
        <f t="shared" ca="1" si="0"/>
        <v/>
      </c>
      <c r="AH13" s="173" t="str">
        <f t="shared" ca="1" si="0"/>
        <v/>
      </c>
      <c r="AI13" s="173" t="str">
        <f t="shared" ca="1" si="0"/>
        <v/>
      </c>
      <c r="AJ13" s="173" t="str">
        <f t="shared" ca="1" si="0"/>
        <v/>
      </c>
      <c r="AK13" s="173" t="str">
        <f t="shared" ca="1" si="0"/>
        <v/>
      </c>
      <c r="AL13" s="173" t="str">
        <f t="shared" ca="1" si="0"/>
        <v/>
      </c>
      <c r="AM13" s="173" t="str">
        <f t="shared" ca="1" si="0"/>
        <v/>
      </c>
      <c r="AN13" s="173" t="str">
        <f t="shared" ca="1" si="0"/>
        <v/>
      </c>
      <c r="AO13" s="173" t="str">
        <f t="shared" ca="1" si="0"/>
        <v/>
      </c>
      <c r="AP13" s="173" t="str">
        <f t="shared" ca="1" si="0"/>
        <v/>
      </c>
      <c r="AQ13" s="173" t="str">
        <f t="shared" ca="1" si="0"/>
        <v/>
      </c>
      <c r="AR13" s="173" t="str">
        <f t="shared" ca="1" si="0"/>
        <v/>
      </c>
      <c r="AS13" s="173" t="str">
        <f t="shared" ca="1" si="0"/>
        <v/>
      </c>
      <c r="AT13" s="151">
        <v>8</v>
      </c>
      <c r="AU13" s="174" t="str">
        <f t="shared" ca="1" si="5"/>
        <v/>
      </c>
      <c r="AV13" s="175" t="str">
        <f t="shared" ca="1" si="6"/>
        <v/>
      </c>
      <c r="AW13" s="175" t="str">
        <f t="shared" ca="1" si="7"/>
        <v/>
      </c>
      <c r="AX13" s="176" t="str">
        <f t="shared" ca="1" si="8"/>
        <v/>
      </c>
    </row>
    <row r="14" spans="1:50" ht="15">
      <c r="A14" s="263">
        <v>2</v>
      </c>
      <c r="B14" s="252"/>
      <c r="C14" s="243"/>
      <c r="D14" s="168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70" t="str">
        <f t="shared" si="9"/>
        <v/>
      </c>
      <c r="U14" s="170" t="str">
        <f t="shared" si="10"/>
        <v/>
      </c>
      <c r="V14" s="170" t="str">
        <f t="shared" si="11"/>
        <v/>
      </c>
      <c r="W14" s="170" t="str">
        <f t="shared" si="12"/>
        <v/>
      </c>
      <c r="X14" s="170" t="str">
        <f t="shared" si="1"/>
        <v/>
      </c>
      <c r="Y14" s="170" t="str">
        <f t="shared" si="2"/>
        <v/>
      </c>
      <c r="Z14" s="170" t="str">
        <f t="shared" si="3"/>
        <v/>
      </c>
      <c r="AA14" s="170" t="str">
        <f t="shared" si="13"/>
        <v/>
      </c>
      <c r="AB14" s="170" t="str">
        <f t="shared" si="14"/>
        <v/>
      </c>
      <c r="AC14" s="172" t="str">
        <f t="shared" si="15"/>
        <v/>
      </c>
      <c r="AD14" s="151">
        <v>9</v>
      </c>
      <c r="AE14" s="173" t="str">
        <f t="shared" ca="1" si="4"/>
        <v/>
      </c>
      <c r="AF14" s="173" t="str">
        <f t="shared" ca="1" si="0"/>
        <v/>
      </c>
      <c r="AG14" s="173" t="str">
        <f t="shared" ca="1" si="0"/>
        <v/>
      </c>
      <c r="AH14" s="173" t="str">
        <f t="shared" ca="1" si="0"/>
        <v/>
      </c>
      <c r="AI14" s="173" t="str">
        <f t="shared" ca="1" si="0"/>
        <v/>
      </c>
      <c r="AJ14" s="173" t="str">
        <f t="shared" ca="1" si="0"/>
        <v/>
      </c>
      <c r="AK14" s="173" t="str">
        <f t="shared" ca="1" si="0"/>
        <v/>
      </c>
      <c r="AL14" s="173" t="str">
        <f t="shared" ca="1" si="0"/>
        <v/>
      </c>
      <c r="AM14" s="173" t="str">
        <f t="shared" ca="1" si="0"/>
        <v/>
      </c>
      <c r="AN14" s="173" t="str">
        <f t="shared" ca="1" si="0"/>
        <v/>
      </c>
      <c r="AO14" s="173" t="str">
        <f t="shared" ca="1" si="0"/>
        <v/>
      </c>
      <c r="AP14" s="173" t="str">
        <f t="shared" ca="1" si="0"/>
        <v/>
      </c>
      <c r="AQ14" s="173" t="str">
        <f t="shared" ca="1" si="0"/>
        <v/>
      </c>
      <c r="AR14" s="173" t="str">
        <f t="shared" ca="1" si="0"/>
        <v/>
      </c>
      <c r="AS14" s="173" t="str">
        <f t="shared" ca="1" si="0"/>
        <v/>
      </c>
      <c r="AT14" s="151">
        <v>9</v>
      </c>
      <c r="AU14" s="174" t="str">
        <f t="shared" ca="1" si="5"/>
        <v/>
      </c>
      <c r="AV14" s="175" t="str">
        <f t="shared" ca="1" si="6"/>
        <v/>
      </c>
      <c r="AW14" s="175" t="str">
        <f t="shared" ca="1" si="7"/>
        <v/>
      </c>
      <c r="AX14" s="176" t="str">
        <f t="shared" ca="1" si="8"/>
        <v/>
      </c>
    </row>
    <row r="15" spans="1:50" ht="15">
      <c r="A15" s="263"/>
      <c r="B15" s="244"/>
      <c r="C15" s="244"/>
      <c r="D15" s="168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70" t="str">
        <f t="shared" si="9"/>
        <v/>
      </c>
      <c r="U15" s="170" t="str">
        <f t="shared" si="10"/>
        <v/>
      </c>
      <c r="V15" s="170" t="str">
        <f t="shared" si="11"/>
        <v/>
      </c>
      <c r="W15" s="170" t="str">
        <f t="shared" si="12"/>
        <v/>
      </c>
      <c r="X15" s="170" t="str">
        <f t="shared" si="1"/>
        <v/>
      </c>
      <c r="Y15" s="170" t="str">
        <f t="shared" si="2"/>
        <v/>
      </c>
      <c r="Z15" s="170" t="str">
        <f t="shared" si="3"/>
        <v/>
      </c>
      <c r="AA15" s="170" t="str">
        <f t="shared" si="13"/>
        <v/>
      </c>
      <c r="AB15" s="170" t="str">
        <f t="shared" si="14"/>
        <v/>
      </c>
      <c r="AC15" s="172" t="str">
        <f t="shared" si="15"/>
        <v/>
      </c>
      <c r="AD15" s="151">
        <v>10</v>
      </c>
      <c r="AE15" s="173" t="str">
        <f t="shared" ca="1" si="4"/>
        <v/>
      </c>
      <c r="AF15" s="173" t="str">
        <f t="shared" ca="1" si="0"/>
        <v/>
      </c>
      <c r="AG15" s="173" t="str">
        <f t="shared" ca="1" si="0"/>
        <v/>
      </c>
      <c r="AH15" s="173" t="str">
        <f t="shared" ca="1" si="0"/>
        <v/>
      </c>
      <c r="AI15" s="173" t="str">
        <f t="shared" ca="1" si="0"/>
        <v/>
      </c>
      <c r="AJ15" s="173" t="str">
        <f t="shared" ca="1" si="0"/>
        <v/>
      </c>
      <c r="AK15" s="173" t="str">
        <f t="shared" ca="1" si="0"/>
        <v/>
      </c>
      <c r="AL15" s="173" t="str">
        <f t="shared" ca="1" si="0"/>
        <v/>
      </c>
      <c r="AM15" s="173" t="str">
        <f t="shared" ca="1" si="0"/>
        <v/>
      </c>
      <c r="AN15" s="173" t="str">
        <f t="shared" ca="1" si="0"/>
        <v/>
      </c>
      <c r="AO15" s="173" t="str">
        <f t="shared" ca="1" si="0"/>
        <v/>
      </c>
      <c r="AP15" s="173" t="str">
        <f t="shared" ca="1" si="0"/>
        <v/>
      </c>
      <c r="AQ15" s="173" t="str">
        <f t="shared" ca="1" si="0"/>
        <v/>
      </c>
      <c r="AR15" s="173" t="str">
        <f t="shared" ca="1" si="0"/>
        <v/>
      </c>
      <c r="AS15" s="173" t="str">
        <f t="shared" ca="1" si="0"/>
        <v/>
      </c>
      <c r="AT15" s="151">
        <v>10</v>
      </c>
      <c r="AU15" s="174" t="str">
        <f t="shared" ca="1" si="5"/>
        <v/>
      </c>
      <c r="AV15" s="175" t="str">
        <f t="shared" ca="1" si="6"/>
        <v/>
      </c>
      <c r="AW15" s="175" t="str">
        <f t="shared" ca="1" si="7"/>
        <v/>
      </c>
      <c r="AX15" s="176" t="str">
        <f t="shared" ca="1" si="8"/>
        <v/>
      </c>
    </row>
    <row r="16" spans="1:50" ht="15">
      <c r="A16" s="263"/>
      <c r="B16" s="244"/>
      <c r="C16" s="244"/>
      <c r="D16" s="168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70" t="str">
        <f t="shared" si="9"/>
        <v/>
      </c>
      <c r="U16" s="170" t="str">
        <f t="shared" si="10"/>
        <v/>
      </c>
      <c r="V16" s="170" t="str">
        <f t="shared" si="11"/>
        <v/>
      </c>
      <c r="W16" s="170" t="str">
        <f t="shared" si="12"/>
        <v/>
      </c>
      <c r="X16" s="170" t="str">
        <f t="shared" si="1"/>
        <v/>
      </c>
      <c r="Y16" s="170" t="str">
        <f t="shared" si="2"/>
        <v/>
      </c>
      <c r="Z16" s="170" t="str">
        <f t="shared" si="3"/>
        <v/>
      </c>
      <c r="AA16" s="170" t="str">
        <f t="shared" si="13"/>
        <v/>
      </c>
      <c r="AB16" s="170" t="str">
        <f t="shared" si="14"/>
        <v/>
      </c>
      <c r="AC16" s="172" t="str">
        <f t="shared" si="15"/>
        <v/>
      </c>
      <c r="AD16" s="151">
        <v>11</v>
      </c>
      <c r="AE16" s="173" t="str">
        <f t="shared" ca="1" si="4"/>
        <v/>
      </c>
      <c r="AF16" s="173" t="str">
        <f t="shared" ca="1" si="0"/>
        <v/>
      </c>
      <c r="AG16" s="173" t="str">
        <f t="shared" ca="1" si="0"/>
        <v/>
      </c>
      <c r="AH16" s="173" t="str">
        <f t="shared" ca="1" si="0"/>
        <v/>
      </c>
      <c r="AI16" s="173" t="str">
        <f t="shared" ca="1" si="0"/>
        <v/>
      </c>
      <c r="AJ16" s="173" t="str">
        <f t="shared" ca="1" si="0"/>
        <v/>
      </c>
      <c r="AK16" s="173" t="str">
        <f t="shared" ca="1" si="0"/>
        <v/>
      </c>
      <c r="AL16" s="173" t="str">
        <f t="shared" ca="1" si="0"/>
        <v/>
      </c>
      <c r="AM16" s="173" t="str">
        <f t="shared" ca="1" si="0"/>
        <v/>
      </c>
      <c r="AN16" s="173" t="str">
        <f t="shared" ca="1" si="0"/>
        <v/>
      </c>
      <c r="AO16" s="173" t="str">
        <f t="shared" ca="1" si="0"/>
        <v/>
      </c>
      <c r="AP16" s="173" t="str">
        <f t="shared" ca="1" si="0"/>
        <v/>
      </c>
      <c r="AQ16" s="173" t="str">
        <f t="shared" ca="1" si="0"/>
        <v/>
      </c>
      <c r="AR16" s="173" t="str">
        <f t="shared" ca="1" si="0"/>
        <v/>
      </c>
      <c r="AS16" s="173" t="str">
        <f t="shared" ca="1" si="0"/>
        <v/>
      </c>
      <c r="AT16" s="151">
        <v>11</v>
      </c>
      <c r="AU16" s="174" t="str">
        <f t="shared" ca="1" si="5"/>
        <v/>
      </c>
      <c r="AV16" s="175" t="str">
        <f t="shared" ca="1" si="6"/>
        <v/>
      </c>
      <c r="AW16" s="175" t="str">
        <f t="shared" ca="1" si="7"/>
        <v/>
      </c>
      <c r="AX16" s="176" t="str">
        <f t="shared" ca="1" si="8"/>
        <v/>
      </c>
    </row>
    <row r="17" spans="1:50" ht="15">
      <c r="A17" s="263"/>
      <c r="B17" s="244"/>
      <c r="C17" s="244"/>
      <c r="D17" s="168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70" t="str">
        <f t="shared" si="9"/>
        <v/>
      </c>
      <c r="U17" s="170" t="str">
        <f t="shared" si="10"/>
        <v/>
      </c>
      <c r="V17" s="170" t="str">
        <f t="shared" si="11"/>
        <v/>
      </c>
      <c r="W17" s="170" t="str">
        <f t="shared" si="12"/>
        <v/>
      </c>
      <c r="X17" s="170" t="str">
        <f t="shared" si="1"/>
        <v/>
      </c>
      <c r="Y17" s="170" t="str">
        <f t="shared" si="2"/>
        <v/>
      </c>
      <c r="Z17" s="170" t="str">
        <f t="shared" si="3"/>
        <v/>
      </c>
      <c r="AA17" s="170" t="str">
        <f t="shared" si="13"/>
        <v/>
      </c>
      <c r="AB17" s="170" t="str">
        <f t="shared" si="14"/>
        <v/>
      </c>
      <c r="AC17" s="172" t="str">
        <f t="shared" si="15"/>
        <v/>
      </c>
      <c r="AD17" s="151">
        <v>12</v>
      </c>
      <c r="AE17" s="173" t="str">
        <f t="shared" ca="1" si="4"/>
        <v/>
      </c>
      <c r="AF17" s="173" t="str">
        <f t="shared" ca="1" si="0"/>
        <v/>
      </c>
      <c r="AG17" s="173" t="str">
        <f t="shared" ca="1" si="0"/>
        <v/>
      </c>
      <c r="AH17" s="173" t="str">
        <f t="shared" ca="1" si="0"/>
        <v/>
      </c>
      <c r="AI17" s="173" t="str">
        <f t="shared" ca="1" si="0"/>
        <v/>
      </c>
      <c r="AJ17" s="173" t="str">
        <f t="shared" ca="1" si="0"/>
        <v/>
      </c>
      <c r="AK17" s="173" t="str">
        <f t="shared" ca="1" si="0"/>
        <v/>
      </c>
      <c r="AL17" s="173" t="str">
        <f t="shared" ca="1" si="0"/>
        <v/>
      </c>
      <c r="AM17" s="173" t="str">
        <f t="shared" ca="1" si="0"/>
        <v/>
      </c>
      <c r="AN17" s="173" t="str">
        <f t="shared" ca="1" si="0"/>
        <v/>
      </c>
      <c r="AO17" s="173" t="str">
        <f t="shared" ca="1" si="0"/>
        <v/>
      </c>
      <c r="AP17" s="173" t="str">
        <f t="shared" ca="1" si="0"/>
        <v/>
      </c>
      <c r="AQ17" s="173" t="str">
        <f t="shared" ca="1" si="0"/>
        <v/>
      </c>
      <c r="AR17" s="173" t="str">
        <f t="shared" ca="1" si="0"/>
        <v/>
      </c>
      <c r="AS17" s="173" t="str">
        <f t="shared" ca="1" si="0"/>
        <v/>
      </c>
      <c r="AT17" s="151">
        <v>12</v>
      </c>
      <c r="AU17" s="174" t="str">
        <f t="shared" ca="1" si="5"/>
        <v/>
      </c>
      <c r="AV17" s="175" t="str">
        <f t="shared" ca="1" si="6"/>
        <v/>
      </c>
      <c r="AW17" s="175" t="str">
        <f t="shared" ca="1" si="7"/>
        <v/>
      </c>
      <c r="AX17" s="176" t="str">
        <f t="shared" ca="1" si="8"/>
        <v/>
      </c>
    </row>
    <row r="18" spans="1:50" ht="15">
      <c r="A18" s="263"/>
      <c r="B18" s="244"/>
      <c r="C18" s="244"/>
      <c r="D18" s="168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70" t="str">
        <f t="shared" si="9"/>
        <v/>
      </c>
      <c r="U18" s="170" t="str">
        <f t="shared" si="10"/>
        <v/>
      </c>
      <c r="V18" s="170" t="str">
        <f t="shared" si="11"/>
        <v/>
      </c>
      <c r="W18" s="170" t="str">
        <f t="shared" si="12"/>
        <v/>
      </c>
      <c r="X18" s="170" t="str">
        <f t="shared" si="1"/>
        <v/>
      </c>
      <c r="Y18" s="170" t="str">
        <f t="shared" si="2"/>
        <v/>
      </c>
      <c r="Z18" s="170" t="str">
        <f t="shared" si="3"/>
        <v/>
      </c>
      <c r="AA18" s="170" t="str">
        <f t="shared" si="13"/>
        <v/>
      </c>
      <c r="AB18" s="170" t="str">
        <f t="shared" si="14"/>
        <v/>
      </c>
      <c r="AC18" s="172" t="str">
        <f t="shared" si="15"/>
        <v/>
      </c>
      <c r="AD18" s="151">
        <v>13</v>
      </c>
      <c r="AE18" s="173" t="str">
        <f t="shared" ca="1" si="4"/>
        <v/>
      </c>
      <c r="AF18" s="173" t="str">
        <f t="shared" ca="1" si="0"/>
        <v/>
      </c>
      <c r="AG18" s="173" t="str">
        <f t="shared" ca="1" si="0"/>
        <v/>
      </c>
      <c r="AH18" s="173" t="str">
        <f t="shared" ca="1" si="0"/>
        <v/>
      </c>
      <c r="AI18" s="173" t="str">
        <f t="shared" ca="1" si="0"/>
        <v/>
      </c>
      <c r="AJ18" s="173" t="str">
        <f t="shared" ca="1" si="0"/>
        <v/>
      </c>
      <c r="AK18" s="173" t="str">
        <f t="shared" ca="1" si="0"/>
        <v/>
      </c>
      <c r="AL18" s="173" t="str">
        <f t="shared" ca="1" si="0"/>
        <v/>
      </c>
      <c r="AM18" s="173" t="str">
        <f t="shared" ca="1" si="0"/>
        <v/>
      </c>
      <c r="AN18" s="173" t="str">
        <f t="shared" ca="1" si="0"/>
        <v/>
      </c>
      <c r="AO18" s="173" t="str">
        <f t="shared" ca="1" si="0"/>
        <v/>
      </c>
      <c r="AP18" s="173" t="str">
        <f t="shared" ca="1" si="0"/>
        <v/>
      </c>
      <c r="AQ18" s="173" t="str">
        <f t="shared" ca="1" si="0"/>
        <v/>
      </c>
      <c r="AR18" s="173" t="str">
        <f t="shared" ca="1" si="0"/>
        <v/>
      </c>
      <c r="AS18" s="173" t="str">
        <f t="shared" ca="1" si="0"/>
        <v/>
      </c>
      <c r="AT18" s="151">
        <v>13</v>
      </c>
      <c r="AU18" s="174" t="str">
        <f t="shared" ca="1" si="5"/>
        <v/>
      </c>
      <c r="AV18" s="175" t="str">
        <f t="shared" ca="1" si="6"/>
        <v/>
      </c>
      <c r="AW18" s="175" t="str">
        <f t="shared" ca="1" si="7"/>
        <v/>
      </c>
      <c r="AX18" s="176" t="str">
        <f t="shared" ca="1" si="8"/>
        <v/>
      </c>
    </row>
    <row r="19" spans="1:50" ht="15">
      <c r="A19" s="263"/>
      <c r="B19" s="244"/>
      <c r="C19" s="244"/>
      <c r="D19" s="177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70" t="str">
        <f t="shared" ref="T19:T82" si="16">IF(COUNT(E19:S19)=0,"",SUM(E19:S19))</f>
        <v/>
      </c>
      <c r="U19" s="170" t="str">
        <f t="shared" ref="U19:U82" si="17">IF(COUNT(E19:S19)=0,"",SUMSQ(E19:S19))</f>
        <v/>
      </c>
      <c r="V19" s="170" t="str">
        <f t="shared" ref="V19:V82" si="18">IF(COUNT(E19:S19)=0,"",AVERAGE(E19:S19))</f>
        <v/>
      </c>
      <c r="W19" s="170" t="str">
        <f t="shared" ref="W19:W82" si="19">IF(COUNT(E19:S19)=0,"",STDEVP(E19:S19))</f>
        <v/>
      </c>
      <c r="X19" s="170" t="str">
        <f t="shared" si="1"/>
        <v/>
      </c>
      <c r="Y19" s="170" t="str">
        <f t="shared" si="2"/>
        <v/>
      </c>
      <c r="Z19" s="170" t="str">
        <f t="shared" si="3"/>
        <v/>
      </c>
      <c r="AA19" s="170" t="str">
        <f t="shared" ref="AA19:AA82" si="20">IF(COUNT(E19:S19)=0,"",SUM(IF(AND(E19&gt;X19,E19&lt;Y19),E19,0),IF(AND(F19&gt;X19,F19&lt;Y19),F19,0),IF(AND(G19&gt;X19,G19&lt;Y19),G19,0),IF(AND(H19&gt;X19,H19&lt;Y19),H19,0),IF(AND(I19&gt;X19,I19&lt;Y19),I19,0),IF(AND(J19&gt;X19,J19&lt;Y19),J19,0),IF(AND(K19&gt;X19,K19&lt;Y19),K19,0),IF(AND(L19&gt;X19,L19&lt;Y19),L19,0),IF(AND(M19&gt;X19,M19&lt;Y19),M19,0),IF(AND(N19&gt;X19,N19&lt;Y19),N19,0),IF(AND(O19&gt;X19,O19&lt;Y19),O19,0),IF(AND(P19&gt;X19,P19&lt;Y19),P19,0),IF(AND(Q19&gt;X19,Q19&lt;Y19),Q19,0),IF(AND(R19&gt;X19,R19&lt;Y19),R19,0),IF(AND(S19&gt;X19,S19&lt;Y19),S19,0)))</f>
        <v/>
      </c>
      <c r="AB19" s="170" t="str">
        <f t="shared" ref="AB19:AB82" si="21">IF(COUNT(E19:S19)=0,"",SUMSQ(IF(AND(E19&gt;X19,E19&lt;Y19),E19,0),IF(AND(F19&gt;X19,F19&lt;Y19),F19,0),IF(AND(G19&gt;X19,G19&lt;Y19),G19,0),IF(AND(H19&gt;X19,H19&lt;Y19),H19,0),IF(AND(I19&gt;X19,I19&lt;Y19),I19,0),IF(AND(J19&gt;X19,J19&lt;Y19),J19,0),IF(AND(K19&gt;X19,K19&lt;Y19),K19,0),IF(AND(L19&gt;X19,L19&lt;Y19),L19,0),IF(AND(M19&gt;X19,M19&lt;Y19),M19,0),IF(AND(N19&gt;X19,N19&lt;Y19),N19,0),IF(AND(O19&gt;X19,O19&lt;Y19),O19,0),IF(AND(P19&gt;X19,P19&lt;Y19),P19,0),IF(AND(Q19&gt;X19,Q19&lt;Y19),Q19,0),IF(AND(R19&gt;X19,R19&lt;Y19),R19,0),IF(AND(S19&gt;X19,S19&lt;Y19),S19,0)))</f>
        <v/>
      </c>
      <c r="AC19" s="172" t="str">
        <f t="shared" ref="AC19:AC82" si="22">IF(COUNT(E19:S19)=0,"",POWER(40*SQRT(SUM(IF(AND(E19&gt;X19,E19&lt;Y19),1,0),IF(AND(F19&gt;X19,F19&lt;Y19),1,0),IF(AND(G19&gt;X19,G19&lt;Y19),1,0),IF(AND(H19&gt;X19,H19&lt;Y19),1,0),IF(AND(I19&gt;X19,I19&lt;Y19),1,0),IF(AND(J19&gt;X19,J19&lt;Y19),1,0),IF(AND(K19&gt;X19,K19&lt;Y19),1,0),IF(AND(L19&gt;X19,L19&lt;Y19),1,0),IF(AND(M19&gt;X19,M19&lt;Y19),1,0),IF(AND(N19&gt;X19,N19&lt;Y19),1,0),IF(AND(O19&gt;X19,O19&lt;Y19),1,0),IF(AND(P19&gt;X19,P19&lt;Y19),1,0),IF(AND(Q19&gt;X19,Q19&lt;Y19),1,0),IF(AND(R19&gt;X19,R19&lt;Y19),1,0),IF(AND(S19&gt;X19,S19&lt;Y19),1,0))*AB19-POWER(AA19,2))/AA19,2))</f>
        <v/>
      </c>
      <c r="AD19" s="151">
        <v>14</v>
      </c>
      <c r="AE19" s="173" t="str">
        <f t="shared" ca="1" si="4"/>
        <v/>
      </c>
      <c r="AF19" s="173" t="str">
        <f t="shared" ca="1" si="0"/>
        <v/>
      </c>
      <c r="AG19" s="173" t="str">
        <f t="shared" ca="1" si="0"/>
        <v/>
      </c>
      <c r="AH19" s="173" t="str">
        <f t="shared" ca="1" si="0"/>
        <v/>
      </c>
      <c r="AI19" s="173" t="str">
        <f t="shared" ca="1" si="0"/>
        <v/>
      </c>
      <c r="AJ19" s="173" t="str">
        <f t="shared" ca="1" si="0"/>
        <v/>
      </c>
      <c r="AK19" s="173" t="str">
        <f t="shared" ca="1" si="0"/>
        <v/>
      </c>
      <c r="AL19" s="173" t="str">
        <f t="shared" ca="1" si="0"/>
        <v/>
      </c>
      <c r="AM19" s="173" t="str">
        <f t="shared" ca="1" si="0"/>
        <v/>
      </c>
      <c r="AN19" s="173" t="str">
        <f t="shared" ca="1" si="0"/>
        <v/>
      </c>
      <c r="AO19" s="173" t="str">
        <f t="shared" ca="1" si="0"/>
        <v/>
      </c>
      <c r="AP19" s="173" t="str">
        <f t="shared" ca="1" si="0"/>
        <v/>
      </c>
      <c r="AQ19" s="173" t="str">
        <f t="shared" ca="1" si="0"/>
        <v/>
      </c>
      <c r="AR19" s="173" t="str">
        <f t="shared" ca="1" si="0"/>
        <v/>
      </c>
      <c r="AS19" s="173" t="str">
        <f t="shared" ca="1" si="0"/>
        <v/>
      </c>
      <c r="AT19" s="151">
        <v>14</v>
      </c>
      <c r="AU19" s="174" t="str">
        <f t="shared" ca="1" si="5"/>
        <v/>
      </c>
      <c r="AV19" s="175" t="str">
        <f t="shared" ca="1" si="6"/>
        <v/>
      </c>
      <c r="AW19" s="175" t="str">
        <f t="shared" ca="1" si="7"/>
        <v/>
      </c>
      <c r="AX19" s="176" t="str">
        <f t="shared" ca="1" si="8"/>
        <v/>
      </c>
    </row>
    <row r="20" spans="1:50" ht="15">
      <c r="A20" s="263"/>
      <c r="B20" s="244"/>
      <c r="C20" s="244"/>
      <c r="D20" s="177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70" t="str">
        <f t="shared" si="16"/>
        <v/>
      </c>
      <c r="U20" s="170" t="str">
        <f t="shared" si="17"/>
        <v/>
      </c>
      <c r="V20" s="170" t="str">
        <f t="shared" si="18"/>
        <v/>
      </c>
      <c r="W20" s="170" t="str">
        <f t="shared" si="19"/>
        <v/>
      </c>
      <c r="X20" s="170" t="str">
        <f t="shared" si="1"/>
        <v/>
      </c>
      <c r="Y20" s="170" t="str">
        <f t="shared" si="2"/>
        <v/>
      </c>
      <c r="Z20" s="170" t="str">
        <f t="shared" si="3"/>
        <v/>
      </c>
      <c r="AA20" s="170" t="str">
        <f t="shared" si="20"/>
        <v/>
      </c>
      <c r="AB20" s="170" t="str">
        <f t="shared" si="21"/>
        <v/>
      </c>
      <c r="AC20" s="172" t="str">
        <f t="shared" si="22"/>
        <v/>
      </c>
      <c r="AD20" s="151">
        <v>15</v>
      </c>
      <c r="AE20" s="173" t="str">
        <f t="shared" ca="1" si="4"/>
        <v/>
      </c>
      <c r="AF20" s="173" t="str">
        <f t="shared" ca="1" si="0"/>
        <v/>
      </c>
      <c r="AG20" s="173" t="str">
        <f t="shared" ca="1" si="0"/>
        <v/>
      </c>
      <c r="AH20" s="173" t="str">
        <f t="shared" ca="1" si="0"/>
        <v/>
      </c>
      <c r="AI20" s="173" t="str">
        <f t="shared" ca="1" si="0"/>
        <v/>
      </c>
      <c r="AJ20" s="173" t="str">
        <f t="shared" ca="1" si="0"/>
        <v/>
      </c>
      <c r="AK20" s="173" t="str">
        <f t="shared" ca="1" si="0"/>
        <v/>
      </c>
      <c r="AL20" s="173" t="str">
        <f t="shared" ca="1" si="0"/>
        <v/>
      </c>
      <c r="AM20" s="173" t="str">
        <f t="shared" ca="1" si="0"/>
        <v/>
      </c>
      <c r="AN20" s="173" t="str">
        <f t="shared" ca="1" si="0"/>
        <v/>
      </c>
      <c r="AO20" s="173" t="str">
        <f t="shared" ca="1" si="0"/>
        <v/>
      </c>
      <c r="AP20" s="173" t="str">
        <f t="shared" ca="1" si="0"/>
        <v/>
      </c>
      <c r="AQ20" s="173" t="str">
        <f t="shared" ca="1" si="0"/>
        <v/>
      </c>
      <c r="AR20" s="173" t="str">
        <f t="shared" ca="1" si="0"/>
        <v/>
      </c>
      <c r="AS20" s="173" t="str">
        <f t="shared" ca="1" si="0"/>
        <v/>
      </c>
      <c r="AT20" s="151">
        <v>15</v>
      </c>
      <c r="AU20" s="174" t="str">
        <f t="shared" ca="1" si="5"/>
        <v/>
      </c>
      <c r="AV20" s="175" t="str">
        <f t="shared" ca="1" si="6"/>
        <v/>
      </c>
      <c r="AW20" s="175" t="str">
        <f t="shared" ca="1" si="7"/>
        <v/>
      </c>
      <c r="AX20" s="176" t="str">
        <f t="shared" ca="1" si="8"/>
        <v/>
      </c>
    </row>
    <row r="21" spans="1:50" ht="15">
      <c r="A21" s="263"/>
      <c r="B21" s="245"/>
      <c r="C21" s="245"/>
      <c r="D21" s="177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70" t="str">
        <f t="shared" si="16"/>
        <v/>
      </c>
      <c r="U21" s="170" t="str">
        <f t="shared" si="17"/>
        <v/>
      </c>
      <c r="V21" s="170" t="str">
        <f t="shared" si="18"/>
        <v/>
      </c>
      <c r="W21" s="170" t="str">
        <f t="shared" si="19"/>
        <v/>
      </c>
      <c r="X21" s="170" t="str">
        <f t="shared" si="1"/>
        <v/>
      </c>
      <c r="Y21" s="170" t="str">
        <f t="shared" si="2"/>
        <v/>
      </c>
      <c r="Z21" s="170"/>
      <c r="AA21" s="170" t="str">
        <f t="shared" si="20"/>
        <v/>
      </c>
      <c r="AB21" s="170" t="str">
        <f t="shared" si="21"/>
        <v/>
      </c>
      <c r="AC21" s="172" t="str">
        <f t="shared" si="22"/>
        <v/>
      </c>
      <c r="AD21" s="151">
        <v>16</v>
      </c>
      <c r="AE21" s="173" t="str">
        <f t="shared" ca="1" si="4"/>
        <v/>
      </c>
      <c r="AF21" s="173" t="str">
        <f t="shared" ca="1" si="0"/>
        <v/>
      </c>
      <c r="AG21" s="173" t="str">
        <f t="shared" ca="1" si="0"/>
        <v/>
      </c>
      <c r="AH21" s="173" t="str">
        <f t="shared" ca="1" si="0"/>
        <v/>
      </c>
      <c r="AI21" s="173" t="str">
        <f t="shared" ca="1" si="0"/>
        <v/>
      </c>
      <c r="AJ21" s="173" t="str">
        <f t="shared" ca="1" si="0"/>
        <v/>
      </c>
      <c r="AK21" s="173" t="str">
        <f t="shared" ca="1" si="0"/>
        <v/>
      </c>
      <c r="AL21" s="173" t="str">
        <f t="shared" ca="1" si="0"/>
        <v/>
      </c>
      <c r="AM21" s="173" t="str">
        <f t="shared" ca="1" si="0"/>
        <v/>
      </c>
      <c r="AN21" s="173" t="str">
        <f t="shared" ca="1" si="0"/>
        <v/>
      </c>
      <c r="AO21" s="173" t="str">
        <f t="shared" ca="1" si="0"/>
        <v/>
      </c>
      <c r="AP21" s="173" t="str">
        <f t="shared" ca="1" si="0"/>
        <v/>
      </c>
      <c r="AQ21" s="173" t="str">
        <f t="shared" ca="1" si="0"/>
        <v/>
      </c>
      <c r="AR21" s="173" t="str">
        <f t="shared" ca="1" si="0"/>
        <v/>
      </c>
      <c r="AS21" s="173" t="str">
        <f t="shared" ca="1" si="0"/>
        <v/>
      </c>
      <c r="AT21" s="151">
        <v>16</v>
      </c>
      <c r="AU21" s="174" t="str">
        <f t="shared" ca="1" si="5"/>
        <v/>
      </c>
      <c r="AV21" s="175" t="str">
        <f t="shared" ca="1" si="6"/>
        <v/>
      </c>
      <c r="AW21" s="175" t="str">
        <f t="shared" ca="1" si="7"/>
        <v/>
      </c>
      <c r="AX21" s="176" t="str">
        <f t="shared" ca="1" si="8"/>
        <v/>
      </c>
    </row>
    <row r="22" spans="1:50" ht="15" customHeight="1">
      <c r="A22" s="263">
        <v>3</v>
      </c>
      <c r="B22" s="252"/>
      <c r="C22" s="243"/>
      <c r="D22" s="168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70" t="str">
        <f t="shared" si="16"/>
        <v/>
      </c>
      <c r="U22" s="170" t="str">
        <f t="shared" si="17"/>
        <v/>
      </c>
      <c r="V22" s="170" t="str">
        <f t="shared" si="18"/>
        <v/>
      </c>
      <c r="W22" s="170" t="str">
        <f t="shared" si="19"/>
        <v/>
      </c>
      <c r="X22" s="170" t="str">
        <f t="shared" si="1"/>
        <v/>
      </c>
      <c r="Y22" s="170" t="str">
        <f t="shared" si="2"/>
        <v/>
      </c>
      <c r="Z22" s="170" t="str">
        <f t="shared" si="3"/>
        <v/>
      </c>
      <c r="AA22" s="170" t="str">
        <f t="shared" si="20"/>
        <v/>
      </c>
      <c r="AB22" s="170" t="str">
        <f t="shared" si="21"/>
        <v/>
      </c>
      <c r="AC22" s="172" t="str">
        <f t="shared" si="22"/>
        <v/>
      </c>
      <c r="AD22" s="151">
        <v>17</v>
      </c>
      <c r="AE22" s="173" t="str">
        <f t="shared" ca="1" si="4"/>
        <v/>
      </c>
      <c r="AF22" s="173" t="str">
        <f t="shared" ca="1" si="4"/>
        <v/>
      </c>
      <c r="AG22" s="173" t="str">
        <f t="shared" ca="1" si="4"/>
        <v/>
      </c>
      <c r="AH22" s="173" t="str">
        <f t="shared" ca="1" si="4"/>
        <v/>
      </c>
      <c r="AI22" s="173" t="str">
        <f t="shared" ca="1" si="4"/>
        <v/>
      </c>
      <c r="AJ22" s="173" t="str">
        <f t="shared" ca="1" si="4"/>
        <v/>
      </c>
      <c r="AK22" s="173" t="str">
        <f t="shared" ca="1" si="4"/>
        <v/>
      </c>
      <c r="AL22" s="173" t="str">
        <f t="shared" ca="1" si="4"/>
        <v/>
      </c>
      <c r="AM22" s="173" t="str">
        <f t="shared" ca="1" si="4"/>
        <v/>
      </c>
      <c r="AN22" s="173" t="str">
        <f t="shared" ca="1" si="4"/>
        <v/>
      </c>
      <c r="AO22" s="173" t="str">
        <f t="shared" ca="1" si="4"/>
        <v/>
      </c>
      <c r="AP22" s="173" t="str">
        <f t="shared" ca="1" si="4"/>
        <v/>
      </c>
      <c r="AQ22" s="173" t="str">
        <f t="shared" ca="1" si="4"/>
        <v/>
      </c>
      <c r="AR22" s="173" t="str">
        <f t="shared" ca="1" si="4"/>
        <v/>
      </c>
      <c r="AS22" s="173" t="str">
        <f t="shared" ca="1" si="4"/>
        <v/>
      </c>
      <c r="AT22" s="151">
        <v>17</v>
      </c>
      <c r="AU22" s="174" t="str">
        <f t="shared" ca="1" si="5"/>
        <v/>
      </c>
      <c r="AV22" s="175" t="str">
        <f t="shared" ca="1" si="6"/>
        <v/>
      </c>
      <c r="AW22" s="175" t="str">
        <f t="shared" ca="1" si="7"/>
        <v/>
      </c>
      <c r="AX22" s="176" t="str">
        <f t="shared" ca="1" si="8"/>
        <v/>
      </c>
    </row>
    <row r="23" spans="1:50" ht="15">
      <c r="A23" s="263"/>
      <c r="B23" s="244"/>
      <c r="C23" s="244"/>
      <c r="D23" s="168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70" t="str">
        <f t="shared" si="16"/>
        <v/>
      </c>
      <c r="U23" s="170" t="str">
        <f t="shared" si="17"/>
        <v/>
      </c>
      <c r="V23" s="170" t="str">
        <f t="shared" si="18"/>
        <v/>
      </c>
      <c r="W23" s="170" t="str">
        <f t="shared" si="19"/>
        <v/>
      </c>
      <c r="X23" s="170" t="str">
        <f t="shared" si="1"/>
        <v/>
      </c>
      <c r="Y23" s="170" t="str">
        <f t="shared" si="2"/>
        <v/>
      </c>
      <c r="Z23" s="170" t="str">
        <f t="shared" si="3"/>
        <v/>
      </c>
      <c r="AA23" s="170" t="str">
        <f t="shared" si="20"/>
        <v/>
      </c>
      <c r="AB23" s="170" t="str">
        <f t="shared" si="21"/>
        <v/>
      </c>
      <c r="AC23" s="172" t="str">
        <f t="shared" si="22"/>
        <v/>
      </c>
      <c r="AD23" s="151">
        <v>18</v>
      </c>
      <c r="AE23" s="173" t="str">
        <f t="shared" ca="1" si="4"/>
        <v/>
      </c>
      <c r="AF23" s="173" t="str">
        <f t="shared" ca="1" si="4"/>
        <v/>
      </c>
      <c r="AG23" s="173" t="str">
        <f t="shared" ca="1" si="4"/>
        <v/>
      </c>
      <c r="AH23" s="173" t="str">
        <f t="shared" ca="1" si="4"/>
        <v/>
      </c>
      <c r="AI23" s="173" t="str">
        <f t="shared" ca="1" si="4"/>
        <v/>
      </c>
      <c r="AJ23" s="173" t="str">
        <f t="shared" ca="1" si="4"/>
        <v/>
      </c>
      <c r="AK23" s="173" t="str">
        <f t="shared" ca="1" si="4"/>
        <v/>
      </c>
      <c r="AL23" s="173" t="str">
        <f t="shared" ca="1" si="4"/>
        <v/>
      </c>
      <c r="AM23" s="173" t="str">
        <f t="shared" ca="1" si="4"/>
        <v/>
      </c>
      <c r="AN23" s="173" t="str">
        <f t="shared" ca="1" si="4"/>
        <v/>
      </c>
      <c r="AO23" s="173" t="str">
        <f t="shared" ca="1" si="4"/>
        <v/>
      </c>
      <c r="AP23" s="173" t="str">
        <f t="shared" ca="1" si="4"/>
        <v/>
      </c>
      <c r="AQ23" s="173" t="str">
        <f t="shared" ca="1" si="4"/>
        <v/>
      </c>
      <c r="AR23" s="173" t="str">
        <f t="shared" ca="1" si="4"/>
        <v/>
      </c>
      <c r="AS23" s="173" t="str">
        <f t="shared" ca="1" si="4"/>
        <v/>
      </c>
      <c r="AT23" s="151">
        <v>18</v>
      </c>
      <c r="AU23" s="174" t="str">
        <f t="shared" ca="1" si="5"/>
        <v/>
      </c>
      <c r="AV23" s="175" t="str">
        <f t="shared" ca="1" si="6"/>
        <v/>
      </c>
      <c r="AW23" s="175" t="str">
        <f t="shared" ca="1" si="7"/>
        <v/>
      </c>
      <c r="AX23" s="176" t="str">
        <f t="shared" ca="1" si="8"/>
        <v/>
      </c>
    </row>
    <row r="24" spans="1:50" ht="15">
      <c r="A24" s="263"/>
      <c r="B24" s="244"/>
      <c r="C24" s="244"/>
      <c r="D24" s="168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70" t="str">
        <f t="shared" si="16"/>
        <v/>
      </c>
      <c r="U24" s="170" t="str">
        <f t="shared" si="17"/>
        <v/>
      </c>
      <c r="V24" s="170" t="str">
        <f t="shared" si="18"/>
        <v/>
      </c>
      <c r="W24" s="170" t="str">
        <f t="shared" si="19"/>
        <v/>
      </c>
      <c r="X24" s="170" t="str">
        <f t="shared" si="1"/>
        <v/>
      </c>
      <c r="Y24" s="170" t="str">
        <f t="shared" si="2"/>
        <v/>
      </c>
      <c r="Z24" s="170" t="str">
        <f t="shared" si="3"/>
        <v/>
      </c>
      <c r="AA24" s="170" t="str">
        <f t="shared" si="20"/>
        <v/>
      </c>
      <c r="AB24" s="170" t="str">
        <f t="shared" si="21"/>
        <v/>
      </c>
      <c r="AC24" s="172" t="str">
        <f t="shared" si="22"/>
        <v/>
      </c>
      <c r="AD24" s="151">
        <v>19</v>
      </c>
      <c r="AE24" s="173" t="str">
        <f t="shared" ca="1" si="4"/>
        <v/>
      </c>
      <c r="AF24" s="173" t="str">
        <f t="shared" ca="1" si="4"/>
        <v/>
      </c>
      <c r="AG24" s="173" t="str">
        <f t="shared" ca="1" si="4"/>
        <v/>
      </c>
      <c r="AH24" s="173" t="str">
        <f t="shared" ca="1" si="4"/>
        <v/>
      </c>
      <c r="AI24" s="173" t="str">
        <f t="shared" ca="1" si="4"/>
        <v/>
      </c>
      <c r="AJ24" s="173" t="str">
        <f t="shared" ca="1" si="4"/>
        <v/>
      </c>
      <c r="AK24" s="173" t="str">
        <f t="shared" ca="1" si="4"/>
        <v/>
      </c>
      <c r="AL24" s="173" t="str">
        <f t="shared" ca="1" si="4"/>
        <v/>
      </c>
      <c r="AM24" s="173" t="str">
        <f t="shared" ca="1" si="4"/>
        <v/>
      </c>
      <c r="AN24" s="173" t="str">
        <f t="shared" ca="1" si="4"/>
        <v/>
      </c>
      <c r="AO24" s="173" t="str">
        <f t="shared" ca="1" si="4"/>
        <v/>
      </c>
      <c r="AP24" s="173" t="str">
        <f t="shared" ca="1" si="4"/>
        <v/>
      </c>
      <c r="AQ24" s="173" t="str">
        <f t="shared" ca="1" si="4"/>
        <v/>
      </c>
      <c r="AR24" s="173" t="str">
        <f t="shared" ca="1" si="4"/>
        <v/>
      </c>
      <c r="AS24" s="173" t="str">
        <f t="shared" ca="1" si="4"/>
        <v/>
      </c>
      <c r="AT24" s="151">
        <v>19</v>
      </c>
      <c r="AU24" s="174" t="str">
        <f t="shared" ca="1" si="5"/>
        <v/>
      </c>
      <c r="AV24" s="175" t="str">
        <f t="shared" ca="1" si="6"/>
        <v/>
      </c>
      <c r="AW24" s="175" t="str">
        <f t="shared" ca="1" si="7"/>
        <v/>
      </c>
      <c r="AX24" s="176" t="str">
        <f t="shared" ca="1" si="8"/>
        <v/>
      </c>
    </row>
    <row r="25" spans="1:50" ht="15">
      <c r="A25" s="263"/>
      <c r="B25" s="244"/>
      <c r="C25" s="244"/>
      <c r="D25" s="168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70" t="str">
        <f t="shared" si="16"/>
        <v/>
      </c>
      <c r="U25" s="170" t="str">
        <f t="shared" si="17"/>
        <v/>
      </c>
      <c r="V25" s="170" t="str">
        <f t="shared" si="18"/>
        <v/>
      </c>
      <c r="W25" s="170" t="str">
        <f t="shared" si="19"/>
        <v/>
      </c>
      <c r="X25" s="170" t="str">
        <f t="shared" si="1"/>
        <v/>
      </c>
      <c r="Y25" s="170" t="str">
        <f t="shared" si="2"/>
        <v/>
      </c>
      <c r="Z25" s="170" t="str">
        <f t="shared" si="3"/>
        <v/>
      </c>
      <c r="AA25" s="170" t="str">
        <f t="shared" si="20"/>
        <v/>
      </c>
      <c r="AB25" s="170" t="str">
        <f t="shared" si="21"/>
        <v/>
      </c>
      <c r="AC25" s="172" t="str">
        <f t="shared" si="22"/>
        <v/>
      </c>
      <c r="AD25" s="151">
        <v>20</v>
      </c>
      <c r="AE25" s="173" t="str">
        <f t="shared" ca="1" si="4"/>
        <v/>
      </c>
      <c r="AF25" s="173" t="str">
        <f t="shared" ca="1" si="4"/>
        <v/>
      </c>
      <c r="AG25" s="173" t="str">
        <f t="shared" ca="1" si="4"/>
        <v/>
      </c>
      <c r="AH25" s="173" t="str">
        <f t="shared" ca="1" si="4"/>
        <v/>
      </c>
      <c r="AI25" s="173" t="str">
        <f t="shared" ca="1" si="4"/>
        <v/>
      </c>
      <c r="AJ25" s="173" t="str">
        <f t="shared" ca="1" si="4"/>
        <v/>
      </c>
      <c r="AK25" s="173" t="str">
        <f t="shared" ca="1" si="4"/>
        <v/>
      </c>
      <c r="AL25" s="173" t="str">
        <f t="shared" ca="1" si="4"/>
        <v/>
      </c>
      <c r="AM25" s="173" t="str">
        <f t="shared" ca="1" si="4"/>
        <v/>
      </c>
      <c r="AN25" s="173" t="str">
        <f t="shared" ca="1" si="4"/>
        <v/>
      </c>
      <c r="AO25" s="173" t="str">
        <f t="shared" ca="1" si="4"/>
        <v/>
      </c>
      <c r="AP25" s="173" t="str">
        <f t="shared" ca="1" si="4"/>
        <v/>
      </c>
      <c r="AQ25" s="173" t="str">
        <f t="shared" ca="1" si="4"/>
        <v/>
      </c>
      <c r="AR25" s="173" t="str">
        <f t="shared" ca="1" si="4"/>
        <v/>
      </c>
      <c r="AS25" s="173" t="str">
        <f t="shared" ca="1" si="4"/>
        <v/>
      </c>
      <c r="AT25" s="151">
        <v>20</v>
      </c>
      <c r="AU25" s="174" t="str">
        <f t="shared" ca="1" si="5"/>
        <v/>
      </c>
      <c r="AV25" s="175" t="str">
        <f t="shared" ca="1" si="6"/>
        <v/>
      </c>
      <c r="AW25" s="175" t="str">
        <f t="shared" ca="1" si="7"/>
        <v/>
      </c>
      <c r="AX25" s="176" t="str">
        <f t="shared" ca="1" si="8"/>
        <v/>
      </c>
    </row>
    <row r="26" spans="1:50" ht="15">
      <c r="A26" s="263"/>
      <c r="B26" s="244"/>
      <c r="C26" s="244"/>
      <c r="D26" s="168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70" t="str">
        <f t="shared" si="16"/>
        <v/>
      </c>
      <c r="U26" s="170" t="str">
        <f t="shared" si="17"/>
        <v/>
      </c>
      <c r="V26" s="170" t="str">
        <f t="shared" si="18"/>
        <v/>
      </c>
      <c r="W26" s="170" t="str">
        <f t="shared" si="19"/>
        <v/>
      </c>
      <c r="X26" s="170" t="str">
        <f t="shared" si="1"/>
        <v/>
      </c>
      <c r="Y26" s="170" t="str">
        <f t="shared" si="2"/>
        <v/>
      </c>
      <c r="Z26" s="170" t="str">
        <f t="shared" si="3"/>
        <v/>
      </c>
      <c r="AA26" s="170" t="str">
        <f t="shared" si="20"/>
        <v/>
      </c>
      <c r="AB26" s="170" t="str">
        <f t="shared" si="21"/>
        <v/>
      </c>
      <c r="AC26" s="172" t="str">
        <f t="shared" si="22"/>
        <v/>
      </c>
      <c r="AD26" s="151">
        <v>21</v>
      </c>
      <c r="AE26" s="173" t="str">
        <f t="shared" ca="1" si="4"/>
        <v/>
      </c>
      <c r="AF26" s="173" t="str">
        <f t="shared" ca="1" si="4"/>
        <v/>
      </c>
      <c r="AG26" s="173" t="str">
        <f t="shared" ca="1" si="4"/>
        <v/>
      </c>
      <c r="AH26" s="173" t="str">
        <f t="shared" ca="1" si="4"/>
        <v/>
      </c>
      <c r="AI26" s="173" t="str">
        <f t="shared" ca="1" si="4"/>
        <v/>
      </c>
      <c r="AJ26" s="173" t="str">
        <f t="shared" ca="1" si="4"/>
        <v/>
      </c>
      <c r="AK26" s="173" t="str">
        <f t="shared" ca="1" si="4"/>
        <v/>
      </c>
      <c r="AL26" s="173" t="str">
        <f t="shared" ca="1" si="4"/>
        <v/>
      </c>
      <c r="AM26" s="173" t="str">
        <f t="shared" ca="1" si="4"/>
        <v/>
      </c>
      <c r="AN26" s="173" t="str">
        <f t="shared" ca="1" si="4"/>
        <v/>
      </c>
      <c r="AO26" s="173" t="str">
        <f t="shared" ca="1" si="4"/>
        <v/>
      </c>
      <c r="AP26" s="173" t="str">
        <f t="shared" ca="1" si="4"/>
        <v/>
      </c>
      <c r="AQ26" s="173" t="str">
        <f t="shared" ca="1" si="4"/>
        <v/>
      </c>
      <c r="AR26" s="173" t="str">
        <f t="shared" ca="1" si="4"/>
        <v/>
      </c>
      <c r="AS26" s="173" t="str">
        <f t="shared" ca="1" si="4"/>
        <v/>
      </c>
      <c r="AT26" s="151">
        <v>21</v>
      </c>
      <c r="AU26" s="174" t="str">
        <f t="shared" ca="1" si="5"/>
        <v/>
      </c>
      <c r="AV26" s="175" t="str">
        <f t="shared" ca="1" si="6"/>
        <v/>
      </c>
      <c r="AW26" s="175" t="str">
        <f t="shared" ca="1" si="7"/>
        <v/>
      </c>
      <c r="AX26" s="176" t="str">
        <f t="shared" ca="1" si="8"/>
        <v/>
      </c>
    </row>
    <row r="27" spans="1:50" ht="15">
      <c r="A27" s="263"/>
      <c r="B27" s="244"/>
      <c r="C27" s="244"/>
      <c r="D27" s="168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70" t="str">
        <f t="shared" si="16"/>
        <v/>
      </c>
      <c r="U27" s="170" t="str">
        <f t="shared" si="17"/>
        <v/>
      </c>
      <c r="V27" s="170" t="str">
        <f t="shared" si="18"/>
        <v/>
      </c>
      <c r="W27" s="170" t="str">
        <f t="shared" si="19"/>
        <v/>
      </c>
      <c r="X27" s="170" t="str">
        <f t="shared" si="1"/>
        <v/>
      </c>
      <c r="Y27" s="170" t="str">
        <f t="shared" si="2"/>
        <v/>
      </c>
      <c r="Z27" s="170" t="str">
        <f t="shared" si="3"/>
        <v/>
      </c>
      <c r="AA27" s="170" t="str">
        <f t="shared" si="20"/>
        <v/>
      </c>
      <c r="AB27" s="170" t="str">
        <f t="shared" si="21"/>
        <v/>
      </c>
      <c r="AC27" s="172" t="str">
        <f t="shared" si="22"/>
        <v/>
      </c>
      <c r="AD27" s="151">
        <v>22</v>
      </c>
      <c r="AE27" s="173" t="str">
        <f t="shared" ca="1" si="4"/>
        <v/>
      </c>
      <c r="AF27" s="173" t="str">
        <f t="shared" ca="1" si="4"/>
        <v/>
      </c>
      <c r="AG27" s="173" t="str">
        <f t="shared" ca="1" si="4"/>
        <v/>
      </c>
      <c r="AH27" s="173" t="str">
        <f t="shared" ca="1" si="4"/>
        <v/>
      </c>
      <c r="AI27" s="173" t="str">
        <f t="shared" ca="1" si="4"/>
        <v/>
      </c>
      <c r="AJ27" s="173" t="str">
        <f t="shared" ca="1" si="4"/>
        <v/>
      </c>
      <c r="AK27" s="173" t="str">
        <f t="shared" ca="1" si="4"/>
        <v/>
      </c>
      <c r="AL27" s="173" t="str">
        <f t="shared" ca="1" si="4"/>
        <v/>
      </c>
      <c r="AM27" s="173" t="str">
        <f t="shared" ca="1" si="4"/>
        <v/>
      </c>
      <c r="AN27" s="173" t="str">
        <f t="shared" ca="1" si="4"/>
        <v/>
      </c>
      <c r="AO27" s="173" t="str">
        <f t="shared" ca="1" si="4"/>
        <v/>
      </c>
      <c r="AP27" s="173" t="str">
        <f t="shared" ca="1" si="4"/>
        <v/>
      </c>
      <c r="AQ27" s="173" t="str">
        <f t="shared" ca="1" si="4"/>
        <v/>
      </c>
      <c r="AR27" s="173" t="str">
        <f t="shared" ca="1" si="4"/>
        <v/>
      </c>
      <c r="AS27" s="173" t="str">
        <f t="shared" ca="1" si="4"/>
        <v/>
      </c>
      <c r="AT27" s="151">
        <v>22</v>
      </c>
      <c r="AU27" s="174" t="str">
        <f t="shared" ca="1" si="5"/>
        <v/>
      </c>
      <c r="AV27" s="175" t="str">
        <f t="shared" ca="1" si="6"/>
        <v/>
      </c>
      <c r="AW27" s="175" t="str">
        <f t="shared" ca="1" si="7"/>
        <v/>
      </c>
      <c r="AX27" s="176" t="str">
        <f t="shared" ca="1" si="8"/>
        <v/>
      </c>
    </row>
    <row r="28" spans="1:50" ht="15">
      <c r="A28" s="263"/>
      <c r="B28" s="244"/>
      <c r="C28" s="244"/>
      <c r="D28" s="177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70" t="str">
        <f t="shared" si="16"/>
        <v/>
      </c>
      <c r="U28" s="170" t="str">
        <f t="shared" si="17"/>
        <v/>
      </c>
      <c r="V28" s="170" t="str">
        <f t="shared" si="18"/>
        <v/>
      </c>
      <c r="W28" s="170" t="str">
        <f t="shared" si="19"/>
        <v/>
      </c>
      <c r="X28" s="170" t="str">
        <f t="shared" si="1"/>
        <v/>
      </c>
      <c r="Y28" s="170" t="str">
        <f t="shared" si="2"/>
        <v/>
      </c>
      <c r="Z28" s="170" t="str">
        <f t="shared" si="3"/>
        <v/>
      </c>
      <c r="AA28" s="170" t="str">
        <f t="shared" si="20"/>
        <v/>
      </c>
      <c r="AB28" s="170" t="str">
        <f t="shared" si="21"/>
        <v/>
      </c>
      <c r="AC28" s="172" t="str">
        <f t="shared" si="22"/>
        <v/>
      </c>
      <c r="AD28" s="151">
        <v>23</v>
      </c>
      <c r="AE28" s="173" t="str">
        <f t="shared" ca="1" si="4"/>
        <v/>
      </c>
      <c r="AF28" s="173" t="str">
        <f t="shared" ca="1" si="4"/>
        <v/>
      </c>
      <c r="AG28" s="173" t="str">
        <f t="shared" ca="1" si="4"/>
        <v/>
      </c>
      <c r="AH28" s="173" t="str">
        <f t="shared" ca="1" si="4"/>
        <v/>
      </c>
      <c r="AI28" s="173" t="str">
        <f t="shared" ca="1" si="4"/>
        <v/>
      </c>
      <c r="AJ28" s="173" t="str">
        <f t="shared" ca="1" si="4"/>
        <v/>
      </c>
      <c r="AK28" s="173" t="str">
        <f t="shared" ca="1" si="4"/>
        <v/>
      </c>
      <c r="AL28" s="173" t="str">
        <f t="shared" ca="1" si="4"/>
        <v/>
      </c>
      <c r="AM28" s="173" t="str">
        <f t="shared" ca="1" si="4"/>
        <v/>
      </c>
      <c r="AN28" s="173" t="str">
        <f t="shared" ca="1" si="4"/>
        <v/>
      </c>
      <c r="AO28" s="173" t="str">
        <f t="shared" ca="1" si="4"/>
        <v/>
      </c>
      <c r="AP28" s="173" t="str">
        <f t="shared" ca="1" si="4"/>
        <v/>
      </c>
      <c r="AQ28" s="173" t="str">
        <f t="shared" ca="1" si="4"/>
        <v/>
      </c>
      <c r="AR28" s="173" t="str">
        <f t="shared" ca="1" si="4"/>
        <v/>
      </c>
      <c r="AS28" s="173" t="str">
        <f t="shared" ca="1" si="4"/>
        <v/>
      </c>
      <c r="AT28" s="151">
        <v>23</v>
      </c>
      <c r="AU28" s="174" t="str">
        <f t="shared" ca="1" si="5"/>
        <v/>
      </c>
      <c r="AV28" s="175" t="str">
        <f t="shared" ca="1" si="6"/>
        <v/>
      </c>
      <c r="AW28" s="175" t="str">
        <f t="shared" ca="1" si="7"/>
        <v/>
      </c>
      <c r="AX28" s="176" t="str">
        <f t="shared" ca="1" si="8"/>
        <v/>
      </c>
    </row>
    <row r="29" spans="1:50" ht="15">
      <c r="A29" s="263"/>
      <c r="B29" s="245"/>
      <c r="C29" s="245"/>
      <c r="D29" s="177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70" t="str">
        <f t="shared" si="16"/>
        <v/>
      </c>
      <c r="U29" s="170" t="str">
        <f t="shared" si="17"/>
        <v/>
      </c>
      <c r="V29" s="170" t="str">
        <f t="shared" si="18"/>
        <v/>
      </c>
      <c r="W29" s="170" t="str">
        <f t="shared" si="19"/>
        <v/>
      </c>
      <c r="X29" s="170" t="str">
        <f t="shared" si="1"/>
        <v/>
      </c>
      <c r="Y29" s="170" t="str">
        <f t="shared" si="2"/>
        <v/>
      </c>
      <c r="Z29" s="170"/>
      <c r="AA29" s="170" t="str">
        <f t="shared" si="20"/>
        <v/>
      </c>
      <c r="AB29" s="170" t="str">
        <f t="shared" si="21"/>
        <v/>
      </c>
      <c r="AC29" s="172" t="str">
        <f t="shared" si="22"/>
        <v/>
      </c>
      <c r="AD29" s="151">
        <v>24</v>
      </c>
      <c r="AE29" s="173" t="str">
        <f t="shared" ca="1" si="4"/>
        <v/>
      </c>
      <c r="AF29" s="173" t="str">
        <f t="shared" ca="1" si="4"/>
        <v/>
      </c>
      <c r="AG29" s="173" t="str">
        <f t="shared" ca="1" si="4"/>
        <v/>
      </c>
      <c r="AH29" s="173" t="str">
        <f t="shared" ca="1" si="4"/>
        <v/>
      </c>
      <c r="AI29" s="173" t="str">
        <f t="shared" ca="1" si="4"/>
        <v/>
      </c>
      <c r="AJ29" s="173" t="str">
        <f t="shared" ca="1" si="4"/>
        <v/>
      </c>
      <c r="AK29" s="173" t="str">
        <f t="shared" ca="1" si="4"/>
        <v/>
      </c>
      <c r="AL29" s="173" t="str">
        <f t="shared" ca="1" si="4"/>
        <v/>
      </c>
      <c r="AM29" s="173" t="str">
        <f t="shared" ca="1" si="4"/>
        <v/>
      </c>
      <c r="AN29" s="173" t="str">
        <f t="shared" ca="1" si="4"/>
        <v/>
      </c>
      <c r="AO29" s="173" t="str">
        <f t="shared" ca="1" si="4"/>
        <v/>
      </c>
      <c r="AP29" s="173" t="str">
        <f t="shared" ca="1" si="4"/>
        <v/>
      </c>
      <c r="AQ29" s="173" t="str">
        <f t="shared" ca="1" si="4"/>
        <v/>
      </c>
      <c r="AR29" s="173" t="str">
        <f t="shared" ca="1" si="4"/>
        <v/>
      </c>
      <c r="AS29" s="173" t="str">
        <f t="shared" ca="1" si="4"/>
        <v/>
      </c>
      <c r="AT29" s="151">
        <v>24</v>
      </c>
      <c r="AU29" s="174" t="str">
        <f t="shared" ca="1" si="5"/>
        <v/>
      </c>
      <c r="AV29" s="175" t="str">
        <f t="shared" ca="1" si="6"/>
        <v/>
      </c>
      <c r="AW29" s="175" t="str">
        <f t="shared" ca="1" si="7"/>
        <v/>
      </c>
      <c r="AX29" s="176" t="str">
        <f t="shared" ca="1" si="8"/>
        <v/>
      </c>
    </row>
    <row r="30" spans="1:50" ht="15">
      <c r="A30" s="263">
        <v>4</v>
      </c>
      <c r="B30" s="252"/>
      <c r="C30" s="252"/>
      <c r="D30" s="168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70" t="str">
        <f t="shared" si="16"/>
        <v/>
      </c>
      <c r="U30" s="170" t="str">
        <f t="shared" si="17"/>
        <v/>
      </c>
      <c r="V30" s="170" t="str">
        <f t="shared" si="18"/>
        <v/>
      </c>
      <c r="W30" s="170" t="str">
        <f t="shared" si="19"/>
        <v/>
      </c>
      <c r="X30" s="170" t="str">
        <f t="shared" si="1"/>
        <v/>
      </c>
      <c r="Y30" s="170" t="str">
        <f t="shared" si="2"/>
        <v/>
      </c>
      <c r="Z30" s="170" t="str">
        <f t="shared" si="3"/>
        <v/>
      </c>
      <c r="AA30" s="170" t="str">
        <f t="shared" si="20"/>
        <v/>
      </c>
      <c r="AB30" s="170" t="str">
        <f t="shared" si="21"/>
        <v/>
      </c>
      <c r="AC30" s="172" t="str">
        <f t="shared" si="22"/>
        <v/>
      </c>
      <c r="AD30" s="151">
        <v>25</v>
      </c>
      <c r="AE30" s="173" t="str">
        <f t="shared" ca="1" si="4"/>
        <v/>
      </c>
      <c r="AF30" s="173" t="str">
        <f t="shared" ca="1" si="4"/>
        <v/>
      </c>
      <c r="AG30" s="173" t="str">
        <f t="shared" ca="1" si="4"/>
        <v/>
      </c>
      <c r="AH30" s="173" t="str">
        <f t="shared" ca="1" si="4"/>
        <v/>
      </c>
      <c r="AI30" s="173" t="str">
        <f t="shared" ca="1" si="4"/>
        <v/>
      </c>
      <c r="AJ30" s="173" t="str">
        <f t="shared" ca="1" si="4"/>
        <v/>
      </c>
      <c r="AK30" s="173" t="str">
        <f t="shared" ca="1" si="4"/>
        <v/>
      </c>
      <c r="AL30" s="173" t="str">
        <f t="shared" ca="1" si="4"/>
        <v/>
      </c>
      <c r="AM30" s="173" t="str">
        <f t="shared" ca="1" si="4"/>
        <v/>
      </c>
      <c r="AN30" s="173" t="str">
        <f t="shared" ca="1" si="4"/>
        <v/>
      </c>
      <c r="AO30" s="173" t="str">
        <f t="shared" ca="1" si="4"/>
        <v/>
      </c>
      <c r="AP30" s="173" t="str">
        <f t="shared" ca="1" si="4"/>
        <v/>
      </c>
      <c r="AQ30" s="173" t="str">
        <f t="shared" ca="1" si="4"/>
        <v/>
      </c>
      <c r="AR30" s="173" t="str">
        <f t="shared" ca="1" si="4"/>
        <v/>
      </c>
      <c r="AS30" s="173" t="str">
        <f t="shared" ca="1" si="4"/>
        <v/>
      </c>
      <c r="AT30" s="151">
        <v>25</v>
      </c>
      <c r="AU30" s="174" t="str">
        <f t="shared" ca="1" si="5"/>
        <v/>
      </c>
      <c r="AV30" s="175" t="str">
        <f t="shared" ca="1" si="6"/>
        <v/>
      </c>
      <c r="AW30" s="175" t="str">
        <f t="shared" ca="1" si="7"/>
        <v/>
      </c>
      <c r="AX30" s="176" t="str">
        <f t="shared" ca="1" si="8"/>
        <v/>
      </c>
    </row>
    <row r="31" spans="1:50" ht="15" customHeight="1">
      <c r="A31" s="263"/>
      <c r="B31" s="244"/>
      <c r="C31" s="244"/>
      <c r="D31" s="168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70" t="str">
        <f t="shared" si="16"/>
        <v/>
      </c>
      <c r="U31" s="170" t="str">
        <f t="shared" si="17"/>
        <v/>
      </c>
      <c r="V31" s="170" t="str">
        <f t="shared" si="18"/>
        <v/>
      </c>
      <c r="W31" s="170" t="str">
        <f t="shared" si="19"/>
        <v/>
      </c>
      <c r="X31" s="170" t="str">
        <f t="shared" si="1"/>
        <v/>
      </c>
      <c r="Y31" s="170" t="str">
        <f t="shared" si="2"/>
        <v/>
      </c>
      <c r="Z31" s="170" t="str">
        <f t="shared" si="3"/>
        <v/>
      </c>
      <c r="AA31" s="170" t="str">
        <f t="shared" si="20"/>
        <v/>
      </c>
      <c r="AB31" s="170" t="str">
        <f t="shared" si="21"/>
        <v/>
      </c>
      <c r="AC31" s="172" t="str">
        <f t="shared" si="22"/>
        <v/>
      </c>
      <c r="AD31" s="151">
        <v>26</v>
      </c>
      <c r="AE31" s="173" t="str">
        <f t="shared" ca="1" si="4"/>
        <v/>
      </c>
      <c r="AF31" s="173" t="str">
        <f t="shared" ca="1" si="4"/>
        <v/>
      </c>
      <c r="AG31" s="173" t="str">
        <f t="shared" ca="1" si="4"/>
        <v/>
      </c>
      <c r="AH31" s="173" t="str">
        <f t="shared" ca="1" si="4"/>
        <v/>
      </c>
      <c r="AI31" s="173" t="str">
        <f t="shared" ca="1" si="4"/>
        <v/>
      </c>
      <c r="AJ31" s="173" t="str">
        <f t="shared" ca="1" si="4"/>
        <v/>
      </c>
      <c r="AK31" s="173" t="str">
        <f t="shared" ca="1" si="4"/>
        <v/>
      </c>
      <c r="AL31" s="173" t="str">
        <f t="shared" ca="1" si="4"/>
        <v/>
      </c>
      <c r="AM31" s="173" t="str">
        <f t="shared" ca="1" si="4"/>
        <v/>
      </c>
      <c r="AN31" s="173" t="str">
        <f t="shared" ca="1" si="4"/>
        <v/>
      </c>
      <c r="AO31" s="173" t="str">
        <f t="shared" ca="1" si="4"/>
        <v/>
      </c>
      <c r="AP31" s="173" t="str">
        <f t="shared" ca="1" si="4"/>
        <v/>
      </c>
      <c r="AQ31" s="173" t="str">
        <f t="shared" ca="1" si="4"/>
        <v/>
      </c>
      <c r="AR31" s="173" t="str">
        <f t="shared" ca="1" si="4"/>
        <v/>
      </c>
      <c r="AS31" s="173" t="str">
        <f t="shared" ca="1" si="4"/>
        <v/>
      </c>
      <c r="AT31" s="151">
        <v>26</v>
      </c>
      <c r="AU31" s="174" t="str">
        <f t="shared" ca="1" si="5"/>
        <v/>
      </c>
      <c r="AV31" s="175" t="str">
        <f t="shared" ca="1" si="6"/>
        <v/>
      </c>
      <c r="AW31" s="175" t="str">
        <f t="shared" ca="1" si="7"/>
        <v/>
      </c>
      <c r="AX31" s="176" t="str">
        <f t="shared" ca="1" si="8"/>
        <v/>
      </c>
    </row>
    <row r="32" spans="1:50" ht="15" customHeight="1">
      <c r="A32" s="263"/>
      <c r="B32" s="244"/>
      <c r="C32" s="244"/>
      <c r="D32" s="168"/>
      <c r="E32" s="169"/>
      <c r="F32" s="169"/>
      <c r="G32" s="169"/>
      <c r="H32" s="169"/>
      <c r="I32" s="178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70" t="str">
        <f t="shared" si="16"/>
        <v/>
      </c>
      <c r="U32" s="170" t="str">
        <f t="shared" si="17"/>
        <v/>
      </c>
      <c r="V32" s="170" t="str">
        <f t="shared" si="18"/>
        <v/>
      </c>
      <c r="W32" s="170" t="str">
        <f t="shared" si="19"/>
        <v/>
      </c>
      <c r="X32" s="170" t="str">
        <f t="shared" si="1"/>
        <v/>
      </c>
      <c r="Y32" s="170" t="str">
        <f t="shared" si="2"/>
        <v/>
      </c>
      <c r="Z32" s="170" t="str">
        <f t="shared" si="3"/>
        <v/>
      </c>
      <c r="AA32" s="170" t="str">
        <f t="shared" si="20"/>
        <v/>
      </c>
      <c r="AB32" s="170" t="str">
        <f t="shared" si="21"/>
        <v/>
      </c>
      <c r="AC32" s="172" t="str">
        <f t="shared" si="22"/>
        <v/>
      </c>
      <c r="AD32" s="151">
        <v>27</v>
      </c>
      <c r="AE32" s="173" t="str">
        <f t="shared" ca="1" si="4"/>
        <v/>
      </c>
      <c r="AF32" s="173" t="str">
        <f t="shared" ca="1" si="4"/>
        <v/>
      </c>
      <c r="AG32" s="173" t="str">
        <f t="shared" ca="1" si="4"/>
        <v/>
      </c>
      <c r="AH32" s="173" t="str">
        <f t="shared" ca="1" si="4"/>
        <v/>
      </c>
      <c r="AI32" s="173" t="str">
        <f t="shared" ca="1" si="4"/>
        <v/>
      </c>
      <c r="AJ32" s="173" t="str">
        <f t="shared" ca="1" si="4"/>
        <v/>
      </c>
      <c r="AK32" s="173" t="str">
        <f t="shared" ca="1" si="4"/>
        <v/>
      </c>
      <c r="AL32" s="173" t="str">
        <f t="shared" ca="1" si="4"/>
        <v/>
      </c>
      <c r="AM32" s="173" t="str">
        <f t="shared" ca="1" si="4"/>
        <v/>
      </c>
      <c r="AN32" s="173" t="str">
        <f t="shared" ca="1" si="4"/>
        <v/>
      </c>
      <c r="AO32" s="173" t="str">
        <f t="shared" ca="1" si="4"/>
        <v/>
      </c>
      <c r="AP32" s="173" t="str">
        <f t="shared" ca="1" si="4"/>
        <v/>
      </c>
      <c r="AQ32" s="173" t="str">
        <f t="shared" ca="1" si="4"/>
        <v/>
      </c>
      <c r="AR32" s="173" t="str">
        <f t="shared" ca="1" si="4"/>
        <v/>
      </c>
      <c r="AS32" s="173" t="str">
        <f t="shared" ca="1" si="4"/>
        <v/>
      </c>
      <c r="AT32" s="151">
        <v>27</v>
      </c>
      <c r="AU32" s="174" t="str">
        <f t="shared" ca="1" si="5"/>
        <v/>
      </c>
      <c r="AV32" s="175" t="str">
        <f t="shared" ca="1" si="6"/>
        <v/>
      </c>
      <c r="AW32" s="175" t="str">
        <f t="shared" ca="1" si="7"/>
        <v/>
      </c>
      <c r="AX32" s="176" t="str">
        <f t="shared" ca="1" si="8"/>
        <v/>
      </c>
    </row>
    <row r="33" spans="1:50" ht="15">
      <c r="A33" s="263"/>
      <c r="B33" s="244"/>
      <c r="C33" s="244"/>
      <c r="D33" s="168"/>
      <c r="E33" s="169"/>
      <c r="F33" s="169"/>
      <c r="G33" s="169"/>
      <c r="H33" s="169"/>
      <c r="I33" s="178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70" t="str">
        <f t="shared" si="16"/>
        <v/>
      </c>
      <c r="U33" s="170" t="str">
        <f t="shared" si="17"/>
        <v/>
      </c>
      <c r="V33" s="170" t="str">
        <f t="shared" si="18"/>
        <v/>
      </c>
      <c r="W33" s="170" t="str">
        <f t="shared" si="19"/>
        <v/>
      </c>
      <c r="X33" s="170" t="str">
        <f t="shared" si="1"/>
        <v/>
      </c>
      <c r="Y33" s="170" t="str">
        <f t="shared" si="2"/>
        <v/>
      </c>
      <c r="Z33" s="170" t="str">
        <f t="shared" si="3"/>
        <v/>
      </c>
      <c r="AA33" s="170" t="str">
        <f t="shared" si="20"/>
        <v/>
      </c>
      <c r="AB33" s="170" t="str">
        <f t="shared" si="21"/>
        <v/>
      </c>
      <c r="AC33" s="172" t="str">
        <f t="shared" si="22"/>
        <v/>
      </c>
      <c r="AD33" s="151">
        <v>28</v>
      </c>
      <c r="AE33" s="173" t="str">
        <f t="shared" ca="1" si="4"/>
        <v/>
      </c>
      <c r="AF33" s="173" t="str">
        <f t="shared" ca="1" si="4"/>
        <v/>
      </c>
      <c r="AG33" s="173" t="str">
        <f t="shared" ca="1" si="4"/>
        <v/>
      </c>
      <c r="AH33" s="173" t="str">
        <f t="shared" ca="1" si="4"/>
        <v/>
      </c>
      <c r="AI33" s="173" t="str">
        <f t="shared" ca="1" si="4"/>
        <v/>
      </c>
      <c r="AJ33" s="173" t="str">
        <f t="shared" ca="1" si="4"/>
        <v/>
      </c>
      <c r="AK33" s="173" t="str">
        <f t="shared" ca="1" si="4"/>
        <v/>
      </c>
      <c r="AL33" s="173" t="str">
        <f t="shared" ca="1" si="4"/>
        <v/>
      </c>
      <c r="AM33" s="173" t="str">
        <f t="shared" ca="1" si="4"/>
        <v/>
      </c>
      <c r="AN33" s="173" t="str">
        <f t="shared" ca="1" si="4"/>
        <v/>
      </c>
      <c r="AO33" s="173" t="str">
        <f t="shared" ca="1" si="4"/>
        <v/>
      </c>
      <c r="AP33" s="173" t="str">
        <f t="shared" ca="1" si="4"/>
        <v/>
      </c>
      <c r="AQ33" s="173" t="str">
        <f t="shared" ca="1" si="4"/>
        <v/>
      </c>
      <c r="AR33" s="173" t="str">
        <f t="shared" ca="1" si="4"/>
        <v/>
      </c>
      <c r="AS33" s="173" t="str">
        <f t="shared" ca="1" si="4"/>
        <v/>
      </c>
      <c r="AT33" s="151">
        <v>28</v>
      </c>
      <c r="AU33" s="174" t="str">
        <f t="shared" ca="1" si="5"/>
        <v/>
      </c>
      <c r="AV33" s="175" t="str">
        <f t="shared" ca="1" si="6"/>
        <v/>
      </c>
      <c r="AW33" s="175" t="str">
        <f t="shared" ca="1" si="7"/>
        <v/>
      </c>
      <c r="AX33" s="176" t="str">
        <f t="shared" ca="1" si="8"/>
        <v/>
      </c>
    </row>
    <row r="34" spans="1:50" ht="15">
      <c r="A34" s="263"/>
      <c r="B34" s="244"/>
      <c r="C34" s="244"/>
      <c r="D34" s="168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70" t="str">
        <f t="shared" si="16"/>
        <v/>
      </c>
      <c r="U34" s="170" t="str">
        <f t="shared" si="17"/>
        <v/>
      </c>
      <c r="V34" s="170" t="str">
        <f t="shared" si="18"/>
        <v/>
      </c>
      <c r="W34" s="170" t="str">
        <f t="shared" si="19"/>
        <v/>
      </c>
      <c r="X34" s="170" t="str">
        <f t="shared" si="1"/>
        <v/>
      </c>
      <c r="Y34" s="170" t="str">
        <f t="shared" si="2"/>
        <v/>
      </c>
      <c r="Z34" s="170" t="str">
        <f t="shared" si="3"/>
        <v/>
      </c>
      <c r="AA34" s="170" t="str">
        <f t="shared" si="20"/>
        <v/>
      </c>
      <c r="AB34" s="170" t="str">
        <f t="shared" si="21"/>
        <v/>
      </c>
      <c r="AC34" s="172" t="str">
        <f t="shared" si="22"/>
        <v/>
      </c>
      <c r="AD34" s="151">
        <v>29</v>
      </c>
      <c r="AE34" s="173" t="str">
        <f t="shared" ca="1" si="4"/>
        <v/>
      </c>
      <c r="AF34" s="173" t="str">
        <f t="shared" ca="1" si="4"/>
        <v/>
      </c>
      <c r="AG34" s="173" t="str">
        <f t="shared" ca="1" si="4"/>
        <v/>
      </c>
      <c r="AH34" s="173" t="str">
        <f t="shared" ca="1" si="4"/>
        <v/>
      </c>
      <c r="AI34" s="173" t="str">
        <f t="shared" ca="1" si="4"/>
        <v/>
      </c>
      <c r="AJ34" s="173" t="str">
        <f t="shared" ca="1" si="4"/>
        <v/>
      </c>
      <c r="AK34" s="173" t="str">
        <f t="shared" ca="1" si="4"/>
        <v/>
      </c>
      <c r="AL34" s="173" t="str">
        <f t="shared" ca="1" si="4"/>
        <v/>
      </c>
      <c r="AM34" s="173" t="str">
        <f t="shared" ca="1" si="4"/>
        <v/>
      </c>
      <c r="AN34" s="173" t="str">
        <f t="shared" ca="1" si="4"/>
        <v/>
      </c>
      <c r="AO34" s="173" t="str">
        <f t="shared" ca="1" si="4"/>
        <v/>
      </c>
      <c r="AP34" s="173" t="str">
        <f t="shared" ca="1" si="4"/>
        <v/>
      </c>
      <c r="AQ34" s="173" t="str">
        <f t="shared" ca="1" si="4"/>
        <v/>
      </c>
      <c r="AR34" s="173" t="str">
        <f t="shared" ca="1" si="4"/>
        <v/>
      </c>
      <c r="AS34" s="173" t="str">
        <f t="shared" ca="1" si="4"/>
        <v/>
      </c>
      <c r="AT34" s="151">
        <v>29</v>
      </c>
      <c r="AU34" s="174" t="str">
        <f t="shared" ca="1" si="5"/>
        <v/>
      </c>
      <c r="AV34" s="175" t="str">
        <f t="shared" ca="1" si="6"/>
        <v/>
      </c>
      <c r="AW34" s="175" t="str">
        <f t="shared" ca="1" si="7"/>
        <v/>
      </c>
      <c r="AX34" s="176" t="str">
        <f t="shared" ca="1" si="8"/>
        <v/>
      </c>
    </row>
    <row r="35" spans="1:50" ht="15">
      <c r="A35" s="263"/>
      <c r="B35" s="244"/>
      <c r="C35" s="244"/>
      <c r="D35" s="177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70" t="str">
        <f t="shared" si="16"/>
        <v/>
      </c>
      <c r="U35" s="170" t="str">
        <f t="shared" si="17"/>
        <v/>
      </c>
      <c r="V35" s="170" t="str">
        <f t="shared" si="18"/>
        <v/>
      </c>
      <c r="W35" s="170" t="str">
        <f t="shared" si="19"/>
        <v/>
      </c>
      <c r="X35" s="170" t="str">
        <f t="shared" si="1"/>
        <v/>
      </c>
      <c r="Y35" s="170" t="str">
        <f t="shared" si="2"/>
        <v/>
      </c>
      <c r="Z35" s="170" t="str">
        <f t="shared" si="3"/>
        <v/>
      </c>
      <c r="AA35" s="170" t="str">
        <f t="shared" si="20"/>
        <v/>
      </c>
      <c r="AB35" s="170" t="str">
        <f t="shared" si="21"/>
        <v/>
      </c>
      <c r="AC35" s="172" t="str">
        <f t="shared" si="22"/>
        <v/>
      </c>
      <c r="AD35" s="151">
        <v>30</v>
      </c>
      <c r="AE35" s="173" t="str">
        <f t="shared" ca="1" si="4"/>
        <v/>
      </c>
      <c r="AF35" s="173" t="str">
        <f t="shared" ca="1" si="4"/>
        <v/>
      </c>
      <c r="AG35" s="173" t="str">
        <f t="shared" ca="1" si="4"/>
        <v/>
      </c>
      <c r="AH35" s="173" t="str">
        <f t="shared" ca="1" si="4"/>
        <v/>
      </c>
      <c r="AI35" s="173" t="str">
        <f t="shared" ca="1" si="4"/>
        <v/>
      </c>
      <c r="AJ35" s="173" t="str">
        <f t="shared" ca="1" si="4"/>
        <v/>
      </c>
      <c r="AK35" s="173" t="str">
        <f t="shared" ca="1" si="4"/>
        <v/>
      </c>
      <c r="AL35" s="173" t="str">
        <f t="shared" ca="1" si="4"/>
        <v/>
      </c>
      <c r="AM35" s="173" t="str">
        <f t="shared" ca="1" si="4"/>
        <v/>
      </c>
      <c r="AN35" s="173" t="str">
        <f t="shared" ca="1" si="4"/>
        <v/>
      </c>
      <c r="AO35" s="173" t="str">
        <f t="shared" ca="1" si="4"/>
        <v/>
      </c>
      <c r="AP35" s="173" t="str">
        <f t="shared" ca="1" si="4"/>
        <v/>
      </c>
      <c r="AQ35" s="173" t="str">
        <f t="shared" ca="1" si="4"/>
        <v/>
      </c>
      <c r="AR35" s="173" t="str">
        <f t="shared" ca="1" si="4"/>
        <v/>
      </c>
      <c r="AS35" s="173" t="str">
        <f t="shared" ca="1" si="4"/>
        <v/>
      </c>
      <c r="AT35" s="151">
        <v>30</v>
      </c>
      <c r="AU35" s="174" t="str">
        <f t="shared" ca="1" si="5"/>
        <v/>
      </c>
      <c r="AV35" s="175" t="str">
        <f t="shared" ca="1" si="6"/>
        <v/>
      </c>
      <c r="AW35" s="175" t="str">
        <f t="shared" ca="1" si="7"/>
        <v/>
      </c>
      <c r="AX35" s="176" t="str">
        <f t="shared" ca="1" si="8"/>
        <v/>
      </c>
    </row>
    <row r="36" spans="1:50" ht="15">
      <c r="A36" s="263"/>
      <c r="B36" s="244"/>
      <c r="C36" s="244"/>
      <c r="D36" s="177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70" t="str">
        <f t="shared" si="16"/>
        <v/>
      </c>
      <c r="U36" s="170" t="str">
        <f t="shared" si="17"/>
        <v/>
      </c>
      <c r="V36" s="170" t="str">
        <f t="shared" si="18"/>
        <v/>
      </c>
      <c r="W36" s="170" t="str">
        <f t="shared" si="19"/>
        <v/>
      </c>
      <c r="X36" s="170" t="str">
        <f t="shared" si="1"/>
        <v/>
      </c>
      <c r="Y36" s="170" t="str">
        <f t="shared" si="2"/>
        <v/>
      </c>
      <c r="Z36" s="170" t="str">
        <f t="shared" si="3"/>
        <v/>
      </c>
      <c r="AA36" s="170" t="str">
        <f t="shared" si="20"/>
        <v/>
      </c>
      <c r="AB36" s="170" t="str">
        <f t="shared" si="21"/>
        <v/>
      </c>
      <c r="AC36" s="172" t="str">
        <f t="shared" si="22"/>
        <v/>
      </c>
      <c r="AD36" s="151">
        <v>31</v>
      </c>
      <c r="AE36" s="173" t="str">
        <f t="shared" ca="1" si="4"/>
        <v/>
      </c>
      <c r="AF36" s="173" t="str">
        <f t="shared" ca="1" si="4"/>
        <v/>
      </c>
      <c r="AG36" s="173" t="str">
        <f t="shared" ca="1" si="4"/>
        <v/>
      </c>
      <c r="AH36" s="173" t="str">
        <f t="shared" ca="1" si="4"/>
        <v/>
      </c>
      <c r="AI36" s="173" t="str">
        <f t="shared" ca="1" si="4"/>
        <v/>
      </c>
      <c r="AJ36" s="173" t="str">
        <f t="shared" ca="1" si="4"/>
        <v/>
      </c>
      <c r="AK36" s="173" t="str">
        <f t="shared" ca="1" si="4"/>
        <v/>
      </c>
      <c r="AL36" s="173" t="str">
        <f t="shared" ca="1" si="4"/>
        <v/>
      </c>
      <c r="AM36" s="173" t="str">
        <f t="shared" ca="1" si="4"/>
        <v/>
      </c>
      <c r="AN36" s="173" t="str">
        <f t="shared" ca="1" si="4"/>
        <v/>
      </c>
      <c r="AO36" s="173" t="str">
        <f t="shared" ca="1" si="4"/>
        <v/>
      </c>
      <c r="AP36" s="173" t="str">
        <f t="shared" ca="1" si="4"/>
        <v/>
      </c>
      <c r="AQ36" s="173" t="str">
        <f t="shared" ca="1" si="4"/>
        <v/>
      </c>
      <c r="AR36" s="173" t="str">
        <f t="shared" ca="1" si="4"/>
        <v/>
      </c>
      <c r="AS36" s="173" t="str">
        <f t="shared" ca="1" si="4"/>
        <v/>
      </c>
      <c r="AT36" s="151">
        <v>31</v>
      </c>
      <c r="AU36" s="174" t="str">
        <f t="shared" ca="1" si="5"/>
        <v/>
      </c>
      <c r="AV36" s="175" t="str">
        <f t="shared" ca="1" si="6"/>
        <v/>
      </c>
      <c r="AW36" s="175" t="str">
        <f t="shared" ca="1" si="7"/>
        <v/>
      </c>
      <c r="AX36" s="176" t="str">
        <f t="shared" ca="1" si="8"/>
        <v/>
      </c>
    </row>
    <row r="37" spans="1:50" ht="15">
      <c r="A37" s="263"/>
      <c r="B37" s="245"/>
      <c r="C37" s="245"/>
      <c r="D37" s="177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70" t="str">
        <f t="shared" si="16"/>
        <v/>
      </c>
      <c r="U37" s="170" t="str">
        <f t="shared" si="17"/>
        <v/>
      </c>
      <c r="V37" s="170" t="str">
        <f t="shared" si="18"/>
        <v/>
      </c>
      <c r="W37" s="170" t="str">
        <f t="shared" si="19"/>
        <v/>
      </c>
      <c r="X37" s="170" t="str">
        <f t="shared" si="1"/>
        <v/>
      </c>
      <c r="Y37" s="170" t="str">
        <f t="shared" si="2"/>
        <v/>
      </c>
      <c r="Z37" s="170"/>
      <c r="AA37" s="170" t="str">
        <f t="shared" si="20"/>
        <v/>
      </c>
      <c r="AB37" s="170" t="str">
        <f t="shared" si="21"/>
        <v/>
      </c>
      <c r="AC37" s="172" t="str">
        <f t="shared" si="22"/>
        <v/>
      </c>
      <c r="AD37" s="151">
        <v>32</v>
      </c>
      <c r="AE37" s="173" t="str">
        <f t="shared" ca="1" si="4"/>
        <v/>
      </c>
      <c r="AF37" s="173" t="str">
        <f t="shared" ca="1" si="4"/>
        <v/>
      </c>
      <c r="AG37" s="173" t="str">
        <f t="shared" ca="1" si="4"/>
        <v/>
      </c>
      <c r="AH37" s="173" t="str">
        <f t="shared" ca="1" si="4"/>
        <v/>
      </c>
      <c r="AI37" s="173" t="str">
        <f t="shared" ca="1" si="4"/>
        <v/>
      </c>
      <c r="AJ37" s="173" t="str">
        <f t="shared" ca="1" si="4"/>
        <v/>
      </c>
      <c r="AK37" s="173" t="str">
        <f t="shared" ca="1" si="4"/>
        <v/>
      </c>
      <c r="AL37" s="173" t="str">
        <f t="shared" ca="1" si="4"/>
        <v/>
      </c>
      <c r="AM37" s="173" t="str">
        <f t="shared" ca="1" si="4"/>
        <v/>
      </c>
      <c r="AN37" s="173" t="str">
        <f t="shared" ca="1" si="4"/>
        <v/>
      </c>
      <c r="AO37" s="173" t="str">
        <f t="shared" ca="1" si="4"/>
        <v/>
      </c>
      <c r="AP37" s="173" t="str">
        <f t="shared" ca="1" si="4"/>
        <v/>
      </c>
      <c r="AQ37" s="173" t="str">
        <f t="shared" ca="1" si="4"/>
        <v/>
      </c>
      <c r="AR37" s="173" t="str">
        <f t="shared" ca="1" si="4"/>
        <v/>
      </c>
      <c r="AS37" s="173" t="str">
        <f t="shared" ca="1" si="4"/>
        <v/>
      </c>
      <c r="AT37" s="151">
        <v>32</v>
      </c>
      <c r="AU37" s="174" t="str">
        <f t="shared" ca="1" si="5"/>
        <v/>
      </c>
      <c r="AV37" s="175" t="str">
        <f t="shared" ca="1" si="6"/>
        <v/>
      </c>
      <c r="AW37" s="175" t="str">
        <f t="shared" ca="1" si="7"/>
        <v/>
      </c>
      <c r="AX37" s="176" t="str">
        <f t="shared" ca="1" si="8"/>
        <v/>
      </c>
    </row>
    <row r="38" spans="1:50" ht="15" customHeight="1">
      <c r="A38" s="263">
        <v>5</v>
      </c>
      <c r="B38" s="252"/>
      <c r="C38" s="252"/>
      <c r="D38" s="168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70" t="str">
        <f t="shared" si="16"/>
        <v/>
      </c>
      <c r="U38" s="170" t="str">
        <f t="shared" si="17"/>
        <v/>
      </c>
      <c r="V38" s="170" t="str">
        <f t="shared" si="18"/>
        <v/>
      </c>
      <c r="W38" s="170" t="str">
        <f t="shared" si="19"/>
        <v/>
      </c>
      <c r="X38" s="170" t="str">
        <f t="shared" si="1"/>
        <v/>
      </c>
      <c r="Y38" s="170" t="str">
        <f t="shared" si="2"/>
        <v/>
      </c>
      <c r="Z38" s="170" t="str">
        <f t="shared" si="3"/>
        <v/>
      </c>
      <c r="AA38" s="170" t="str">
        <f t="shared" si="20"/>
        <v/>
      </c>
      <c r="AB38" s="170" t="str">
        <f t="shared" si="21"/>
        <v/>
      </c>
      <c r="AC38" s="172" t="str">
        <f t="shared" si="22"/>
        <v/>
      </c>
      <c r="AD38" s="151">
        <v>33</v>
      </c>
      <c r="AE38" s="173" t="str">
        <f t="shared" ref="AE38:AS47" ca="1" si="23">IF(SUM(INDIRECT(CHAR(COLUMN()+38)&amp;(ROW()-5)*8-2&amp;":"&amp;CHAR(COLUMN()+38)&amp;(ROW()-5)*8+5))=0,"",SUM(INDIRECT(CHAR(COLUMN()+38)&amp;(ROW()-5)*8-2&amp;":"&amp;CHAR(COLUMN()+38)&amp;(ROW()-5)*8+5))/INDIRECT("C"&amp;(ROW()-5)*8-2))</f>
        <v/>
      </c>
      <c r="AF38" s="173" t="str">
        <f t="shared" ca="1" si="23"/>
        <v/>
      </c>
      <c r="AG38" s="173" t="str">
        <f t="shared" ca="1" si="23"/>
        <v/>
      </c>
      <c r="AH38" s="173" t="str">
        <f t="shared" ca="1" si="23"/>
        <v/>
      </c>
      <c r="AI38" s="173" t="str">
        <f t="shared" ca="1" si="23"/>
        <v/>
      </c>
      <c r="AJ38" s="173" t="str">
        <f t="shared" ca="1" si="23"/>
        <v/>
      </c>
      <c r="AK38" s="173" t="str">
        <f t="shared" ca="1" si="23"/>
        <v/>
      </c>
      <c r="AL38" s="173" t="str">
        <f t="shared" ca="1" si="23"/>
        <v/>
      </c>
      <c r="AM38" s="173" t="str">
        <f t="shared" ca="1" si="23"/>
        <v/>
      </c>
      <c r="AN38" s="173" t="str">
        <f t="shared" ca="1" si="23"/>
        <v/>
      </c>
      <c r="AO38" s="173" t="str">
        <f t="shared" ca="1" si="23"/>
        <v/>
      </c>
      <c r="AP38" s="173" t="str">
        <f t="shared" ca="1" si="23"/>
        <v/>
      </c>
      <c r="AQ38" s="173" t="str">
        <f t="shared" ca="1" si="23"/>
        <v/>
      </c>
      <c r="AR38" s="173" t="str">
        <f t="shared" ca="1" si="23"/>
        <v/>
      </c>
      <c r="AS38" s="173" t="str">
        <f t="shared" ca="1" si="23"/>
        <v/>
      </c>
      <c r="AT38" s="151">
        <v>33</v>
      </c>
      <c r="AU38" s="174" t="str">
        <f t="shared" ca="1" si="5"/>
        <v/>
      </c>
      <c r="AV38" s="175" t="str">
        <f t="shared" ca="1" si="6"/>
        <v/>
      </c>
      <c r="AW38" s="175" t="str">
        <f t="shared" ca="1" si="7"/>
        <v/>
      </c>
      <c r="AX38" s="176" t="str">
        <f t="shared" ca="1" si="8"/>
        <v/>
      </c>
    </row>
    <row r="39" spans="1:50" ht="15" customHeight="1">
      <c r="A39" s="263"/>
      <c r="B39" s="244"/>
      <c r="C39" s="244"/>
      <c r="D39" s="168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70" t="str">
        <f t="shared" si="16"/>
        <v/>
      </c>
      <c r="U39" s="170" t="str">
        <f t="shared" si="17"/>
        <v/>
      </c>
      <c r="V39" s="170" t="str">
        <f t="shared" si="18"/>
        <v/>
      </c>
      <c r="W39" s="170" t="str">
        <f t="shared" si="19"/>
        <v/>
      </c>
      <c r="X39" s="170" t="str">
        <f t="shared" si="1"/>
        <v/>
      </c>
      <c r="Y39" s="170" t="str">
        <f t="shared" si="2"/>
        <v/>
      </c>
      <c r="Z39" s="170" t="str">
        <f t="shared" si="3"/>
        <v/>
      </c>
      <c r="AA39" s="170" t="str">
        <f t="shared" si="20"/>
        <v/>
      </c>
      <c r="AB39" s="170" t="str">
        <f t="shared" si="21"/>
        <v/>
      </c>
      <c r="AC39" s="172" t="str">
        <f t="shared" si="22"/>
        <v/>
      </c>
      <c r="AD39" s="151">
        <v>34</v>
      </c>
      <c r="AE39" s="173" t="str">
        <f t="shared" ca="1" si="23"/>
        <v/>
      </c>
      <c r="AF39" s="173" t="str">
        <f t="shared" ca="1" si="23"/>
        <v/>
      </c>
      <c r="AG39" s="173" t="str">
        <f t="shared" ca="1" si="23"/>
        <v/>
      </c>
      <c r="AH39" s="173" t="str">
        <f t="shared" ca="1" si="23"/>
        <v/>
      </c>
      <c r="AI39" s="173" t="str">
        <f t="shared" ca="1" si="23"/>
        <v/>
      </c>
      <c r="AJ39" s="173" t="str">
        <f t="shared" ca="1" si="23"/>
        <v/>
      </c>
      <c r="AK39" s="173" t="str">
        <f t="shared" ca="1" si="23"/>
        <v/>
      </c>
      <c r="AL39" s="173" t="str">
        <f t="shared" ca="1" si="23"/>
        <v/>
      </c>
      <c r="AM39" s="173" t="str">
        <f t="shared" ca="1" si="23"/>
        <v/>
      </c>
      <c r="AN39" s="173" t="str">
        <f t="shared" ca="1" si="23"/>
        <v/>
      </c>
      <c r="AO39" s="173" t="str">
        <f t="shared" ca="1" si="23"/>
        <v/>
      </c>
      <c r="AP39" s="173" t="str">
        <f t="shared" ca="1" si="23"/>
        <v/>
      </c>
      <c r="AQ39" s="173" t="str">
        <f t="shared" ca="1" si="23"/>
        <v/>
      </c>
      <c r="AR39" s="173" t="str">
        <f t="shared" ca="1" si="23"/>
        <v/>
      </c>
      <c r="AS39" s="173" t="str">
        <f t="shared" ca="1" si="23"/>
        <v/>
      </c>
      <c r="AT39" s="151">
        <v>34</v>
      </c>
      <c r="AU39" s="174" t="str">
        <f t="shared" ca="1" si="5"/>
        <v/>
      </c>
      <c r="AV39" s="175" t="str">
        <f t="shared" ca="1" si="6"/>
        <v/>
      </c>
      <c r="AW39" s="175" t="str">
        <f t="shared" ca="1" si="7"/>
        <v/>
      </c>
      <c r="AX39" s="176" t="str">
        <f t="shared" ca="1" si="8"/>
        <v/>
      </c>
    </row>
    <row r="40" spans="1:50" ht="15" customHeight="1">
      <c r="A40" s="263"/>
      <c r="B40" s="244"/>
      <c r="C40" s="244"/>
      <c r="D40" s="168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70" t="str">
        <f t="shared" si="16"/>
        <v/>
      </c>
      <c r="U40" s="170" t="str">
        <f t="shared" si="17"/>
        <v/>
      </c>
      <c r="V40" s="170" t="str">
        <f t="shared" si="18"/>
        <v/>
      </c>
      <c r="W40" s="170" t="str">
        <f t="shared" si="19"/>
        <v/>
      </c>
      <c r="X40" s="170" t="str">
        <f t="shared" si="1"/>
        <v/>
      </c>
      <c r="Y40" s="170" t="str">
        <f t="shared" si="2"/>
        <v/>
      </c>
      <c r="Z40" s="170" t="str">
        <f t="shared" si="3"/>
        <v/>
      </c>
      <c r="AA40" s="170" t="str">
        <f t="shared" si="20"/>
        <v/>
      </c>
      <c r="AB40" s="170" t="str">
        <f t="shared" si="21"/>
        <v/>
      </c>
      <c r="AC40" s="172" t="str">
        <f t="shared" si="22"/>
        <v/>
      </c>
      <c r="AD40" s="151">
        <v>35</v>
      </c>
      <c r="AE40" s="173" t="str">
        <f t="shared" ca="1" si="23"/>
        <v/>
      </c>
      <c r="AF40" s="173" t="str">
        <f t="shared" ca="1" si="23"/>
        <v/>
      </c>
      <c r="AG40" s="173" t="str">
        <f t="shared" ca="1" si="23"/>
        <v/>
      </c>
      <c r="AH40" s="173" t="str">
        <f t="shared" ca="1" si="23"/>
        <v/>
      </c>
      <c r="AI40" s="173" t="str">
        <f t="shared" ca="1" si="23"/>
        <v/>
      </c>
      <c r="AJ40" s="173" t="str">
        <f t="shared" ca="1" si="23"/>
        <v/>
      </c>
      <c r="AK40" s="173" t="str">
        <f t="shared" ca="1" si="23"/>
        <v/>
      </c>
      <c r="AL40" s="173" t="str">
        <f t="shared" ca="1" si="23"/>
        <v/>
      </c>
      <c r="AM40" s="173" t="str">
        <f t="shared" ca="1" si="23"/>
        <v/>
      </c>
      <c r="AN40" s="173" t="str">
        <f t="shared" ca="1" si="23"/>
        <v/>
      </c>
      <c r="AO40" s="173" t="str">
        <f t="shared" ca="1" si="23"/>
        <v/>
      </c>
      <c r="AP40" s="173" t="str">
        <f t="shared" ca="1" si="23"/>
        <v/>
      </c>
      <c r="AQ40" s="173" t="str">
        <f t="shared" ca="1" si="23"/>
        <v/>
      </c>
      <c r="AR40" s="173" t="str">
        <f t="shared" ca="1" si="23"/>
        <v/>
      </c>
      <c r="AS40" s="173" t="str">
        <f t="shared" ca="1" si="23"/>
        <v/>
      </c>
      <c r="AT40" s="151">
        <v>35</v>
      </c>
      <c r="AU40" s="174" t="str">
        <f t="shared" ca="1" si="5"/>
        <v/>
      </c>
      <c r="AV40" s="175" t="str">
        <f t="shared" ca="1" si="6"/>
        <v/>
      </c>
      <c r="AW40" s="175" t="str">
        <f t="shared" ca="1" si="7"/>
        <v/>
      </c>
      <c r="AX40" s="176" t="str">
        <f t="shared" ca="1" si="8"/>
        <v/>
      </c>
    </row>
    <row r="41" spans="1:50" ht="15" customHeight="1">
      <c r="A41" s="263"/>
      <c r="B41" s="244"/>
      <c r="C41" s="244"/>
      <c r="D41" s="168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70" t="str">
        <f t="shared" si="16"/>
        <v/>
      </c>
      <c r="U41" s="170" t="str">
        <f t="shared" si="17"/>
        <v/>
      </c>
      <c r="V41" s="170" t="str">
        <f t="shared" si="18"/>
        <v/>
      </c>
      <c r="W41" s="170" t="str">
        <f t="shared" si="19"/>
        <v/>
      </c>
      <c r="X41" s="170" t="str">
        <f t="shared" si="1"/>
        <v/>
      </c>
      <c r="Y41" s="170" t="str">
        <f t="shared" si="2"/>
        <v/>
      </c>
      <c r="Z41" s="170" t="str">
        <f t="shared" si="3"/>
        <v/>
      </c>
      <c r="AA41" s="170" t="str">
        <f t="shared" si="20"/>
        <v/>
      </c>
      <c r="AB41" s="170" t="str">
        <f t="shared" si="21"/>
        <v/>
      </c>
      <c r="AC41" s="172" t="str">
        <f t="shared" si="22"/>
        <v/>
      </c>
      <c r="AD41" s="151">
        <v>36</v>
      </c>
      <c r="AE41" s="173" t="str">
        <f t="shared" ca="1" si="23"/>
        <v/>
      </c>
      <c r="AF41" s="173" t="str">
        <f t="shared" ca="1" si="23"/>
        <v/>
      </c>
      <c r="AG41" s="173" t="str">
        <f t="shared" ca="1" si="23"/>
        <v/>
      </c>
      <c r="AH41" s="173" t="str">
        <f t="shared" ca="1" si="23"/>
        <v/>
      </c>
      <c r="AI41" s="173" t="str">
        <f t="shared" ca="1" si="23"/>
        <v/>
      </c>
      <c r="AJ41" s="173" t="str">
        <f t="shared" ca="1" si="23"/>
        <v/>
      </c>
      <c r="AK41" s="173" t="str">
        <f t="shared" ca="1" si="23"/>
        <v/>
      </c>
      <c r="AL41" s="173" t="str">
        <f t="shared" ca="1" si="23"/>
        <v/>
      </c>
      <c r="AM41" s="173" t="str">
        <f t="shared" ca="1" si="23"/>
        <v/>
      </c>
      <c r="AN41" s="173" t="str">
        <f t="shared" ca="1" si="23"/>
        <v/>
      </c>
      <c r="AO41" s="173" t="str">
        <f t="shared" ca="1" si="23"/>
        <v/>
      </c>
      <c r="AP41" s="173" t="str">
        <f t="shared" ca="1" si="23"/>
        <v/>
      </c>
      <c r="AQ41" s="173" t="str">
        <f t="shared" ca="1" si="23"/>
        <v/>
      </c>
      <c r="AR41" s="173" t="str">
        <f t="shared" ca="1" si="23"/>
        <v/>
      </c>
      <c r="AS41" s="173" t="str">
        <f t="shared" ca="1" si="23"/>
        <v/>
      </c>
      <c r="AT41" s="151">
        <v>36</v>
      </c>
      <c r="AU41" s="174" t="str">
        <f t="shared" ca="1" si="5"/>
        <v/>
      </c>
      <c r="AV41" s="175" t="str">
        <f t="shared" ca="1" si="6"/>
        <v/>
      </c>
      <c r="AW41" s="175" t="str">
        <f t="shared" ca="1" si="7"/>
        <v/>
      </c>
      <c r="AX41" s="176" t="str">
        <f t="shared" ca="1" si="8"/>
        <v/>
      </c>
    </row>
    <row r="42" spans="1:50" ht="15" customHeight="1">
      <c r="A42" s="263"/>
      <c r="B42" s="244"/>
      <c r="C42" s="244"/>
      <c r="D42" s="168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70" t="str">
        <f t="shared" si="16"/>
        <v/>
      </c>
      <c r="U42" s="170" t="str">
        <f t="shared" si="17"/>
        <v/>
      </c>
      <c r="V42" s="170" t="str">
        <f t="shared" si="18"/>
        <v/>
      </c>
      <c r="W42" s="170" t="str">
        <f t="shared" si="19"/>
        <v/>
      </c>
      <c r="X42" s="170" t="str">
        <f t="shared" si="1"/>
        <v/>
      </c>
      <c r="Y42" s="170" t="str">
        <f t="shared" si="2"/>
        <v/>
      </c>
      <c r="Z42" s="170" t="str">
        <f t="shared" si="3"/>
        <v/>
      </c>
      <c r="AA42" s="170" t="str">
        <f t="shared" si="20"/>
        <v/>
      </c>
      <c r="AB42" s="170" t="str">
        <f t="shared" si="21"/>
        <v/>
      </c>
      <c r="AC42" s="172" t="str">
        <f t="shared" si="22"/>
        <v/>
      </c>
      <c r="AD42" s="151">
        <v>37</v>
      </c>
      <c r="AE42" s="173" t="str">
        <f t="shared" ca="1" si="23"/>
        <v/>
      </c>
      <c r="AF42" s="173" t="str">
        <f t="shared" ca="1" si="23"/>
        <v/>
      </c>
      <c r="AG42" s="173" t="str">
        <f t="shared" ca="1" si="23"/>
        <v/>
      </c>
      <c r="AH42" s="173" t="str">
        <f t="shared" ca="1" si="23"/>
        <v/>
      </c>
      <c r="AI42" s="173" t="str">
        <f t="shared" ca="1" si="23"/>
        <v/>
      </c>
      <c r="AJ42" s="173" t="str">
        <f t="shared" ca="1" si="23"/>
        <v/>
      </c>
      <c r="AK42" s="173" t="str">
        <f t="shared" ca="1" si="23"/>
        <v/>
      </c>
      <c r="AL42" s="173" t="str">
        <f t="shared" ca="1" si="23"/>
        <v/>
      </c>
      <c r="AM42" s="173" t="str">
        <f t="shared" ca="1" si="23"/>
        <v/>
      </c>
      <c r="AN42" s="173" t="str">
        <f t="shared" ca="1" si="23"/>
        <v/>
      </c>
      <c r="AO42" s="173" t="str">
        <f t="shared" ca="1" si="23"/>
        <v/>
      </c>
      <c r="AP42" s="173" t="str">
        <f t="shared" ca="1" si="23"/>
        <v/>
      </c>
      <c r="AQ42" s="173" t="str">
        <f t="shared" ca="1" si="23"/>
        <v/>
      </c>
      <c r="AR42" s="173" t="str">
        <f t="shared" ca="1" si="23"/>
        <v/>
      </c>
      <c r="AS42" s="173" t="str">
        <f t="shared" ca="1" si="23"/>
        <v/>
      </c>
      <c r="AT42" s="151">
        <v>37</v>
      </c>
      <c r="AU42" s="174" t="str">
        <f t="shared" ca="1" si="5"/>
        <v/>
      </c>
      <c r="AV42" s="175" t="str">
        <f t="shared" ca="1" si="6"/>
        <v/>
      </c>
      <c r="AW42" s="175" t="str">
        <f t="shared" ca="1" si="7"/>
        <v/>
      </c>
      <c r="AX42" s="176" t="str">
        <f t="shared" ca="1" si="8"/>
        <v/>
      </c>
    </row>
    <row r="43" spans="1:50" ht="15" customHeight="1">
      <c r="A43" s="263"/>
      <c r="B43" s="244"/>
      <c r="C43" s="244"/>
      <c r="D43" s="168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70" t="str">
        <f t="shared" si="16"/>
        <v/>
      </c>
      <c r="U43" s="170" t="str">
        <f t="shared" si="17"/>
        <v/>
      </c>
      <c r="V43" s="170" t="str">
        <f t="shared" si="18"/>
        <v/>
      </c>
      <c r="W43" s="170" t="str">
        <f t="shared" si="19"/>
        <v/>
      </c>
      <c r="X43" s="170" t="str">
        <f t="shared" si="1"/>
        <v/>
      </c>
      <c r="Y43" s="170" t="str">
        <f t="shared" si="2"/>
        <v/>
      </c>
      <c r="Z43" s="170" t="str">
        <f t="shared" si="3"/>
        <v/>
      </c>
      <c r="AA43" s="170" t="str">
        <f t="shared" si="20"/>
        <v/>
      </c>
      <c r="AB43" s="170" t="str">
        <f t="shared" si="21"/>
        <v/>
      </c>
      <c r="AC43" s="172" t="str">
        <f t="shared" si="22"/>
        <v/>
      </c>
      <c r="AD43" s="151">
        <v>38</v>
      </c>
      <c r="AE43" s="173" t="str">
        <f t="shared" ca="1" si="23"/>
        <v/>
      </c>
      <c r="AF43" s="173" t="str">
        <f t="shared" ca="1" si="23"/>
        <v/>
      </c>
      <c r="AG43" s="173" t="str">
        <f t="shared" ca="1" si="23"/>
        <v/>
      </c>
      <c r="AH43" s="173" t="str">
        <f t="shared" ca="1" si="23"/>
        <v/>
      </c>
      <c r="AI43" s="173" t="str">
        <f t="shared" ca="1" si="23"/>
        <v/>
      </c>
      <c r="AJ43" s="173" t="str">
        <f t="shared" ca="1" si="23"/>
        <v/>
      </c>
      <c r="AK43" s="173" t="str">
        <f t="shared" ca="1" si="23"/>
        <v/>
      </c>
      <c r="AL43" s="173" t="str">
        <f t="shared" ca="1" si="23"/>
        <v/>
      </c>
      <c r="AM43" s="173" t="str">
        <f t="shared" ca="1" si="23"/>
        <v/>
      </c>
      <c r="AN43" s="173" t="str">
        <f t="shared" ca="1" si="23"/>
        <v/>
      </c>
      <c r="AO43" s="173" t="str">
        <f t="shared" ca="1" si="23"/>
        <v/>
      </c>
      <c r="AP43" s="173" t="str">
        <f t="shared" ca="1" si="23"/>
        <v/>
      </c>
      <c r="AQ43" s="173" t="str">
        <f t="shared" ca="1" si="23"/>
        <v/>
      </c>
      <c r="AR43" s="173" t="str">
        <f t="shared" ca="1" si="23"/>
        <v/>
      </c>
      <c r="AS43" s="173" t="str">
        <f t="shared" ca="1" si="23"/>
        <v/>
      </c>
      <c r="AT43" s="151">
        <v>38</v>
      </c>
      <c r="AU43" s="174" t="str">
        <f t="shared" ca="1" si="5"/>
        <v/>
      </c>
      <c r="AV43" s="175" t="str">
        <f t="shared" ca="1" si="6"/>
        <v/>
      </c>
      <c r="AW43" s="175" t="str">
        <f t="shared" ca="1" si="7"/>
        <v/>
      </c>
      <c r="AX43" s="176" t="str">
        <f t="shared" ca="1" si="8"/>
        <v/>
      </c>
    </row>
    <row r="44" spans="1:50" ht="15" customHeight="1">
      <c r="A44" s="263"/>
      <c r="B44" s="244"/>
      <c r="C44" s="244"/>
      <c r="D44" s="168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70" t="str">
        <f t="shared" si="16"/>
        <v/>
      </c>
      <c r="U44" s="170" t="str">
        <f t="shared" si="17"/>
        <v/>
      </c>
      <c r="V44" s="170" t="str">
        <f t="shared" si="18"/>
        <v/>
      </c>
      <c r="W44" s="170" t="str">
        <f t="shared" si="19"/>
        <v/>
      </c>
      <c r="X44" s="170" t="str">
        <f t="shared" si="1"/>
        <v/>
      </c>
      <c r="Y44" s="170" t="str">
        <f t="shared" si="2"/>
        <v/>
      </c>
      <c r="Z44" s="170" t="str">
        <f t="shared" si="3"/>
        <v/>
      </c>
      <c r="AA44" s="170" t="str">
        <f t="shared" si="20"/>
        <v/>
      </c>
      <c r="AB44" s="170" t="str">
        <f t="shared" si="21"/>
        <v/>
      </c>
      <c r="AC44" s="172" t="str">
        <f t="shared" si="22"/>
        <v/>
      </c>
      <c r="AD44" s="151">
        <v>39</v>
      </c>
      <c r="AE44" s="173" t="str">
        <f t="shared" ca="1" si="23"/>
        <v/>
      </c>
      <c r="AF44" s="173" t="str">
        <f t="shared" ca="1" si="23"/>
        <v/>
      </c>
      <c r="AG44" s="173" t="str">
        <f t="shared" ca="1" si="23"/>
        <v/>
      </c>
      <c r="AH44" s="173" t="str">
        <f t="shared" ca="1" si="23"/>
        <v/>
      </c>
      <c r="AI44" s="173" t="str">
        <f t="shared" ca="1" si="23"/>
        <v/>
      </c>
      <c r="AJ44" s="173" t="str">
        <f t="shared" ca="1" si="23"/>
        <v/>
      </c>
      <c r="AK44" s="173" t="str">
        <f t="shared" ca="1" si="23"/>
        <v/>
      </c>
      <c r="AL44" s="173" t="str">
        <f t="shared" ca="1" si="23"/>
        <v/>
      </c>
      <c r="AM44" s="173" t="str">
        <f t="shared" ca="1" si="23"/>
        <v/>
      </c>
      <c r="AN44" s="173" t="str">
        <f t="shared" ca="1" si="23"/>
        <v/>
      </c>
      <c r="AO44" s="173" t="str">
        <f t="shared" ca="1" si="23"/>
        <v/>
      </c>
      <c r="AP44" s="173" t="str">
        <f t="shared" ca="1" si="23"/>
        <v/>
      </c>
      <c r="AQ44" s="173" t="str">
        <f t="shared" ca="1" si="23"/>
        <v/>
      </c>
      <c r="AR44" s="173" t="str">
        <f t="shared" ca="1" si="23"/>
        <v/>
      </c>
      <c r="AS44" s="173" t="str">
        <f t="shared" ca="1" si="23"/>
        <v/>
      </c>
      <c r="AT44" s="151">
        <v>39</v>
      </c>
      <c r="AU44" s="174" t="str">
        <f t="shared" ca="1" si="5"/>
        <v/>
      </c>
      <c r="AV44" s="175" t="str">
        <f t="shared" ca="1" si="6"/>
        <v/>
      </c>
      <c r="AW44" s="175" t="str">
        <f t="shared" ca="1" si="7"/>
        <v/>
      </c>
      <c r="AX44" s="176" t="str">
        <f t="shared" ca="1" si="8"/>
        <v/>
      </c>
    </row>
    <row r="45" spans="1:50" ht="15" customHeight="1">
      <c r="A45" s="263"/>
      <c r="B45" s="245"/>
      <c r="C45" s="245"/>
      <c r="D45" s="168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70" t="str">
        <f t="shared" si="16"/>
        <v/>
      </c>
      <c r="U45" s="170" t="str">
        <f t="shared" si="17"/>
        <v/>
      </c>
      <c r="V45" s="170" t="str">
        <f t="shared" si="18"/>
        <v/>
      </c>
      <c r="W45" s="170" t="str">
        <f t="shared" si="19"/>
        <v/>
      </c>
      <c r="X45" s="170" t="str">
        <f t="shared" si="1"/>
        <v/>
      </c>
      <c r="Y45" s="170" t="str">
        <f t="shared" si="2"/>
        <v/>
      </c>
      <c r="Z45" s="170"/>
      <c r="AA45" s="170" t="str">
        <f t="shared" si="20"/>
        <v/>
      </c>
      <c r="AB45" s="170" t="str">
        <f t="shared" si="21"/>
        <v/>
      </c>
      <c r="AC45" s="172" t="str">
        <f t="shared" si="22"/>
        <v/>
      </c>
      <c r="AD45" s="151">
        <v>40</v>
      </c>
      <c r="AE45" s="173" t="str">
        <f t="shared" ca="1" si="23"/>
        <v/>
      </c>
      <c r="AF45" s="173" t="str">
        <f t="shared" ca="1" si="23"/>
        <v/>
      </c>
      <c r="AG45" s="173" t="str">
        <f t="shared" ca="1" si="23"/>
        <v/>
      </c>
      <c r="AH45" s="173" t="str">
        <f t="shared" ca="1" si="23"/>
        <v/>
      </c>
      <c r="AI45" s="173" t="str">
        <f t="shared" ca="1" si="23"/>
        <v/>
      </c>
      <c r="AJ45" s="173" t="str">
        <f t="shared" ca="1" si="23"/>
        <v/>
      </c>
      <c r="AK45" s="173" t="str">
        <f t="shared" ca="1" si="23"/>
        <v/>
      </c>
      <c r="AL45" s="173" t="str">
        <f t="shared" ca="1" si="23"/>
        <v/>
      </c>
      <c r="AM45" s="173" t="str">
        <f t="shared" ca="1" si="23"/>
        <v/>
      </c>
      <c r="AN45" s="173" t="str">
        <f t="shared" ca="1" si="23"/>
        <v/>
      </c>
      <c r="AO45" s="173" t="str">
        <f t="shared" ca="1" si="23"/>
        <v/>
      </c>
      <c r="AP45" s="173" t="str">
        <f t="shared" ca="1" si="23"/>
        <v/>
      </c>
      <c r="AQ45" s="173" t="str">
        <f t="shared" ca="1" si="23"/>
        <v/>
      </c>
      <c r="AR45" s="173" t="str">
        <f t="shared" ca="1" si="23"/>
        <v/>
      </c>
      <c r="AS45" s="173" t="str">
        <f t="shared" ca="1" si="23"/>
        <v/>
      </c>
      <c r="AT45" s="151">
        <v>40</v>
      </c>
      <c r="AU45" s="174" t="str">
        <f t="shared" ca="1" si="5"/>
        <v/>
      </c>
      <c r="AV45" s="175" t="str">
        <f t="shared" ca="1" si="6"/>
        <v/>
      </c>
      <c r="AW45" s="175" t="str">
        <f t="shared" ca="1" si="7"/>
        <v/>
      </c>
      <c r="AX45" s="176" t="str">
        <f t="shared" ca="1" si="8"/>
        <v/>
      </c>
    </row>
    <row r="46" spans="1:50" ht="15" customHeight="1">
      <c r="A46" s="263">
        <v>6</v>
      </c>
      <c r="B46" s="252"/>
      <c r="C46" s="243"/>
      <c r="D46" s="168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70" t="str">
        <f t="shared" si="16"/>
        <v/>
      </c>
      <c r="U46" s="170" t="str">
        <f t="shared" si="17"/>
        <v/>
      </c>
      <c r="V46" s="170" t="str">
        <f t="shared" si="18"/>
        <v/>
      </c>
      <c r="W46" s="170" t="str">
        <f t="shared" si="19"/>
        <v/>
      </c>
      <c r="X46" s="170" t="str">
        <f t="shared" si="1"/>
        <v/>
      </c>
      <c r="Y46" s="170" t="str">
        <f t="shared" si="2"/>
        <v/>
      </c>
      <c r="Z46" s="170" t="str">
        <f t="shared" si="3"/>
        <v/>
      </c>
      <c r="AA46" s="170" t="str">
        <f t="shared" si="20"/>
        <v/>
      </c>
      <c r="AB46" s="170" t="str">
        <f t="shared" si="21"/>
        <v/>
      </c>
      <c r="AC46" s="172" t="str">
        <f t="shared" si="22"/>
        <v/>
      </c>
      <c r="AD46" s="151">
        <v>41</v>
      </c>
      <c r="AE46" s="173" t="str">
        <f t="shared" ca="1" si="23"/>
        <v/>
      </c>
      <c r="AF46" s="173" t="str">
        <f t="shared" ca="1" si="23"/>
        <v/>
      </c>
      <c r="AG46" s="173" t="str">
        <f t="shared" ca="1" si="23"/>
        <v/>
      </c>
      <c r="AH46" s="173" t="str">
        <f t="shared" ca="1" si="23"/>
        <v/>
      </c>
      <c r="AI46" s="173" t="str">
        <f t="shared" ca="1" si="23"/>
        <v/>
      </c>
      <c r="AJ46" s="173" t="str">
        <f t="shared" ca="1" si="23"/>
        <v/>
      </c>
      <c r="AK46" s="173" t="str">
        <f t="shared" ca="1" si="23"/>
        <v/>
      </c>
      <c r="AL46" s="173" t="str">
        <f t="shared" ca="1" si="23"/>
        <v/>
      </c>
      <c r="AM46" s="173" t="str">
        <f t="shared" ca="1" si="23"/>
        <v/>
      </c>
      <c r="AN46" s="173" t="str">
        <f t="shared" ca="1" si="23"/>
        <v/>
      </c>
      <c r="AO46" s="173" t="str">
        <f t="shared" ca="1" si="23"/>
        <v/>
      </c>
      <c r="AP46" s="173" t="str">
        <f t="shared" ca="1" si="23"/>
        <v/>
      </c>
      <c r="AQ46" s="173" t="str">
        <f t="shared" ca="1" si="23"/>
        <v/>
      </c>
      <c r="AR46" s="173" t="str">
        <f t="shared" ca="1" si="23"/>
        <v/>
      </c>
      <c r="AS46" s="173" t="str">
        <f t="shared" ca="1" si="23"/>
        <v/>
      </c>
      <c r="AT46" s="151">
        <v>41</v>
      </c>
      <c r="AU46" s="174" t="str">
        <f t="shared" ca="1" si="5"/>
        <v/>
      </c>
      <c r="AV46" s="175" t="str">
        <f t="shared" ca="1" si="6"/>
        <v/>
      </c>
      <c r="AW46" s="175" t="str">
        <f t="shared" ca="1" si="7"/>
        <v/>
      </c>
      <c r="AX46" s="176" t="str">
        <f t="shared" ca="1" si="8"/>
        <v/>
      </c>
    </row>
    <row r="47" spans="1:50" ht="15" customHeight="1">
      <c r="A47" s="263"/>
      <c r="B47" s="260"/>
      <c r="C47" s="244"/>
      <c r="D47" s="168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70" t="str">
        <f t="shared" si="16"/>
        <v/>
      </c>
      <c r="U47" s="170" t="str">
        <f t="shared" si="17"/>
        <v/>
      </c>
      <c r="V47" s="170" t="str">
        <f t="shared" si="18"/>
        <v/>
      </c>
      <c r="W47" s="170" t="str">
        <f t="shared" si="19"/>
        <v/>
      </c>
      <c r="X47" s="170" t="str">
        <f t="shared" si="1"/>
        <v/>
      </c>
      <c r="Y47" s="170" t="str">
        <f t="shared" si="2"/>
        <v/>
      </c>
      <c r="Z47" s="170" t="str">
        <f t="shared" si="3"/>
        <v/>
      </c>
      <c r="AA47" s="170" t="str">
        <f t="shared" si="20"/>
        <v/>
      </c>
      <c r="AB47" s="170" t="str">
        <f t="shared" si="21"/>
        <v/>
      </c>
      <c r="AC47" s="172" t="str">
        <f t="shared" si="22"/>
        <v/>
      </c>
      <c r="AD47" s="151">
        <v>42</v>
      </c>
      <c r="AE47" s="173" t="str">
        <f t="shared" ca="1" si="23"/>
        <v/>
      </c>
      <c r="AF47" s="173" t="str">
        <f t="shared" ca="1" si="23"/>
        <v/>
      </c>
      <c r="AG47" s="173" t="str">
        <f t="shared" ca="1" si="23"/>
        <v/>
      </c>
      <c r="AH47" s="173" t="str">
        <f t="shared" ca="1" si="23"/>
        <v/>
      </c>
      <c r="AI47" s="173" t="str">
        <f t="shared" ca="1" si="23"/>
        <v/>
      </c>
      <c r="AJ47" s="173" t="str">
        <f t="shared" ca="1" si="23"/>
        <v/>
      </c>
      <c r="AK47" s="173" t="str">
        <f t="shared" ca="1" si="23"/>
        <v/>
      </c>
      <c r="AL47" s="173" t="str">
        <f t="shared" ca="1" si="23"/>
        <v/>
      </c>
      <c r="AM47" s="173" t="str">
        <f t="shared" ca="1" si="23"/>
        <v/>
      </c>
      <c r="AN47" s="173" t="str">
        <f t="shared" ca="1" si="23"/>
        <v/>
      </c>
      <c r="AO47" s="173" t="str">
        <f t="shared" ca="1" si="23"/>
        <v/>
      </c>
      <c r="AP47" s="173" t="str">
        <f t="shared" ca="1" si="23"/>
        <v/>
      </c>
      <c r="AQ47" s="173" t="str">
        <f t="shared" ca="1" si="23"/>
        <v/>
      </c>
      <c r="AR47" s="173" t="str">
        <f t="shared" ca="1" si="23"/>
        <v/>
      </c>
      <c r="AS47" s="173" t="str">
        <f t="shared" ca="1" si="23"/>
        <v/>
      </c>
      <c r="AT47" s="151">
        <v>42</v>
      </c>
      <c r="AU47" s="174" t="str">
        <f t="shared" ca="1" si="5"/>
        <v/>
      </c>
      <c r="AV47" s="175" t="str">
        <f t="shared" ca="1" si="6"/>
        <v/>
      </c>
      <c r="AW47" s="175" t="str">
        <f t="shared" ca="1" si="7"/>
        <v/>
      </c>
      <c r="AX47" s="176" t="str">
        <f t="shared" ca="1" si="8"/>
        <v/>
      </c>
    </row>
    <row r="48" spans="1:50" ht="15" customHeight="1">
      <c r="A48" s="263"/>
      <c r="B48" s="260"/>
      <c r="C48" s="244"/>
      <c r="D48" s="168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70" t="str">
        <f t="shared" si="16"/>
        <v/>
      </c>
      <c r="U48" s="170" t="str">
        <f t="shared" si="17"/>
        <v/>
      </c>
      <c r="V48" s="170" t="str">
        <f t="shared" si="18"/>
        <v/>
      </c>
      <c r="W48" s="170" t="str">
        <f t="shared" si="19"/>
        <v/>
      </c>
      <c r="X48" s="170" t="str">
        <f t="shared" si="1"/>
        <v/>
      </c>
      <c r="Y48" s="170" t="str">
        <f t="shared" si="2"/>
        <v/>
      </c>
      <c r="Z48" s="170" t="str">
        <f t="shared" si="3"/>
        <v/>
      </c>
      <c r="AA48" s="170" t="str">
        <f t="shared" si="20"/>
        <v/>
      </c>
      <c r="AB48" s="170" t="str">
        <f t="shared" si="21"/>
        <v/>
      </c>
      <c r="AC48" s="172" t="str">
        <f t="shared" si="22"/>
        <v/>
      </c>
      <c r="AD48" s="151">
        <v>43</v>
      </c>
      <c r="AE48" s="173" t="str">
        <f t="shared" ref="AE48:AS54" ca="1" si="24">IF(SUM(INDIRECT(CHAR(COLUMN()+38)&amp;(ROW()-5)*8-2&amp;":"&amp;CHAR(COLUMN()+38)&amp;(ROW()-5)*8+5))=0,"",SUM(INDIRECT(CHAR(COLUMN()+38)&amp;(ROW()-5)*8-2&amp;":"&amp;CHAR(COLUMN()+38)&amp;(ROW()-5)*8+5))/INDIRECT("C"&amp;(ROW()-5)*8-2))</f>
        <v/>
      </c>
      <c r="AF48" s="173" t="str">
        <f t="shared" ca="1" si="24"/>
        <v/>
      </c>
      <c r="AG48" s="173" t="str">
        <f t="shared" ca="1" si="24"/>
        <v/>
      </c>
      <c r="AH48" s="173" t="str">
        <f t="shared" ca="1" si="24"/>
        <v/>
      </c>
      <c r="AI48" s="173" t="str">
        <f t="shared" ca="1" si="24"/>
        <v/>
      </c>
      <c r="AJ48" s="173" t="str">
        <f t="shared" ca="1" si="24"/>
        <v/>
      </c>
      <c r="AK48" s="173" t="str">
        <f t="shared" ca="1" si="24"/>
        <v/>
      </c>
      <c r="AL48" s="173" t="str">
        <f t="shared" ca="1" si="24"/>
        <v/>
      </c>
      <c r="AM48" s="173" t="str">
        <f t="shared" ca="1" si="24"/>
        <v/>
      </c>
      <c r="AN48" s="173" t="str">
        <f t="shared" ca="1" si="24"/>
        <v/>
      </c>
      <c r="AO48" s="173" t="str">
        <f t="shared" ca="1" si="24"/>
        <v/>
      </c>
      <c r="AP48" s="173" t="str">
        <f t="shared" ca="1" si="24"/>
        <v/>
      </c>
      <c r="AQ48" s="173" t="str">
        <f t="shared" ca="1" si="24"/>
        <v/>
      </c>
      <c r="AR48" s="173" t="str">
        <f t="shared" ca="1" si="24"/>
        <v/>
      </c>
      <c r="AS48" s="173" t="str">
        <f t="shared" ca="1" si="24"/>
        <v/>
      </c>
      <c r="AT48" s="151">
        <v>43</v>
      </c>
      <c r="AU48" s="174" t="str">
        <f t="shared" ca="1" si="5"/>
        <v/>
      </c>
      <c r="AV48" s="175" t="str">
        <f t="shared" ca="1" si="6"/>
        <v/>
      </c>
      <c r="AW48" s="175" t="str">
        <f t="shared" ca="1" si="7"/>
        <v/>
      </c>
      <c r="AX48" s="176" t="str">
        <f t="shared" ca="1" si="8"/>
        <v/>
      </c>
    </row>
    <row r="49" spans="1:50" ht="15" customHeight="1">
      <c r="A49" s="263"/>
      <c r="B49" s="260"/>
      <c r="C49" s="244"/>
      <c r="D49" s="168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70" t="str">
        <f t="shared" si="16"/>
        <v/>
      </c>
      <c r="U49" s="170" t="str">
        <f t="shared" si="17"/>
        <v/>
      </c>
      <c r="V49" s="170" t="str">
        <f t="shared" si="18"/>
        <v/>
      </c>
      <c r="W49" s="170" t="str">
        <f t="shared" si="19"/>
        <v/>
      </c>
      <c r="X49" s="170" t="str">
        <f t="shared" si="1"/>
        <v/>
      </c>
      <c r="Y49" s="170" t="str">
        <f t="shared" si="2"/>
        <v/>
      </c>
      <c r="Z49" s="170" t="str">
        <f t="shared" si="3"/>
        <v/>
      </c>
      <c r="AA49" s="170" t="str">
        <f t="shared" si="20"/>
        <v/>
      </c>
      <c r="AB49" s="170" t="str">
        <f t="shared" si="21"/>
        <v/>
      </c>
      <c r="AC49" s="172" t="str">
        <f t="shared" si="22"/>
        <v/>
      </c>
      <c r="AD49" s="151">
        <v>44</v>
      </c>
      <c r="AE49" s="173" t="str">
        <f t="shared" ca="1" si="24"/>
        <v/>
      </c>
      <c r="AF49" s="173" t="str">
        <f t="shared" ca="1" si="24"/>
        <v/>
      </c>
      <c r="AG49" s="173" t="str">
        <f t="shared" ca="1" si="24"/>
        <v/>
      </c>
      <c r="AH49" s="173" t="str">
        <f t="shared" ca="1" si="24"/>
        <v/>
      </c>
      <c r="AI49" s="173" t="str">
        <f t="shared" ca="1" si="24"/>
        <v/>
      </c>
      <c r="AJ49" s="173" t="str">
        <f t="shared" ca="1" si="24"/>
        <v/>
      </c>
      <c r="AK49" s="173" t="str">
        <f t="shared" ca="1" si="24"/>
        <v/>
      </c>
      <c r="AL49" s="173" t="str">
        <f t="shared" ca="1" si="24"/>
        <v/>
      </c>
      <c r="AM49" s="173" t="str">
        <f t="shared" ca="1" si="24"/>
        <v/>
      </c>
      <c r="AN49" s="173" t="str">
        <f t="shared" ca="1" si="24"/>
        <v/>
      </c>
      <c r="AO49" s="173" t="str">
        <f t="shared" ca="1" si="24"/>
        <v/>
      </c>
      <c r="AP49" s="173" t="str">
        <f t="shared" ca="1" si="24"/>
        <v/>
      </c>
      <c r="AQ49" s="173" t="str">
        <f t="shared" ca="1" si="24"/>
        <v/>
      </c>
      <c r="AR49" s="173" t="str">
        <f t="shared" ca="1" si="24"/>
        <v/>
      </c>
      <c r="AS49" s="173" t="str">
        <f t="shared" ca="1" si="24"/>
        <v/>
      </c>
      <c r="AT49" s="151">
        <v>44</v>
      </c>
      <c r="AU49" s="174" t="str">
        <f t="shared" ca="1" si="5"/>
        <v/>
      </c>
      <c r="AV49" s="175" t="str">
        <f t="shared" ca="1" si="6"/>
        <v/>
      </c>
      <c r="AW49" s="175" t="str">
        <f t="shared" ca="1" si="7"/>
        <v/>
      </c>
      <c r="AX49" s="176" t="str">
        <f t="shared" ca="1" si="8"/>
        <v/>
      </c>
    </row>
    <row r="50" spans="1:50" ht="15" customHeight="1">
      <c r="A50" s="263"/>
      <c r="B50" s="260"/>
      <c r="C50" s="244"/>
      <c r="D50" s="177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70" t="str">
        <f t="shared" si="16"/>
        <v/>
      </c>
      <c r="U50" s="170" t="str">
        <f t="shared" si="17"/>
        <v/>
      </c>
      <c r="V50" s="170" t="str">
        <f t="shared" si="18"/>
        <v/>
      </c>
      <c r="W50" s="170" t="str">
        <f t="shared" si="19"/>
        <v/>
      </c>
      <c r="X50" s="170" t="str">
        <f t="shared" si="1"/>
        <v/>
      </c>
      <c r="Y50" s="170" t="str">
        <f t="shared" si="2"/>
        <v/>
      </c>
      <c r="Z50" s="170" t="str">
        <f t="shared" si="3"/>
        <v/>
      </c>
      <c r="AA50" s="170" t="str">
        <f t="shared" si="20"/>
        <v/>
      </c>
      <c r="AB50" s="170" t="str">
        <f t="shared" si="21"/>
        <v/>
      </c>
      <c r="AC50" s="172" t="str">
        <f t="shared" si="22"/>
        <v/>
      </c>
      <c r="AD50" s="151">
        <v>45</v>
      </c>
      <c r="AE50" s="173" t="str">
        <f t="shared" ca="1" si="24"/>
        <v/>
      </c>
      <c r="AF50" s="173" t="str">
        <f t="shared" ca="1" si="24"/>
        <v/>
      </c>
      <c r="AG50" s="173" t="str">
        <f t="shared" ca="1" si="24"/>
        <v/>
      </c>
      <c r="AH50" s="173" t="str">
        <f t="shared" ca="1" si="24"/>
        <v/>
      </c>
      <c r="AI50" s="173" t="str">
        <f t="shared" ca="1" si="24"/>
        <v/>
      </c>
      <c r="AJ50" s="173" t="str">
        <f t="shared" ca="1" si="24"/>
        <v/>
      </c>
      <c r="AK50" s="173" t="str">
        <f t="shared" ca="1" si="24"/>
        <v/>
      </c>
      <c r="AL50" s="173" t="str">
        <f t="shared" ca="1" si="24"/>
        <v/>
      </c>
      <c r="AM50" s="173" t="str">
        <f t="shared" ca="1" si="24"/>
        <v/>
      </c>
      <c r="AN50" s="173" t="str">
        <f t="shared" ca="1" si="24"/>
        <v/>
      </c>
      <c r="AO50" s="173" t="str">
        <f t="shared" ca="1" si="24"/>
        <v/>
      </c>
      <c r="AP50" s="173" t="str">
        <f t="shared" ca="1" si="24"/>
        <v/>
      </c>
      <c r="AQ50" s="173" t="str">
        <f t="shared" ca="1" si="24"/>
        <v/>
      </c>
      <c r="AR50" s="173" t="str">
        <f t="shared" ca="1" si="24"/>
        <v/>
      </c>
      <c r="AS50" s="173" t="str">
        <f t="shared" ca="1" si="24"/>
        <v/>
      </c>
      <c r="AT50" s="151">
        <v>45</v>
      </c>
      <c r="AU50" s="174" t="str">
        <f t="shared" ca="1" si="5"/>
        <v/>
      </c>
      <c r="AV50" s="175" t="str">
        <f t="shared" ca="1" si="6"/>
        <v/>
      </c>
      <c r="AW50" s="175" t="str">
        <f t="shared" ca="1" si="7"/>
        <v/>
      </c>
      <c r="AX50" s="176" t="str">
        <f t="shared" ca="1" si="8"/>
        <v/>
      </c>
    </row>
    <row r="51" spans="1:50" ht="15" customHeight="1">
      <c r="A51" s="263"/>
      <c r="B51" s="260"/>
      <c r="C51" s="244"/>
      <c r="D51" s="177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70" t="str">
        <f t="shared" si="16"/>
        <v/>
      </c>
      <c r="U51" s="170" t="str">
        <f t="shared" si="17"/>
        <v/>
      </c>
      <c r="V51" s="170" t="str">
        <f t="shared" si="18"/>
        <v/>
      </c>
      <c r="W51" s="170" t="str">
        <f t="shared" si="19"/>
        <v/>
      </c>
      <c r="X51" s="170" t="str">
        <f t="shared" si="1"/>
        <v/>
      </c>
      <c r="Y51" s="170" t="str">
        <f t="shared" si="2"/>
        <v/>
      </c>
      <c r="Z51" s="170" t="str">
        <f t="shared" si="3"/>
        <v/>
      </c>
      <c r="AA51" s="170" t="str">
        <f t="shared" si="20"/>
        <v/>
      </c>
      <c r="AB51" s="170" t="str">
        <f t="shared" si="21"/>
        <v/>
      </c>
      <c r="AC51" s="172" t="str">
        <f t="shared" si="22"/>
        <v/>
      </c>
      <c r="AD51" s="151">
        <v>46</v>
      </c>
      <c r="AE51" s="173" t="str">
        <f t="shared" ca="1" si="24"/>
        <v/>
      </c>
      <c r="AF51" s="173" t="str">
        <f t="shared" ca="1" si="24"/>
        <v/>
      </c>
      <c r="AG51" s="173" t="str">
        <f t="shared" ca="1" si="24"/>
        <v/>
      </c>
      <c r="AH51" s="173" t="str">
        <f t="shared" ca="1" si="24"/>
        <v/>
      </c>
      <c r="AI51" s="173" t="str">
        <f t="shared" ca="1" si="24"/>
        <v/>
      </c>
      <c r="AJ51" s="173" t="str">
        <f t="shared" ca="1" si="24"/>
        <v/>
      </c>
      <c r="AK51" s="173" t="str">
        <f t="shared" ca="1" si="24"/>
        <v/>
      </c>
      <c r="AL51" s="173" t="str">
        <f t="shared" ca="1" si="24"/>
        <v/>
      </c>
      <c r="AM51" s="173" t="str">
        <f t="shared" ca="1" si="24"/>
        <v/>
      </c>
      <c r="AN51" s="173" t="str">
        <f t="shared" ca="1" si="24"/>
        <v/>
      </c>
      <c r="AO51" s="173" t="str">
        <f t="shared" ca="1" si="24"/>
        <v/>
      </c>
      <c r="AP51" s="173" t="str">
        <f t="shared" ca="1" si="24"/>
        <v/>
      </c>
      <c r="AQ51" s="173" t="str">
        <f t="shared" ca="1" si="24"/>
        <v/>
      </c>
      <c r="AR51" s="173" t="str">
        <f t="shared" ca="1" si="24"/>
        <v/>
      </c>
      <c r="AS51" s="173" t="str">
        <f t="shared" ca="1" si="24"/>
        <v/>
      </c>
      <c r="AT51" s="151">
        <v>46</v>
      </c>
      <c r="AU51" s="174" t="str">
        <f t="shared" ca="1" si="5"/>
        <v/>
      </c>
      <c r="AV51" s="175" t="str">
        <f t="shared" ca="1" si="6"/>
        <v/>
      </c>
      <c r="AW51" s="175" t="str">
        <f t="shared" ca="1" si="7"/>
        <v/>
      </c>
      <c r="AX51" s="176" t="str">
        <f t="shared" ca="1" si="8"/>
        <v/>
      </c>
    </row>
    <row r="52" spans="1:50" ht="15" customHeight="1">
      <c r="A52" s="263"/>
      <c r="B52" s="260"/>
      <c r="C52" s="244"/>
      <c r="D52" s="177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70" t="str">
        <f t="shared" si="16"/>
        <v/>
      </c>
      <c r="U52" s="170" t="str">
        <f t="shared" si="17"/>
        <v/>
      </c>
      <c r="V52" s="170" t="str">
        <f t="shared" si="18"/>
        <v/>
      </c>
      <c r="W52" s="170" t="str">
        <f t="shared" si="19"/>
        <v/>
      </c>
      <c r="X52" s="170" t="str">
        <f t="shared" si="1"/>
        <v/>
      </c>
      <c r="Y52" s="170" t="str">
        <f t="shared" si="2"/>
        <v/>
      </c>
      <c r="Z52" s="170" t="str">
        <f t="shared" si="3"/>
        <v/>
      </c>
      <c r="AA52" s="170" t="str">
        <f t="shared" si="20"/>
        <v/>
      </c>
      <c r="AB52" s="170" t="str">
        <f t="shared" si="21"/>
        <v/>
      </c>
      <c r="AC52" s="172" t="str">
        <f t="shared" si="22"/>
        <v/>
      </c>
      <c r="AD52" s="151">
        <v>47</v>
      </c>
      <c r="AE52" s="173" t="str">
        <f t="shared" ca="1" si="24"/>
        <v/>
      </c>
      <c r="AF52" s="173" t="str">
        <f t="shared" ca="1" si="24"/>
        <v/>
      </c>
      <c r="AG52" s="173" t="str">
        <f t="shared" ca="1" si="24"/>
        <v/>
      </c>
      <c r="AH52" s="173" t="str">
        <f t="shared" ca="1" si="24"/>
        <v/>
      </c>
      <c r="AI52" s="173" t="str">
        <f t="shared" ca="1" si="24"/>
        <v/>
      </c>
      <c r="AJ52" s="173" t="str">
        <f t="shared" ca="1" si="24"/>
        <v/>
      </c>
      <c r="AK52" s="173" t="str">
        <f t="shared" ca="1" si="24"/>
        <v/>
      </c>
      <c r="AL52" s="173" t="str">
        <f t="shared" ca="1" si="24"/>
        <v/>
      </c>
      <c r="AM52" s="173" t="str">
        <f t="shared" ca="1" si="24"/>
        <v/>
      </c>
      <c r="AN52" s="173" t="str">
        <f t="shared" ca="1" si="24"/>
        <v/>
      </c>
      <c r="AO52" s="173" t="str">
        <f t="shared" ca="1" si="24"/>
        <v/>
      </c>
      <c r="AP52" s="173" t="str">
        <f t="shared" ca="1" si="24"/>
        <v/>
      </c>
      <c r="AQ52" s="173" t="str">
        <f t="shared" ca="1" si="24"/>
        <v/>
      </c>
      <c r="AR52" s="173" t="str">
        <f t="shared" ca="1" si="24"/>
        <v/>
      </c>
      <c r="AS52" s="173" t="str">
        <f t="shared" ca="1" si="24"/>
        <v/>
      </c>
      <c r="AT52" s="151">
        <v>47</v>
      </c>
      <c r="AU52" s="174" t="str">
        <f t="shared" ca="1" si="5"/>
        <v/>
      </c>
      <c r="AV52" s="175" t="str">
        <f t="shared" ca="1" si="6"/>
        <v/>
      </c>
      <c r="AW52" s="175" t="str">
        <f t="shared" ca="1" si="7"/>
        <v/>
      </c>
      <c r="AX52" s="176" t="str">
        <f t="shared" ca="1" si="8"/>
        <v/>
      </c>
    </row>
    <row r="53" spans="1:50" ht="15" customHeight="1">
      <c r="A53" s="263"/>
      <c r="B53" s="261"/>
      <c r="C53" s="245"/>
      <c r="D53" s="177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70" t="str">
        <f t="shared" si="16"/>
        <v/>
      </c>
      <c r="U53" s="170" t="str">
        <f t="shared" si="17"/>
        <v/>
      </c>
      <c r="V53" s="170" t="str">
        <f t="shared" si="18"/>
        <v/>
      </c>
      <c r="W53" s="170" t="str">
        <f t="shared" si="19"/>
        <v/>
      </c>
      <c r="X53" s="170" t="str">
        <f t="shared" si="1"/>
        <v/>
      </c>
      <c r="Y53" s="170" t="str">
        <f t="shared" si="2"/>
        <v/>
      </c>
      <c r="Z53" s="170"/>
      <c r="AA53" s="170" t="str">
        <f t="shared" si="20"/>
        <v/>
      </c>
      <c r="AB53" s="170" t="str">
        <f t="shared" si="21"/>
        <v/>
      </c>
      <c r="AC53" s="172" t="str">
        <f t="shared" si="22"/>
        <v/>
      </c>
      <c r="AD53" s="151">
        <v>48</v>
      </c>
      <c r="AE53" s="173" t="str">
        <f t="shared" ca="1" si="24"/>
        <v/>
      </c>
      <c r="AF53" s="173" t="str">
        <f t="shared" ca="1" si="24"/>
        <v/>
      </c>
      <c r="AG53" s="173" t="str">
        <f t="shared" ca="1" si="24"/>
        <v/>
      </c>
      <c r="AH53" s="173" t="str">
        <f t="shared" ca="1" si="24"/>
        <v/>
      </c>
      <c r="AI53" s="173" t="str">
        <f t="shared" ca="1" si="24"/>
        <v/>
      </c>
      <c r="AJ53" s="173" t="str">
        <f t="shared" ca="1" si="24"/>
        <v/>
      </c>
      <c r="AK53" s="173" t="str">
        <f t="shared" ca="1" si="24"/>
        <v/>
      </c>
      <c r="AL53" s="173" t="str">
        <f t="shared" ca="1" si="24"/>
        <v/>
      </c>
      <c r="AM53" s="173" t="str">
        <f t="shared" ca="1" si="24"/>
        <v/>
      </c>
      <c r="AN53" s="173" t="str">
        <f t="shared" ca="1" si="24"/>
        <v/>
      </c>
      <c r="AO53" s="173" t="str">
        <f t="shared" ca="1" si="24"/>
        <v/>
      </c>
      <c r="AP53" s="173" t="str">
        <f t="shared" ca="1" si="24"/>
        <v/>
      </c>
      <c r="AQ53" s="173" t="str">
        <f t="shared" ca="1" si="24"/>
        <v/>
      </c>
      <c r="AR53" s="173" t="str">
        <f t="shared" ca="1" si="24"/>
        <v/>
      </c>
      <c r="AS53" s="173" t="str">
        <f t="shared" ca="1" si="24"/>
        <v/>
      </c>
      <c r="AT53" s="151">
        <v>48</v>
      </c>
      <c r="AU53" s="174" t="str">
        <f t="shared" ca="1" si="5"/>
        <v/>
      </c>
      <c r="AV53" s="175" t="str">
        <f t="shared" ca="1" si="6"/>
        <v/>
      </c>
      <c r="AW53" s="175" t="str">
        <f t="shared" ca="1" si="7"/>
        <v/>
      </c>
      <c r="AX53" s="176" t="str">
        <f t="shared" ca="1" si="8"/>
        <v/>
      </c>
    </row>
    <row r="54" spans="1:50" ht="15" customHeight="1">
      <c r="A54" s="263">
        <v>7</v>
      </c>
      <c r="B54" s="252"/>
      <c r="C54" s="243"/>
      <c r="D54" s="168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70" t="str">
        <f t="shared" si="16"/>
        <v/>
      </c>
      <c r="U54" s="170" t="str">
        <f t="shared" si="17"/>
        <v/>
      </c>
      <c r="V54" s="170" t="str">
        <f t="shared" si="18"/>
        <v/>
      </c>
      <c r="W54" s="170" t="str">
        <f t="shared" si="19"/>
        <v/>
      </c>
      <c r="X54" s="170" t="str">
        <f t="shared" si="1"/>
        <v/>
      </c>
      <c r="Y54" s="170" t="str">
        <f t="shared" si="2"/>
        <v/>
      </c>
      <c r="Z54" s="170" t="str">
        <f t="shared" si="3"/>
        <v/>
      </c>
      <c r="AA54" s="170" t="str">
        <f t="shared" si="20"/>
        <v/>
      </c>
      <c r="AB54" s="170" t="str">
        <f t="shared" si="21"/>
        <v/>
      </c>
      <c r="AC54" s="172" t="str">
        <f t="shared" si="22"/>
        <v/>
      </c>
      <c r="AD54" s="151">
        <v>49</v>
      </c>
      <c r="AE54" s="173" t="str">
        <f t="shared" ca="1" si="24"/>
        <v/>
      </c>
      <c r="AF54" s="173" t="str">
        <f t="shared" ca="1" si="24"/>
        <v/>
      </c>
      <c r="AG54" s="173" t="str">
        <f t="shared" ca="1" si="24"/>
        <v/>
      </c>
      <c r="AH54" s="173" t="str">
        <f t="shared" ca="1" si="24"/>
        <v/>
      </c>
      <c r="AI54" s="173" t="str">
        <f t="shared" ca="1" si="24"/>
        <v/>
      </c>
      <c r="AJ54" s="173" t="str">
        <f t="shared" ca="1" si="24"/>
        <v/>
      </c>
      <c r="AK54" s="173" t="str">
        <f t="shared" ca="1" si="24"/>
        <v/>
      </c>
      <c r="AL54" s="173" t="str">
        <f t="shared" ca="1" si="24"/>
        <v/>
      </c>
      <c r="AM54" s="173" t="str">
        <f t="shared" ca="1" si="24"/>
        <v/>
      </c>
      <c r="AN54" s="173" t="str">
        <f t="shared" ca="1" si="24"/>
        <v/>
      </c>
      <c r="AO54" s="173" t="str">
        <f t="shared" ca="1" si="24"/>
        <v/>
      </c>
      <c r="AP54" s="173" t="str">
        <f t="shared" ca="1" si="24"/>
        <v/>
      </c>
      <c r="AQ54" s="173" t="str">
        <f t="shared" ca="1" si="24"/>
        <v/>
      </c>
      <c r="AR54" s="173" t="str">
        <f t="shared" ca="1" si="24"/>
        <v/>
      </c>
      <c r="AS54" s="173" t="str">
        <f t="shared" ca="1" si="24"/>
        <v/>
      </c>
      <c r="AT54" s="151">
        <v>49</v>
      </c>
      <c r="AU54" s="174" t="str">
        <f t="shared" ca="1" si="5"/>
        <v/>
      </c>
      <c r="AV54" s="175" t="str">
        <f t="shared" ca="1" si="6"/>
        <v/>
      </c>
      <c r="AW54" s="175" t="str">
        <f t="shared" ca="1" si="7"/>
        <v/>
      </c>
      <c r="AX54" s="176" t="str">
        <f t="shared" ca="1" si="8"/>
        <v/>
      </c>
    </row>
    <row r="55" spans="1:50" ht="15">
      <c r="A55" s="263"/>
      <c r="B55" s="260"/>
      <c r="C55" s="244"/>
      <c r="D55" s="168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70" t="str">
        <f t="shared" si="16"/>
        <v/>
      </c>
      <c r="U55" s="170" t="str">
        <f t="shared" si="17"/>
        <v/>
      </c>
      <c r="V55" s="170" t="str">
        <f t="shared" si="18"/>
        <v/>
      </c>
      <c r="W55" s="170" t="str">
        <f t="shared" si="19"/>
        <v/>
      </c>
      <c r="X55" s="170" t="str">
        <f t="shared" si="1"/>
        <v/>
      </c>
      <c r="Y55" s="170" t="str">
        <f t="shared" si="2"/>
        <v/>
      </c>
      <c r="Z55" s="170" t="str">
        <f t="shared" si="3"/>
        <v/>
      </c>
      <c r="AA55" s="170" t="str">
        <f t="shared" si="20"/>
        <v/>
      </c>
      <c r="AB55" s="170" t="str">
        <f t="shared" si="21"/>
        <v/>
      </c>
      <c r="AC55" s="172" t="str">
        <f t="shared" si="22"/>
        <v/>
      </c>
      <c r="AD55" s="151">
        <v>50</v>
      </c>
      <c r="AE55" s="173" t="str">
        <f t="shared" ref="AE55:AS71" ca="1" si="25">IF(SUM(INDIRECT(CHAR(COLUMN()+38)&amp;(ROW()-5)*8-2&amp;":"&amp;CHAR(COLUMN()+38)&amp;(ROW()-5)*8+5))=0,"",SUM(INDIRECT(CHAR(COLUMN()+38)&amp;(ROW()-5)*8-2&amp;":"&amp;CHAR(COLUMN()+38)&amp;(ROW()-5)*8+5))/INDIRECT("C"&amp;(ROW()-5)*8-2))</f>
        <v/>
      </c>
      <c r="AF55" s="173" t="str">
        <f t="shared" ca="1" si="25"/>
        <v/>
      </c>
      <c r="AG55" s="173" t="str">
        <f t="shared" ca="1" si="25"/>
        <v/>
      </c>
      <c r="AH55" s="173" t="str">
        <f t="shared" ca="1" si="25"/>
        <v/>
      </c>
      <c r="AI55" s="173" t="str">
        <f t="shared" ca="1" si="25"/>
        <v/>
      </c>
      <c r="AJ55" s="173" t="str">
        <f t="shared" ca="1" si="25"/>
        <v/>
      </c>
      <c r="AK55" s="173" t="str">
        <f t="shared" ca="1" si="25"/>
        <v/>
      </c>
      <c r="AL55" s="173" t="str">
        <f t="shared" ca="1" si="25"/>
        <v/>
      </c>
      <c r="AM55" s="173" t="str">
        <f t="shared" ca="1" si="25"/>
        <v/>
      </c>
      <c r="AN55" s="173" t="str">
        <f t="shared" ca="1" si="25"/>
        <v/>
      </c>
      <c r="AO55" s="173" t="str">
        <f t="shared" ca="1" si="25"/>
        <v/>
      </c>
      <c r="AP55" s="173" t="str">
        <f t="shared" ca="1" si="25"/>
        <v/>
      </c>
      <c r="AQ55" s="173" t="str">
        <f t="shared" ca="1" si="25"/>
        <v/>
      </c>
      <c r="AR55" s="173" t="str">
        <f t="shared" ca="1" si="25"/>
        <v/>
      </c>
      <c r="AS55" s="173" t="str">
        <f t="shared" ca="1" si="25"/>
        <v/>
      </c>
      <c r="AT55" s="151">
        <v>50</v>
      </c>
      <c r="AU55" s="174" t="str">
        <f t="shared" ca="1" si="5"/>
        <v/>
      </c>
      <c r="AV55" s="175" t="str">
        <f t="shared" ca="1" si="6"/>
        <v/>
      </c>
      <c r="AW55" s="175" t="str">
        <f t="shared" ca="1" si="7"/>
        <v/>
      </c>
      <c r="AX55" s="176" t="str">
        <f t="shared" ca="1" si="8"/>
        <v/>
      </c>
    </row>
    <row r="56" spans="1:50" ht="15">
      <c r="A56" s="263"/>
      <c r="B56" s="260"/>
      <c r="C56" s="244"/>
      <c r="D56" s="168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70" t="str">
        <f t="shared" si="16"/>
        <v/>
      </c>
      <c r="U56" s="170" t="str">
        <f t="shared" si="17"/>
        <v/>
      </c>
      <c r="V56" s="170" t="str">
        <f t="shared" si="18"/>
        <v/>
      </c>
      <c r="W56" s="170" t="str">
        <f t="shared" si="19"/>
        <v/>
      </c>
      <c r="X56" s="170" t="str">
        <f t="shared" si="1"/>
        <v/>
      </c>
      <c r="Y56" s="170" t="str">
        <f t="shared" si="2"/>
        <v/>
      </c>
      <c r="Z56" s="170" t="str">
        <f t="shared" si="3"/>
        <v/>
      </c>
      <c r="AA56" s="170" t="str">
        <f t="shared" si="20"/>
        <v/>
      </c>
      <c r="AB56" s="170" t="str">
        <f t="shared" si="21"/>
        <v/>
      </c>
      <c r="AC56" s="172" t="str">
        <f t="shared" si="22"/>
        <v/>
      </c>
      <c r="AD56" s="151">
        <v>51</v>
      </c>
      <c r="AE56" s="173" t="str">
        <f t="shared" ca="1" si="25"/>
        <v/>
      </c>
      <c r="AF56" s="173" t="str">
        <f t="shared" ca="1" si="25"/>
        <v/>
      </c>
      <c r="AG56" s="173" t="str">
        <f t="shared" ca="1" si="25"/>
        <v/>
      </c>
      <c r="AH56" s="173" t="str">
        <f t="shared" ca="1" si="25"/>
        <v/>
      </c>
      <c r="AI56" s="173" t="str">
        <f t="shared" ca="1" si="25"/>
        <v/>
      </c>
      <c r="AJ56" s="173" t="str">
        <f t="shared" ca="1" si="25"/>
        <v/>
      </c>
      <c r="AK56" s="173" t="str">
        <f t="shared" ca="1" si="25"/>
        <v/>
      </c>
      <c r="AL56" s="173" t="str">
        <f t="shared" ca="1" si="25"/>
        <v/>
      </c>
      <c r="AM56" s="173" t="str">
        <f t="shared" ca="1" si="25"/>
        <v/>
      </c>
      <c r="AN56" s="173" t="str">
        <f t="shared" ca="1" si="25"/>
        <v/>
      </c>
      <c r="AO56" s="173" t="str">
        <f t="shared" ca="1" si="25"/>
        <v/>
      </c>
      <c r="AP56" s="173" t="str">
        <f t="shared" ca="1" si="25"/>
        <v/>
      </c>
      <c r="AQ56" s="173" t="str">
        <f t="shared" ca="1" si="25"/>
        <v/>
      </c>
      <c r="AR56" s="173" t="str">
        <f t="shared" ca="1" si="25"/>
        <v/>
      </c>
      <c r="AS56" s="173" t="str">
        <f t="shared" ca="1" si="25"/>
        <v/>
      </c>
      <c r="AT56" s="151">
        <v>51</v>
      </c>
      <c r="AU56" s="174" t="str">
        <f t="shared" ca="1" si="5"/>
        <v/>
      </c>
      <c r="AV56" s="175" t="str">
        <f t="shared" ca="1" si="6"/>
        <v/>
      </c>
      <c r="AW56" s="175" t="str">
        <f t="shared" ca="1" si="7"/>
        <v/>
      </c>
      <c r="AX56" s="176" t="str">
        <f t="shared" ca="1" si="8"/>
        <v/>
      </c>
    </row>
    <row r="57" spans="1:50" ht="15">
      <c r="A57" s="263"/>
      <c r="B57" s="260"/>
      <c r="C57" s="244"/>
      <c r="D57" s="168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70" t="str">
        <f t="shared" si="16"/>
        <v/>
      </c>
      <c r="U57" s="170" t="str">
        <f t="shared" si="17"/>
        <v/>
      </c>
      <c r="V57" s="170" t="str">
        <f t="shared" si="18"/>
        <v/>
      </c>
      <c r="W57" s="170" t="str">
        <f t="shared" si="19"/>
        <v/>
      </c>
      <c r="X57" s="170" t="str">
        <f t="shared" si="1"/>
        <v/>
      </c>
      <c r="Y57" s="170" t="str">
        <f t="shared" si="2"/>
        <v/>
      </c>
      <c r="Z57" s="170" t="str">
        <f t="shared" si="3"/>
        <v/>
      </c>
      <c r="AA57" s="170" t="str">
        <f t="shared" si="20"/>
        <v/>
      </c>
      <c r="AB57" s="170" t="str">
        <f t="shared" si="21"/>
        <v/>
      </c>
      <c r="AC57" s="172" t="str">
        <f t="shared" si="22"/>
        <v/>
      </c>
      <c r="AD57" s="151">
        <v>52</v>
      </c>
      <c r="AE57" s="173" t="str">
        <f t="shared" ca="1" si="25"/>
        <v/>
      </c>
      <c r="AF57" s="173" t="str">
        <f t="shared" ca="1" si="25"/>
        <v/>
      </c>
      <c r="AG57" s="173" t="str">
        <f t="shared" ca="1" si="25"/>
        <v/>
      </c>
      <c r="AH57" s="173" t="str">
        <f t="shared" ca="1" si="25"/>
        <v/>
      </c>
      <c r="AI57" s="173" t="str">
        <f t="shared" ca="1" si="25"/>
        <v/>
      </c>
      <c r="AJ57" s="173" t="str">
        <f t="shared" ca="1" si="25"/>
        <v/>
      </c>
      <c r="AK57" s="173" t="str">
        <f t="shared" ca="1" si="25"/>
        <v/>
      </c>
      <c r="AL57" s="173" t="str">
        <f t="shared" ca="1" si="25"/>
        <v/>
      </c>
      <c r="AM57" s="173" t="str">
        <f t="shared" ca="1" si="25"/>
        <v/>
      </c>
      <c r="AN57" s="173" t="str">
        <f t="shared" ca="1" si="25"/>
        <v/>
      </c>
      <c r="AO57" s="173" t="str">
        <f t="shared" ca="1" si="25"/>
        <v/>
      </c>
      <c r="AP57" s="173" t="str">
        <f t="shared" ca="1" si="25"/>
        <v/>
      </c>
      <c r="AQ57" s="173" t="str">
        <f t="shared" ca="1" si="25"/>
        <v/>
      </c>
      <c r="AR57" s="173" t="str">
        <f t="shared" ca="1" si="25"/>
        <v/>
      </c>
      <c r="AS57" s="173" t="str">
        <f t="shared" ca="1" si="25"/>
        <v/>
      </c>
      <c r="AT57" s="151">
        <v>52</v>
      </c>
      <c r="AU57" s="174" t="str">
        <f t="shared" ca="1" si="5"/>
        <v/>
      </c>
      <c r="AV57" s="175" t="str">
        <f t="shared" ca="1" si="6"/>
        <v/>
      </c>
      <c r="AW57" s="175" t="str">
        <f t="shared" ca="1" si="7"/>
        <v/>
      </c>
      <c r="AX57" s="176" t="str">
        <f t="shared" ca="1" si="8"/>
        <v/>
      </c>
    </row>
    <row r="58" spans="1:50" ht="15">
      <c r="A58" s="263"/>
      <c r="B58" s="260"/>
      <c r="C58" s="244"/>
      <c r="D58" s="168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70" t="str">
        <f t="shared" si="16"/>
        <v/>
      </c>
      <c r="U58" s="170" t="str">
        <f t="shared" si="17"/>
        <v/>
      </c>
      <c r="V58" s="170" t="str">
        <f t="shared" si="18"/>
        <v/>
      </c>
      <c r="W58" s="170" t="str">
        <f t="shared" si="19"/>
        <v/>
      </c>
      <c r="X58" s="170" t="str">
        <f t="shared" si="1"/>
        <v/>
      </c>
      <c r="Y58" s="170" t="str">
        <f t="shared" si="2"/>
        <v/>
      </c>
      <c r="Z58" s="170" t="str">
        <f t="shared" si="3"/>
        <v/>
      </c>
      <c r="AA58" s="170" t="str">
        <f t="shared" si="20"/>
        <v/>
      </c>
      <c r="AB58" s="170" t="str">
        <f t="shared" si="21"/>
        <v/>
      </c>
      <c r="AC58" s="172" t="str">
        <f t="shared" si="22"/>
        <v/>
      </c>
      <c r="AD58" s="151">
        <v>53</v>
      </c>
      <c r="AE58" s="173" t="str">
        <f t="shared" ca="1" si="25"/>
        <v/>
      </c>
      <c r="AF58" s="173" t="str">
        <f t="shared" ca="1" si="25"/>
        <v/>
      </c>
      <c r="AG58" s="173" t="str">
        <f t="shared" ca="1" si="25"/>
        <v/>
      </c>
      <c r="AH58" s="173" t="str">
        <f t="shared" ca="1" si="25"/>
        <v/>
      </c>
      <c r="AI58" s="173" t="str">
        <f t="shared" ca="1" si="25"/>
        <v/>
      </c>
      <c r="AJ58" s="173" t="str">
        <f t="shared" ca="1" si="25"/>
        <v/>
      </c>
      <c r="AK58" s="173" t="str">
        <f t="shared" ca="1" si="25"/>
        <v/>
      </c>
      <c r="AL58" s="173" t="str">
        <f t="shared" ca="1" si="25"/>
        <v/>
      </c>
      <c r="AM58" s="173" t="str">
        <f t="shared" ca="1" si="25"/>
        <v/>
      </c>
      <c r="AN58" s="173" t="str">
        <f t="shared" ca="1" si="25"/>
        <v/>
      </c>
      <c r="AO58" s="173" t="str">
        <f t="shared" ca="1" si="25"/>
        <v/>
      </c>
      <c r="AP58" s="173" t="str">
        <f t="shared" ca="1" si="25"/>
        <v/>
      </c>
      <c r="AQ58" s="173" t="str">
        <f t="shared" ca="1" si="25"/>
        <v/>
      </c>
      <c r="AR58" s="173" t="str">
        <f t="shared" ca="1" si="25"/>
        <v/>
      </c>
      <c r="AS58" s="173" t="str">
        <f t="shared" ca="1" si="25"/>
        <v/>
      </c>
      <c r="AT58" s="151">
        <v>53</v>
      </c>
      <c r="AU58" s="174" t="str">
        <f t="shared" ca="1" si="5"/>
        <v/>
      </c>
      <c r="AV58" s="175" t="str">
        <f t="shared" ca="1" si="6"/>
        <v/>
      </c>
      <c r="AW58" s="175" t="str">
        <f t="shared" ca="1" si="7"/>
        <v/>
      </c>
      <c r="AX58" s="176" t="str">
        <f t="shared" ca="1" si="8"/>
        <v/>
      </c>
    </row>
    <row r="59" spans="1:50" ht="15">
      <c r="A59" s="263"/>
      <c r="B59" s="260"/>
      <c r="C59" s="244"/>
      <c r="D59" s="177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70" t="str">
        <f t="shared" si="16"/>
        <v/>
      </c>
      <c r="U59" s="170" t="str">
        <f t="shared" si="17"/>
        <v/>
      </c>
      <c r="V59" s="170" t="str">
        <f t="shared" si="18"/>
        <v/>
      </c>
      <c r="W59" s="170" t="str">
        <f t="shared" si="19"/>
        <v/>
      </c>
      <c r="X59" s="170" t="str">
        <f t="shared" si="1"/>
        <v/>
      </c>
      <c r="Y59" s="170" t="str">
        <f t="shared" si="2"/>
        <v/>
      </c>
      <c r="Z59" s="170" t="str">
        <f t="shared" si="3"/>
        <v/>
      </c>
      <c r="AA59" s="170" t="str">
        <f t="shared" si="20"/>
        <v/>
      </c>
      <c r="AB59" s="170" t="str">
        <f t="shared" si="21"/>
        <v/>
      </c>
      <c r="AC59" s="172" t="str">
        <f t="shared" si="22"/>
        <v/>
      </c>
      <c r="AD59" s="151">
        <v>54</v>
      </c>
      <c r="AE59" s="173" t="str">
        <f t="shared" ca="1" si="25"/>
        <v/>
      </c>
      <c r="AF59" s="173" t="str">
        <f t="shared" ca="1" si="25"/>
        <v/>
      </c>
      <c r="AG59" s="173" t="str">
        <f t="shared" ca="1" si="25"/>
        <v/>
      </c>
      <c r="AH59" s="173" t="str">
        <f t="shared" ca="1" si="25"/>
        <v/>
      </c>
      <c r="AI59" s="173" t="str">
        <f t="shared" ca="1" si="25"/>
        <v/>
      </c>
      <c r="AJ59" s="173" t="str">
        <f t="shared" ca="1" si="25"/>
        <v/>
      </c>
      <c r="AK59" s="173" t="str">
        <f t="shared" ca="1" si="25"/>
        <v/>
      </c>
      <c r="AL59" s="173" t="str">
        <f t="shared" ca="1" si="25"/>
        <v/>
      </c>
      <c r="AM59" s="173" t="str">
        <f t="shared" ca="1" si="25"/>
        <v/>
      </c>
      <c r="AN59" s="173" t="str">
        <f t="shared" ca="1" si="25"/>
        <v/>
      </c>
      <c r="AO59" s="173" t="str">
        <f t="shared" ca="1" si="25"/>
        <v/>
      </c>
      <c r="AP59" s="173" t="str">
        <f t="shared" ca="1" si="25"/>
        <v/>
      </c>
      <c r="AQ59" s="173" t="str">
        <f t="shared" ca="1" si="25"/>
        <v/>
      </c>
      <c r="AR59" s="173" t="str">
        <f t="shared" ca="1" si="25"/>
        <v/>
      </c>
      <c r="AS59" s="173" t="str">
        <f t="shared" ca="1" si="25"/>
        <v/>
      </c>
      <c r="AT59" s="151">
        <v>54</v>
      </c>
      <c r="AU59" s="174" t="str">
        <f t="shared" ca="1" si="5"/>
        <v/>
      </c>
      <c r="AV59" s="175" t="str">
        <f t="shared" ca="1" si="6"/>
        <v/>
      </c>
      <c r="AW59" s="175" t="str">
        <f t="shared" ca="1" si="7"/>
        <v/>
      </c>
      <c r="AX59" s="176" t="str">
        <f t="shared" ca="1" si="8"/>
        <v/>
      </c>
    </row>
    <row r="60" spans="1:50" ht="15">
      <c r="A60" s="263"/>
      <c r="B60" s="260"/>
      <c r="C60" s="244"/>
      <c r="D60" s="177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70" t="str">
        <f t="shared" si="16"/>
        <v/>
      </c>
      <c r="U60" s="170" t="str">
        <f t="shared" si="17"/>
        <v/>
      </c>
      <c r="V60" s="170" t="str">
        <f t="shared" si="18"/>
        <v/>
      </c>
      <c r="W60" s="170" t="str">
        <f t="shared" si="19"/>
        <v/>
      </c>
      <c r="X60" s="170" t="str">
        <f t="shared" si="1"/>
        <v/>
      </c>
      <c r="Y60" s="170" t="str">
        <f t="shared" si="2"/>
        <v/>
      </c>
      <c r="Z60" s="170" t="str">
        <f t="shared" si="3"/>
        <v/>
      </c>
      <c r="AA60" s="170" t="str">
        <f t="shared" si="20"/>
        <v/>
      </c>
      <c r="AB60" s="170" t="str">
        <f t="shared" si="21"/>
        <v/>
      </c>
      <c r="AC60" s="172" t="str">
        <f t="shared" si="22"/>
        <v/>
      </c>
      <c r="AD60" s="151">
        <v>55</v>
      </c>
      <c r="AE60" s="173" t="str">
        <f t="shared" ca="1" si="25"/>
        <v/>
      </c>
      <c r="AF60" s="173" t="str">
        <f t="shared" ca="1" si="25"/>
        <v/>
      </c>
      <c r="AG60" s="173" t="str">
        <f t="shared" ca="1" si="25"/>
        <v/>
      </c>
      <c r="AH60" s="173" t="str">
        <f t="shared" ca="1" si="25"/>
        <v/>
      </c>
      <c r="AI60" s="173" t="str">
        <f t="shared" ca="1" si="25"/>
        <v/>
      </c>
      <c r="AJ60" s="173" t="str">
        <f t="shared" ca="1" si="25"/>
        <v/>
      </c>
      <c r="AK60" s="173" t="str">
        <f t="shared" ca="1" si="25"/>
        <v/>
      </c>
      <c r="AL60" s="173" t="str">
        <f t="shared" ca="1" si="25"/>
        <v/>
      </c>
      <c r="AM60" s="173" t="str">
        <f t="shared" ca="1" si="25"/>
        <v/>
      </c>
      <c r="AN60" s="173" t="str">
        <f t="shared" ca="1" si="25"/>
        <v/>
      </c>
      <c r="AO60" s="173" t="str">
        <f t="shared" ca="1" si="25"/>
        <v/>
      </c>
      <c r="AP60" s="173" t="str">
        <f t="shared" ca="1" si="25"/>
        <v/>
      </c>
      <c r="AQ60" s="173" t="str">
        <f t="shared" ca="1" si="25"/>
        <v/>
      </c>
      <c r="AR60" s="173" t="str">
        <f t="shared" ca="1" si="25"/>
        <v/>
      </c>
      <c r="AS60" s="173" t="str">
        <f t="shared" ca="1" si="25"/>
        <v/>
      </c>
      <c r="AT60" s="151">
        <v>55</v>
      </c>
      <c r="AU60" s="174" t="str">
        <f t="shared" ca="1" si="5"/>
        <v/>
      </c>
      <c r="AV60" s="175" t="str">
        <f t="shared" ca="1" si="6"/>
        <v/>
      </c>
      <c r="AW60" s="175" t="str">
        <f t="shared" ca="1" si="7"/>
        <v/>
      </c>
      <c r="AX60" s="176" t="str">
        <f t="shared" ca="1" si="8"/>
        <v/>
      </c>
    </row>
    <row r="61" spans="1:50" ht="15">
      <c r="A61" s="263"/>
      <c r="B61" s="261"/>
      <c r="C61" s="245"/>
      <c r="D61" s="177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70" t="str">
        <f t="shared" si="16"/>
        <v/>
      </c>
      <c r="U61" s="170" t="str">
        <f t="shared" si="17"/>
        <v/>
      </c>
      <c r="V61" s="170" t="str">
        <f t="shared" si="18"/>
        <v/>
      </c>
      <c r="W61" s="170" t="str">
        <f t="shared" si="19"/>
        <v/>
      </c>
      <c r="X61" s="170" t="str">
        <f t="shared" si="1"/>
        <v/>
      </c>
      <c r="Y61" s="170" t="str">
        <f t="shared" si="2"/>
        <v/>
      </c>
      <c r="Z61" s="170"/>
      <c r="AA61" s="170" t="str">
        <f t="shared" si="20"/>
        <v/>
      </c>
      <c r="AB61" s="170" t="str">
        <f t="shared" si="21"/>
        <v/>
      </c>
      <c r="AC61" s="172" t="str">
        <f t="shared" si="22"/>
        <v/>
      </c>
      <c r="AD61" s="151">
        <v>56</v>
      </c>
      <c r="AE61" s="173" t="str">
        <f t="shared" ca="1" si="25"/>
        <v/>
      </c>
      <c r="AF61" s="173" t="str">
        <f t="shared" ca="1" si="25"/>
        <v/>
      </c>
      <c r="AG61" s="173" t="str">
        <f t="shared" ca="1" si="25"/>
        <v/>
      </c>
      <c r="AH61" s="173" t="str">
        <f t="shared" ca="1" si="25"/>
        <v/>
      </c>
      <c r="AI61" s="173" t="str">
        <f t="shared" ca="1" si="25"/>
        <v/>
      </c>
      <c r="AJ61" s="173" t="str">
        <f t="shared" ca="1" si="25"/>
        <v/>
      </c>
      <c r="AK61" s="173" t="str">
        <f t="shared" ca="1" si="25"/>
        <v/>
      </c>
      <c r="AL61" s="173" t="str">
        <f t="shared" ca="1" si="25"/>
        <v/>
      </c>
      <c r="AM61" s="173" t="str">
        <f t="shared" ca="1" si="25"/>
        <v/>
      </c>
      <c r="AN61" s="173" t="str">
        <f t="shared" ca="1" si="25"/>
        <v/>
      </c>
      <c r="AO61" s="173" t="str">
        <f t="shared" ca="1" si="25"/>
        <v/>
      </c>
      <c r="AP61" s="173" t="str">
        <f t="shared" ca="1" si="25"/>
        <v/>
      </c>
      <c r="AQ61" s="173" t="str">
        <f t="shared" ca="1" si="25"/>
        <v/>
      </c>
      <c r="AR61" s="173" t="str">
        <f t="shared" ca="1" si="25"/>
        <v/>
      </c>
      <c r="AS61" s="173" t="str">
        <f t="shared" ca="1" si="25"/>
        <v/>
      </c>
      <c r="AT61" s="151">
        <v>56</v>
      </c>
      <c r="AU61" s="174" t="str">
        <f t="shared" ca="1" si="5"/>
        <v/>
      </c>
      <c r="AV61" s="175" t="str">
        <f t="shared" ca="1" si="6"/>
        <v/>
      </c>
      <c r="AW61" s="175" t="str">
        <f t="shared" ca="1" si="7"/>
        <v/>
      </c>
      <c r="AX61" s="176" t="str">
        <f t="shared" ca="1" si="8"/>
        <v/>
      </c>
    </row>
    <row r="62" spans="1:50" ht="15" customHeight="1">
      <c r="A62" s="263">
        <v>8</v>
      </c>
      <c r="B62" s="252"/>
      <c r="C62" s="243"/>
      <c r="D62" s="168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70" t="str">
        <f t="shared" si="16"/>
        <v/>
      </c>
      <c r="U62" s="170" t="str">
        <f t="shared" si="17"/>
        <v/>
      </c>
      <c r="V62" s="170" t="str">
        <f t="shared" si="18"/>
        <v/>
      </c>
      <c r="W62" s="170" t="str">
        <f t="shared" si="19"/>
        <v/>
      </c>
      <c r="X62" s="170" t="str">
        <f t="shared" si="1"/>
        <v/>
      </c>
      <c r="Y62" s="170" t="str">
        <f t="shared" si="2"/>
        <v/>
      </c>
      <c r="Z62" s="170" t="str">
        <f t="shared" si="3"/>
        <v/>
      </c>
      <c r="AA62" s="170" t="str">
        <f t="shared" si="20"/>
        <v/>
      </c>
      <c r="AB62" s="170" t="str">
        <f t="shared" si="21"/>
        <v/>
      </c>
      <c r="AC62" s="172" t="str">
        <f t="shared" si="22"/>
        <v/>
      </c>
      <c r="AD62" s="151">
        <v>57</v>
      </c>
      <c r="AE62" s="173" t="str">
        <f t="shared" ca="1" si="25"/>
        <v/>
      </c>
      <c r="AF62" s="173" t="str">
        <f t="shared" ca="1" si="25"/>
        <v/>
      </c>
      <c r="AG62" s="173" t="str">
        <f t="shared" ca="1" si="25"/>
        <v/>
      </c>
      <c r="AH62" s="173" t="str">
        <f t="shared" ca="1" si="25"/>
        <v/>
      </c>
      <c r="AI62" s="173" t="str">
        <f t="shared" ca="1" si="25"/>
        <v/>
      </c>
      <c r="AJ62" s="173" t="str">
        <f t="shared" ca="1" si="25"/>
        <v/>
      </c>
      <c r="AK62" s="173" t="str">
        <f t="shared" ca="1" si="25"/>
        <v/>
      </c>
      <c r="AL62" s="173" t="str">
        <f t="shared" ca="1" si="25"/>
        <v/>
      </c>
      <c r="AM62" s="173" t="str">
        <f t="shared" ca="1" si="25"/>
        <v/>
      </c>
      <c r="AN62" s="173" t="str">
        <f t="shared" ca="1" si="25"/>
        <v/>
      </c>
      <c r="AO62" s="173" t="str">
        <f t="shared" ca="1" si="25"/>
        <v/>
      </c>
      <c r="AP62" s="173" t="str">
        <f t="shared" ca="1" si="25"/>
        <v/>
      </c>
      <c r="AQ62" s="173" t="str">
        <f t="shared" ca="1" si="25"/>
        <v/>
      </c>
      <c r="AR62" s="173" t="str">
        <f t="shared" ca="1" si="25"/>
        <v/>
      </c>
      <c r="AS62" s="173" t="str">
        <f t="shared" ca="1" si="25"/>
        <v/>
      </c>
      <c r="AT62" s="151">
        <v>57</v>
      </c>
      <c r="AU62" s="174" t="str">
        <f t="shared" ca="1" si="5"/>
        <v/>
      </c>
      <c r="AV62" s="175" t="str">
        <f t="shared" ca="1" si="6"/>
        <v/>
      </c>
      <c r="AW62" s="175" t="str">
        <f t="shared" ca="1" si="7"/>
        <v/>
      </c>
      <c r="AX62" s="176" t="str">
        <f t="shared" ca="1" si="8"/>
        <v/>
      </c>
    </row>
    <row r="63" spans="1:50" ht="15">
      <c r="A63" s="263"/>
      <c r="B63" s="260"/>
      <c r="C63" s="244"/>
      <c r="D63" s="168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70" t="str">
        <f t="shared" si="16"/>
        <v/>
      </c>
      <c r="U63" s="170" t="str">
        <f t="shared" si="17"/>
        <v/>
      </c>
      <c r="V63" s="170" t="str">
        <f t="shared" si="18"/>
        <v/>
      </c>
      <c r="W63" s="170" t="str">
        <f t="shared" si="19"/>
        <v/>
      </c>
      <c r="X63" s="170" t="str">
        <f t="shared" si="1"/>
        <v/>
      </c>
      <c r="Y63" s="170" t="str">
        <f t="shared" si="2"/>
        <v/>
      </c>
      <c r="Z63" s="170" t="str">
        <f t="shared" si="3"/>
        <v/>
      </c>
      <c r="AA63" s="170" t="str">
        <f t="shared" si="20"/>
        <v/>
      </c>
      <c r="AB63" s="170" t="str">
        <f t="shared" si="21"/>
        <v/>
      </c>
      <c r="AC63" s="172" t="str">
        <f t="shared" si="22"/>
        <v/>
      </c>
      <c r="AD63" s="151">
        <v>58</v>
      </c>
      <c r="AE63" s="173" t="str">
        <f t="shared" ca="1" si="25"/>
        <v/>
      </c>
      <c r="AF63" s="173" t="str">
        <f t="shared" ca="1" si="25"/>
        <v/>
      </c>
      <c r="AG63" s="173" t="str">
        <f t="shared" ca="1" si="25"/>
        <v/>
      </c>
      <c r="AH63" s="173" t="str">
        <f t="shared" ca="1" si="25"/>
        <v/>
      </c>
      <c r="AI63" s="173" t="str">
        <f t="shared" ca="1" si="25"/>
        <v/>
      </c>
      <c r="AJ63" s="173" t="str">
        <f t="shared" ca="1" si="25"/>
        <v/>
      </c>
      <c r="AK63" s="173" t="str">
        <f t="shared" ca="1" si="25"/>
        <v/>
      </c>
      <c r="AL63" s="173" t="str">
        <f t="shared" ca="1" si="25"/>
        <v/>
      </c>
      <c r="AM63" s="173" t="str">
        <f t="shared" ca="1" si="25"/>
        <v/>
      </c>
      <c r="AN63" s="173" t="str">
        <f t="shared" ca="1" si="25"/>
        <v/>
      </c>
      <c r="AO63" s="173" t="str">
        <f t="shared" ca="1" si="25"/>
        <v/>
      </c>
      <c r="AP63" s="173" t="str">
        <f t="shared" ca="1" si="25"/>
        <v/>
      </c>
      <c r="AQ63" s="173" t="str">
        <f t="shared" ca="1" si="25"/>
        <v/>
      </c>
      <c r="AR63" s="173" t="str">
        <f t="shared" ca="1" si="25"/>
        <v/>
      </c>
      <c r="AS63" s="173" t="str">
        <f t="shared" ca="1" si="25"/>
        <v/>
      </c>
      <c r="AT63" s="151">
        <v>58</v>
      </c>
      <c r="AU63" s="174" t="str">
        <f t="shared" ca="1" si="5"/>
        <v/>
      </c>
      <c r="AV63" s="175" t="str">
        <f t="shared" ca="1" si="6"/>
        <v/>
      </c>
      <c r="AW63" s="175" t="str">
        <f t="shared" ca="1" si="7"/>
        <v/>
      </c>
      <c r="AX63" s="176" t="str">
        <f t="shared" ca="1" si="8"/>
        <v/>
      </c>
    </row>
    <row r="64" spans="1:50" ht="15">
      <c r="A64" s="263"/>
      <c r="B64" s="260"/>
      <c r="C64" s="244"/>
      <c r="D64" s="168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70" t="str">
        <f t="shared" si="16"/>
        <v/>
      </c>
      <c r="U64" s="170" t="str">
        <f t="shared" si="17"/>
        <v/>
      </c>
      <c r="V64" s="170" t="str">
        <f t="shared" si="18"/>
        <v/>
      </c>
      <c r="W64" s="170" t="str">
        <f t="shared" si="19"/>
        <v/>
      </c>
      <c r="X64" s="170" t="str">
        <f t="shared" si="1"/>
        <v/>
      </c>
      <c r="Y64" s="170" t="str">
        <f t="shared" si="2"/>
        <v/>
      </c>
      <c r="Z64" s="170" t="str">
        <f t="shared" si="3"/>
        <v/>
      </c>
      <c r="AA64" s="170" t="str">
        <f t="shared" si="20"/>
        <v/>
      </c>
      <c r="AB64" s="170" t="str">
        <f t="shared" si="21"/>
        <v/>
      </c>
      <c r="AC64" s="172" t="str">
        <f t="shared" si="22"/>
        <v/>
      </c>
      <c r="AD64" s="151">
        <v>59</v>
      </c>
      <c r="AE64" s="173" t="str">
        <f t="shared" ca="1" si="25"/>
        <v/>
      </c>
      <c r="AF64" s="173" t="str">
        <f t="shared" ca="1" si="25"/>
        <v/>
      </c>
      <c r="AG64" s="173" t="str">
        <f t="shared" ca="1" si="25"/>
        <v/>
      </c>
      <c r="AH64" s="173" t="str">
        <f t="shared" ca="1" si="25"/>
        <v/>
      </c>
      <c r="AI64" s="173" t="str">
        <f t="shared" ca="1" si="25"/>
        <v/>
      </c>
      <c r="AJ64" s="173" t="str">
        <f t="shared" ca="1" si="25"/>
        <v/>
      </c>
      <c r="AK64" s="173" t="str">
        <f t="shared" ca="1" si="25"/>
        <v/>
      </c>
      <c r="AL64" s="173" t="str">
        <f t="shared" ca="1" si="25"/>
        <v/>
      </c>
      <c r="AM64" s="173" t="str">
        <f t="shared" ca="1" si="25"/>
        <v/>
      </c>
      <c r="AN64" s="173" t="str">
        <f t="shared" ca="1" si="25"/>
        <v/>
      </c>
      <c r="AO64" s="173" t="str">
        <f t="shared" ca="1" si="25"/>
        <v/>
      </c>
      <c r="AP64" s="173" t="str">
        <f t="shared" ca="1" si="25"/>
        <v/>
      </c>
      <c r="AQ64" s="173" t="str">
        <f t="shared" ca="1" si="25"/>
        <v/>
      </c>
      <c r="AR64" s="173" t="str">
        <f t="shared" ca="1" si="25"/>
        <v/>
      </c>
      <c r="AS64" s="173" t="str">
        <f t="shared" ca="1" si="25"/>
        <v/>
      </c>
      <c r="AT64" s="151">
        <v>59</v>
      </c>
      <c r="AU64" s="174" t="str">
        <f t="shared" ca="1" si="5"/>
        <v/>
      </c>
      <c r="AV64" s="175" t="str">
        <f t="shared" ca="1" si="6"/>
        <v/>
      </c>
      <c r="AW64" s="175" t="str">
        <f t="shared" ca="1" si="7"/>
        <v/>
      </c>
      <c r="AX64" s="176" t="str">
        <f t="shared" ca="1" si="8"/>
        <v/>
      </c>
    </row>
    <row r="65" spans="1:50" ht="15">
      <c r="A65" s="263"/>
      <c r="B65" s="260"/>
      <c r="C65" s="244"/>
      <c r="D65" s="168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70" t="str">
        <f t="shared" si="16"/>
        <v/>
      </c>
      <c r="U65" s="170" t="str">
        <f t="shared" si="17"/>
        <v/>
      </c>
      <c r="V65" s="170" t="str">
        <f t="shared" si="18"/>
        <v/>
      </c>
      <c r="W65" s="170" t="str">
        <f t="shared" si="19"/>
        <v/>
      </c>
      <c r="X65" s="170" t="str">
        <f t="shared" si="1"/>
        <v/>
      </c>
      <c r="Y65" s="170" t="str">
        <f t="shared" si="2"/>
        <v/>
      </c>
      <c r="Z65" s="170" t="str">
        <f t="shared" si="3"/>
        <v/>
      </c>
      <c r="AA65" s="170" t="str">
        <f t="shared" si="20"/>
        <v/>
      </c>
      <c r="AB65" s="170" t="str">
        <f t="shared" si="21"/>
        <v/>
      </c>
      <c r="AC65" s="172" t="str">
        <f t="shared" si="22"/>
        <v/>
      </c>
      <c r="AD65" s="151">
        <v>60</v>
      </c>
      <c r="AE65" s="173" t="str">
        <f t="shared" ca="1" si="25"/>
        <v/>
      </c>
      <c r="AF65" s="173" t="str">
        <f t="shared" ca="1" si="25"/>
        <v/>
      </c>
      <c r="AG65" s="173" t="str">
        <f t="shared" ca="1" si="25"/>
        <v/>
      </c>
      <c r="AH65" s="173" t="str">
        <f t="shared" ca="1" si="25"/>
        <v/>
      </c>
      <c r="AI65" s="173" t="str">
        <f t="shared" ca="1" si="25"/>
        <v/>
      </c>
      <c r="AJ65" s="173" t="str">
        <f t="shared" ca="1" si="25"/>
        <v/>
      </c>
      <c r="AK65" s="173" t="str">
        <f t="shared" ca="1" si="25"/>
        <v/>
      </c>
      <c r="AL65" s="173" t="str">
        <f t="shared" ca="1" si="25"/>
        <v/>
      </c>
      <c r="AM65" s="173" t="str">
        <f t="shared" ca="1" si="25"/>
        <v/>
      </c>
      <c r="AN65" s="173" t="str">
        <f t="shared" ca="1" si="25"/>
        <v/>
      </c>
      <c r="AO65" s="173" t="str">
        <f t="shared" ca="1" si="25"/>
        <v/>
      </c>
      <c r="AP65" s="173" t="str">
        <f t="shared" ca="1" si="25"/>
        <v/>
      </c>
      <c r="AQ65" s="173" t="str">
        <f t="shared" ca="1" si="25"/>
        <v/>
      </c>
      <c r="AR65" s="173" t="str">
        <f t="shared" ca="1" si="25"/>
        <v/>
      </c>
      <c r="AS65" s="173" t="str">
        <f t="shared" ca="1" si="25"/>
        <v/>
      </c>
      <c r="AT65" s="151">
        <v>60</v>
      </c>
      <c r="AU65" s="174" t="str">
        <f t="shared" ca="1" si="5"/>
        <v/>
      </c>
      <c r="AV65" s="175" t="str">
        <f t="shared" ca="1" si="6"/>
        <v/>
      </c>
      <c r="AW65" s="175" t="str">
        <f t="shared" ca="1" si="7"/>
        <v/>
      </c>
      <c r="AX65" s="176" t="str">
        <f t="shared" ca="1" si="8"/>
        <v/>
      </c>
    </row>
    <row r="66" spans="1:50" ht="15">
      <c r="A66" s="263"/>
      <c r="B66" s="260"/>
      <c r="C66" s="244"/>
      <c r="D66" s="168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70" t="str">
        <f t="shared" si="16"/>
        <v/>
      </c>
      <c r="U66" s="170" t="str">
        <f t="shared" si="17"/>
        <v/>
      </c>
      <c r="V66" s="170" t="str">
        <f t="shared" si="18"/>
        <v/>
      </c>
      <c r="W66" s="170" t="str">
        <f t="shared" si="19"/>
        <v/>
      </c>
      <c r="X66" s="170" t="str">
        <f t="shared" si="1"/>
        <v/>
      </c>
      <c r="Y66" s="170" t="str">
        <f t="shared" si="2"/>
        <v/>
      </c>
      <c r="Z66" s="170" t="str">
        <f t="shared" si="3"/>
        <v/>
      </c>
      <c r="AA66" s="170" t="str">
        <f t="shared" si="20"/>
        <v/>
      </c>
      <c r="AB66" s="170" t="str">
        <f t="shared" si="21"/>
        <v/>
      </c>
      <c r="AC66" s="172" t="str">
        <f t="shared" si="22"/>
        <v/>
      </c>
      <c r="AD66" s="151">
        <v>61</v>
      </c>
      <c r="AE66" s="173" t="str">
        <f t="shared" ca="1" si="25"/>
        <v/>
      </c>
      <c r="AF66" s="173" t="str">
        <f t="shared" ca="1" si="25"/>
        <v/>
      </c>
      <c r="AG66" s="173" t="str">
        <f t="shared" ca="1" si="25"/>
        <v/>
      </c>
      <c r="AH66" s="173" t="str">
        <f t="shared" ca="1" si="25"/>
        <v/>
      </c>
      <c r="AI66" s="173" t="str">
        <f t="shared" ca="1" si="25"/>
        <v/>
      </c>
      <c r="AJ66" s="173" t="str">
        <f t="shared" ca="1" si="25"/>
        <v/>
      </c>
      <c r="AK66" s="173" t="str">
        <f t="shared" ca="1" si="25"/>
        <v/>
      </c>
      <c r="AL66" s="173" t="str">
        <f t="shared" ca="1" si="25"/>
        <v/>
      </c>
      <c r="AM66" s="173" t="str">
        <f t="shared" ca="1" si="25"/>
        <v/>
      </c>
      <c r="AN66" s="173" t="str">
        <f t="shared" ca="1" si="25"/>
        <v/>
      </c>
      <c r="AO66" s="173" t="str">
        <f t="shared" ca="1" si="25"/>
        <v/>
      </c>
      <c r="AP66" s="173" t="str">
        <f t="shared" ca="1" si="25"/>
        <v/>
      </c>
      <c r="AQ66" s="173" t="str">
        <f t="shared" ca="1" si="25"/>
        <v/>
      </c>
      <c r="AR66" s="173" t="str">
        <f t="shared" ca="1" si="25"/>
        <v/>
      </c>
      <c r="AS66" s="173" t="str">
        <f t="shared" ca="1" si="25"/>
        <v/>
      </c>
      <c r="AT66" s="151">
        <v>61</v>
      </c>
      <c r="AU66" s="174" t="str">
        <f t="shared" ca="1" si="5"/>
        <v/>
      </c>
      <c r="AV66" s="175" t="str">
        <f t="shared" ca="1" si="6"/>
        <v/>
      </c>
      <c r="AW66" s="175" t="str">
        <f t="shared" ca="1" si="7"/>
        <v/>
      </c>
      <c r="AX66" s="176" t="str">
        <f t="shared" ca="1" si="8"/>
        <v/>
      </c>
    </row>
    <row r="67" spans="1:50" ht="15">
      <c r="A67" s="263"/>
      <c r="B67" s="260"/>
      <c r="C67" s="244"/>
      <c r="D67" s="177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70" t="str">
        <f t="shared" si="16"/>
        <v/>
      </c>
      <c r="U67" s="170" t="str">
        <f t="shared" si="17"/>
        <v/>
      </c>
      <c r="V67" s="170" t="str">
        <f t="shared" si="18"/>
        <v/>
      </c>
      <c r="W67" s="170" t="str">
        <f t="shared" si="19"/>
        <v/>
      </c>
      <c r="X67" s="170" t="str">
        <f t="shared" si="1"/>
        <v/>
      </c>
      <c r="Y67" s="170" t="str">
        <f t="shared" si="2"/>
        <v/>
      </c>
      <c r="Z67" s="170" t="str">
        <f t="shared" si="3"/>
        <v/>
      </c>
      <c r="AA67" s="170" t="str">
        <f t="shared" si="20"/>
        <v/>
      </c>
      <c r="AB67" s="170" t="str">
        <f t="shared" si="21"/>
        <v/>
      </c>
      <c r="AC67" s="172" t="str">
        <f t="shared" si="22"/>
        <v/>
      </c>
      <c r="AD67" s="151">
        <v>62</v>
      </c>
      <c r="AE67" s="173" t="str">
        <f t="shared" ca="1" si="25"/>
        <v/>
      </c>
      <c r="AF67" s="173" t="str">
        <f t="shared" ca="1" si="25"/>
        <v/>
      </c>
      <c r="AG67" s="173" t="str">
        <f t="shared" ca="1" si="25"/>
        <v/>
      </c>
      <c r="AH67" s="173" t="str">
        <f t="shared" ca="1" si="25"/>
        <v/>
      </c>
      <c r="AI67" s="173" t="str">
        <f t="shared" ca="1" si="25"/>
        <v/>
      </c>
      <c r="AJ67" s="173" t="str">
        <f t="shared" ca="1" si="25"/>
        <v/>
      </c>
      <c r="AK67" s="173" t="str">
        <f t="shared" ca="1" si="25"/>
        <v/>
      </c>
      <c r="AL67" s="173" t="str">
        <f t="shared" ca="1" si="25"/>
        <v/>
      </c>
      <c r="AM67" s="173" t="str">
        <f t="shared" ca="1" si="25"/>
        <v/>
      </c>
      <c r="AN67" s="173" t="str">
        <f t="shared" ca="1" si="25"/>
        <v/>
      </c>
      <c r="AO67" s="173" t="str">
        <f t="shared" ca="1" si="25"/>
        <v/>
      </c>
      <c r="AP67" s="173" t="str">
        <f t="shared" ca="1" si="25"/>
        <v/>
      </c>
      <c r="AQ67" s="173" t="str">
        <f t="shared" ca="1" si="25"/>
        <v/>
      </c>
      <c r="AR67" s="173" t="str">
        <f t="shared" ca="1" si="25"/>
        <v/>
      </c>
      <c r="AS67" s="173" t="str">
        <f t="shared" ca="1" si="25"/>
        <v/>
      </c>
      <c r="AT67" s="151">
        <v>62</v>
      </c>
      <c r="AU67" s="174" t="str">
        <f t="shared" ca="1" si="5"/>
        <v/>
      </c>
      <c r="AV67" s="175" t="str">
        <f t="shared" ca="1" si="6"/>
        <v/>
      </c>
      <c r="AW67" s="175" t="str">
        <f t="shared" ca="1" si="7"/>
        <v/>
      </c>
      <c r="AX67" s="176" t="str">
        <f t="shared" ca="1" si="8"/>
        <v/>
      </c>
    </row>
    <row r="68" spans="1:50" ht="15">
      <c r="A68" s="263"/>
      <c r="B68" s="260"/>
      <c r="C68" s="244"/>
      <c r="D68" s="177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70" t="str">
        <f t="shared" si="16"/>
        <v/>
      </c>
      <c r="U68" s="170" t="str">
        <f t="shared" si="17"/>
        <v/>
      </c>
      <c r="V68" s="170" t="str">
        <f t="shared" si="18"/>
        <v/>
      </c>
      <c r="W68" s="170" t="str">
        <f t="shared" si="19"/>
        <v/>
      </c>
      <c r="X68" s="170" t="str">
        <f t="shared" si="1"/>
        <v/>
      </c>
      <c r="Y68" s="170" t="str">
        <f t="shared" si="2"/>
        <v/>
      </c>
      <c r="Z68" s="170" t="str">
        <f t="shared" si="3"/>
        <v/>
      </c>
      <c r="AA68" s="170" t="str">
        <f t="shared" si="20"/>
        <v/>
      </c>
      <c r="AB68" s="170" t="str">
        <f t="shared" si="21"/>
        <v/>
      </c>
      <c r="AC68" s="172" t="str">
        <f t="shared" si="22"/>
        <v/>
      </c>
      <c r="AD68" s="151">
        <v>63</v>
      </c>
      <c r="AE68" s="173" t="str">
        <f t="shared" ca="1" si="25"/>
        <v/>
      </c>
      <c r="AF68" s="173" t="str">
        <f t="shared" ca="1" si="25"/>
        <v/>
      </c>
      <c r="AG68" s="173" t="str">
        <f t="shared" ca="1" si="25"/>
        <v/>
      </c>
      <c r="AH68" s="173" t="str">
        <f t="shared" ca="1" si="25"/>
        <v/>
      </c>
      <c r="AI68" s="173" t="str">
        <f t="shared" ca="1" si="25"/>
        <v/>
      </c>
      <c r="AJ68" s="173" t="str">
        <f t="shared" ca="1" si="25"/>
        <v/>
      </c>
      <c r="AK68" s="173" t="str">
        <f t="shared" ca="1" si="25"/>
        <v/>
      </c>
      <c r="AL68" s="173" t="str">
        <f t="shared" ca="1" si="25"/>
        <v/>
      </c>
      <c r="AM68" s="173" t="str">
        <f t="shared" ca="1" si="25"/>
        <v/>
      </c>
      <c r="AN68" s="173" t="str">
        <f t="shared" ca="1" si="25"/>
        <v/>
      </c>
      <c r="AO68" s="173" t="str">
        <f t="shared" ca="1" si="25"/>
        <v/>
      </c>
      <c r="AP68" s="173" t="str">
        <f t="shared" ca="1" si="25"/>
        <v/>
      </c>
      <c r="AQ68" s="173" t="str">
        <f t="shared" ca="1" si="25"/>
        <v/>
      </c>
      <c r="AR68" s="173" t="str">
        <f t="shared" ca="1" si="25"/>
        <v/>
      </c>
      <c r="AS68" s="173" t="str">
        <f t="shared" ca="1" si="25"/>
        <v/>
      </c>
      <c r="AT68" s="151">
        <v>63</v>
      </c>
      <c r="AU68" s="174" t="str">
        <f t="shared" ca="1" si="5"/>
        <v/>
      </c>
      <c r="AV68" s="175" t="str">
        <f t="shared" ca="1" si="6"/>
        <v/>
      </c>
      <c r="AW68" s="175" t="str">
        <f t="shared" ca="1" si="7"/>
        <v/>
      </c>
      <c r="AX68" s="176" t="str">
        <f t="shared" ca="1" si="8"/>
        <v/>
      </c>
    </row>
    <row r="69" spans="1:50" ht="15">
      <c r="A69" s="263"/>
      <c r="B69" s="261"/>
      <c r="C69" s="245"/>
      <c r="D69" s="177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70" t="str">
        <f t="shared" si="16"/>
        <v/>
      </c>
      <c r="U69" s="170" t="str">
        <f t="shared" si="17"/>
        <v/>
      </c>
      <c r="V69" s="170" t="str">
        <f t="shared" si="18"/>
        <v/>
      </c>
      <c r="W69" s="170" t="str">
        <f t="shared" si="19"/>
        <v/>
      </c>
      <c r="X69" s="170" t="str">
        <f t="shared" si="1"/>
        <v/>
      </c>
      <c r="Y69" s="170" t="str">
        <f t="shared" si="2"/>
        <v/>
      </c>
      <c r="Z69" s="170"/>
      <c r="AA69" s="170" t="str">
        <f t="shared" si="20"/>
        <v/>
      </c>
      <c r="AB69" s="170" t="str">
        <f t="shared" si="21"/>
        <v/>
      </c>
      <c r="AC69" s="172" t="str">
        <f t="shared" si="22"/>
        <v/>
      </c>
      <c r="AD69" s="151">
        <v>64</v>
      </c>
      <c r="AE69" s="173" t="str">
        <f t="shared" ca="1" si="25"/>
        <v/>
      </c>
      <c r="AF69" s="173" t="str">
        <f t="shared" ca="1" si="25"/>
        <v/>
      </c>
      <c r="AG69" s="173" t="str">
        <f t="shared" ca="1" si="25"/>
        <v/>
      </c>
      <c r="AH69" s="173" t="str">
        <f t="shared" ca="1" si="25"/>
        <v/>
      </c>
      <c r="AI69" s="173" t="str">
        <f t="shared" ca="1" si="25"/>
        <v/>
      </c>
      <c r="AJ69" s="173" t="str">
        <f t="shared" ca="1" si="25"/>
        <v/>
      </c>
      <c r="AK69" s="173" t="str">
        <f t="shared" ca="1" si="25"/>
        <v/>
      </c>
      <c r="AL69" s="173" t="str">
        <f t="shared" ca="1" si="25"/>
        <v/>
      </c>
      <c r="AM69" s="173" t="str">
        <f t="shared" ca="1" si="25"/>
        <v/>
      </c>
      <c r="AN69" s="173" t="str">
        <f t="shared" ca="1" si="25"/>
        <v/>
      </c>
      <c r="AO69" s="173" t="str">
        <f t="shared" ca="1" si="25"/>
        <v/>
      </c>
      <c r="AP69" s="173" t="str">
        <f t="shared" ca="1" si="25"/>
        <v/>
      </c>
      <c r="AQ69" s="173" t="str">
        <f t="shared" ca="1" si="25"/>
        <v/>
      </c>
      <c r="AR69" s="173" t="str">
        <f t="shared" ca="1" si="25"/>
        <v/>
      </c>
      <c r="AS69" s="173" t="str">
        <f t="shared" ca="1" si="25"/>
        <v/>
      </c>
      <c r="AT69" s="151">
        <v>64</v>
      </c>
      <c r="AU69" s="174" t="str">
        <f t="shared" ca="1" si="5"/>
        <v/>
      </c>
      <c r="AV69" s="175" t="str">
        <f t="shared" ca="1" si="6"/>
        <v/>
      </c>
      <c r="AW69" s="175" t="str">
        <f t="shared" ca="1" si="7"/>
        <v/>
      </c>
      <c r="AX69" s="176" t="str">
        <f t="shared" ca="1" si="8"/>
        <v/>
      </c>
    </row>
    <row r="70" spans="1:50" ht="15" customHeight="1">
      <c r="A70" s="263">
        <v>9</v>
      </c>
      <c r="B70" s="252"/>
      <c r="C70" s="243"/>
      <c r="D70" s="168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70" t="str">
        <f t="shared" si="16"/>
        <v/>
      </c>
      <c r="U70" s="170" t="str">
        <f t="shared" si="17"/>
        <v/>
      </c>
      <c r="V70" s="170" t="str">
        <f t="shared" si="18"/>
        <v/>
      </c>
      <c r="W70" s="170" t="str">
        <f t="shared" si="19"/>
        <v/>
      </c>
      <c r="X70" s="170" t="str">
        <f t="shared" si="1"/>
        <v/>
      </c>
      <c r="Y70" s="170" t="str">
        <f t="shared" si="2"/>
        <v/>
      </c>
      <c r="Z70" s="170" t="str">
        <f t="shared" si="3"/>
        <v/>
      </c>
      <c r="AA70" s="170" t="str">
        <f t="shared" si="20"/>
        <v/>
      </c>
      <c r="AB70" s="170" t="str">
        <f t="shared" si="21"/>
        <v/>
      </c>
      <c r="AC70" s="172" t="str">
        <f t="shared" si="22"/>
        <v/>
      </c>
      <c r="AD70" s="151">
        <v>65</v>
      </c>
      <c r="AE70" s="173" t="str">
        <f t="shared" ca="1" si="25"/>
        <v/>
      </c>
      <c r="AF70" s="173" t="str">
        <f t="shared" ca="1" si="25"/>
        <v/>
      </c>
      <c r="AG70" s="173" t="str">
        <f t="shared" ca="1" si="25"/>
        <v/>
      </c>
      <c r="AH70" s="173" t="str">
        <f t="shared" ca="1" si="25"/>
        <v/>
      </c>
      <c r="AI70" s="173" t="str">
        <f t="shared" ca="1" si="25"/>
        <v/>
      </c>
      <c r="AJ70" s="173" t="str">
        <f t="shared" ca="1" si="25"/>
        <v/>
      </c>
      <c r="AK70" s="173" t="str">
        <f t="shared" ca="1" si="25"/>
        <v/>
      </c>
      <c r="AL70" s="173" t="str">
        <f t="shared" ca="1" si="25"/>
        <v/>
      </c>
      <c r="AM70" s="173" t="str">
        <f t="shared" ca="1" si="25"/>
        <v/>
      </c>
      <c r="AN70" s="173" t="str">
        <f t="shared" ca="1" si="25"/>
        <v/>
      </c>
      <c r="AO70" s="173" t="str">
        <f t="shared" ca="1" si="25"/>
        <v/>
      </c>
      <c r="AP70" s="173" t="str">
        <f t="shared" ca="1" si="25"/>
        <v/>
      </c>
      <c r="AQ70" s="173" t="str">
        <f t="shared" ca="1" si="25"/>
        <v/>
      </c>
      <c r="AR70" s="173" t="str">
        <f t="shared" ca="1" si="25"/>
        <v/>
      </c>
      <c r="AS70" s="173" t="str">
        <f t="shared" ca="1" si="25"/>
        <v/>
      </c>
      <c r="AT70" s="151">
        <v>65</v>
      </c>
      <c r="AU70" s="174" t="str">
        <f t="shared" ca="1" si="5"/>
        <v/>
      </c>
      <c r="AV70" s="175" t="str">
        <f t="shared" ca="1" si="6"/>
        <v/>
      </c>
      <c r="AW70" s="175" t="str">
        <f t="shared" ca="1" si="7"/>
        <v/>
      </c>
      <c r="AX70" s="176" t="str">
        <f t="shared" ca="1" si="8"/>
        <v/>
      </c>
    </row>
    <row r="71" spans="1:50" ht="15">
      <c r="A71" s="263"/>
      <c r="B71" s="260"/>
      <c r="C71" s="244"/>
      <c r="D71" s="168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70" t="str">
        <f t="shared" si="16"/>
        <v/>
      </c>
      <c r="U71" s="170" t="str">
        <f t="shared" si="17"/>
        <v/>
      </c>
      <c r="V71" s="170" t="str">
        <f t="shared" si="18"/>
        <v/>
      </c>
      <c r="W71" s="170" t="str">
        <f t="shared" si="19"/>
        <v/>
      </c>
      <c r="X71" s="170" t="str">
        <f t="shared" ref="X71:X134" si="26">IF(COUNT(E71:S71)=0,"",V71-1*W71)</f>
        <v/>
      </c>
      <c r="Y71" s="170" t="str">
        <f t="shared" ref="Y71:Y134" si="27">IF(COUNT(E71:S71)=0,"",V71+1*W71)</f>
        <v/>
      </c>
      <c r="Z71" s="170" t="str">
        <f t="shared" ref="Z71:Z134" si="28">IF(COUNT(E71:S71)=0,"",SUM(IF(AND(E71&gt;X71,E71&lt;Y71),E71,0),IF(AND(F71&gt;X71,F71&lt;Y71),F71,0),IF(AND(G71&gt;X71,G71&lt;Y71),G71,0),IF(AND(H71&gt;X71,H71&lt;Y71),H71,0),IF(AND(I71&gt;X71,I71&lt;Y71),I71,0),IF(AND(J71&gt;X71,J71&lt;Y71),J71,0),IF(AND(K71&gt;X71,K71&lt;Y71),K71,0),IF(AND(L71&gt;X71,L71&lt;Y71),L71,0),IF(AND(M71&gt;X71,M71&lt;Y71),M71,0),IF(AND(N71&gt;X71,N71&lt;Y71),N71,0),IF(AND(O71&gt;X71,O71&lt;Y71),O71,0),IF(AND(P71&gt;X71,P71&lt;Y71),P71,0),IF(AND(Q71&gt;X71,Q71&lt;Y71),Q71,0),IF(AND(R71&gt;X71,R71&lt;Y71),R71,0),IF(AND(S71&gt;X71,S71&lt;Y71),S71,0))/SUM(IF(AND(E71&gt;X71,E71&lt;Y71,E71&lt;&gt;0),1,0),IF(AND(F71&gt;X71,F71&lt;Y71,F71&lt;&gt;0),1,0),IF(AND(G71&gt;X71,G71&lt;Y71,G71&lt;&gt;0),1,0),IF(AND(H71&gt;X71,H71&lt;Y71,H71&lt;&gt;0),1,0),IF(AND(I71&gt;X71,I71&lt;Y71,I71&lt;&gt;0),1,0),IF(AND(J71&gt;X71,J71&lt;Y71,J71&lt;&gt;0),1,0),IF(AND(K71&gt;X71,K71&lt;Y71,K71&lt;&gt;0),1,0),IF(AND(L71&gt;X71,L71&lt;Y71,L71&lt;&gt;0),1,0),IF(AND(M71&gt;X71,M71&lt;Y71,M71&lt;&gt;0),1,0),IF(AND(N71&gt;X71,N71&lt;Y71,N71&lt;&gt;0),1,0),IF(AND(O71&gt;X71,O71&lt;Y71,O71&lt;&gt;0),1,0),IF(AND(P71&gt;X71,P71&lt;Y71,P71&lt;&gt;0),1,0),IF(AND(Q71&gt;X71,Q71&lt;Y71,Q71&lt;&gt;0),1,0),IF(AND(R71&gt;X71,R71&lt;Y71,R71&lt;&gt;0),1,0),IF(AND(S71&gt;X71,S71&lt;Y71,S71&lt;&gt;0),1,0)))</f>
        <v/>
      </c>
      <c r="AA71" s="170" t="str">
        <f t="shared" si="20"/>
        <v/>
      </c>
      <c r="AB71" s="170" t="str">
        <f t="shared" si="21"/>
        <v/>
      </c>
      <c r="AC71" s="172" t="str">
        <f t="shared" si="22"/>
        <v/>
      </c>
      <c r="AD71" s="151">
        <v>66</v>
      </c>
      <c r="AE71" s="173" t="str">
        <f t="shared" ca="1" si="25"/>
        <v/>
      </c>
      <c r="AF71" s="173" t="str">
        <f t="shared" ca="1" si="25"/>
        <v/>
      </c>
      <c r="AG71" s="173" t="str">
        <f t="shared" ca="1" si="25"/>
        <v/>
      </c>
      <c r="AH71" s="173" t="str">
        <f t="shared" ca="1" si="25"/>
        <v/>
      </c>
      <c r="AI71" s="173" t="str">
        <f t="shared" ca="1" si="25"/>
        <v/>
      </c>
      <c r="AJ71" s="173" t="str">
        <f t="shared" ca="1" si="25"/>
        <v/>
      </c>
      <c r="AK71" s="173" t="str">
        <f t="shared" ca="1" si="25"/>
        <v/>
      </c>
      <c r="AL71" s="173" t="str">
        <f t="shared" ca="1" si="25"/>
        <v/>
      </c>
      <c r="AM71" s="173" t="str">
        <f t="shared" ca="1" si="25"/>
        <v/>
      </c>
      <c r="AN71" s="173" t="str">
        <f t="shared" ca="1" si="25"/>
        <v/>
      </c>
      <c r="AO71" s="173" t="str">
        <f t="shared" ca="1" si="25"/>
        <v/>
      </c>
      <c r="AP71" s="173" t="str">
        <f t="shared" ca="1" si="25"/>
        <v/>
      </c>
      <c r="AQ71" s="173" t="str">
        <f t="shared" ca="1" si="25"/>
        <v/>
      </c>
      <c r="AR71" s="173" t="str">
        <f t="shared" ca="1" si="25"/>
        <v/>
      </c>
      <c r="AS71" s="173" t="str">
        <f t="shared" ca="1" si="25"/>
        <v/>
      </c>
      <c r="AT71" s="151">
        <v>66</v>
      </c>
      <c r="AU71" s="174" t="str">
        <f t="shared" ref="AU71:AU85" ca="1" si="29">IF(COUNT($AE71:$AS71)=0,"",PERCENTILE($AE71:$AS71,0.25))</f>
        <v/>
      </c>
      <c r="AV71" s="175" t="str">
        <f t="shared" ref="AV71:AV85" ca="1" si="30">IF(COUNT($AE71:$AS71)=0,"",MAX($AE71:$AS71))</f>
        <v/>
      </c>
      <c r="AW71" s="175" t="str">
        <f t="shared" ref="AW71:AW85" ca="1" si="31">IF(COUNT($AE71:$AS71)=0,"",MIN($AE71:$AS71))</f>
        <v/>
      </c>
      <c r="AX71" s="176" t="str">
        <f t="shared" ref="AX71:AX85" ca="1" si="32">IF(COUNT($AE71:$AS71)=0,"",PERCENTILE($AE71:$AS71,0.75))</f>
        <v/>
      </c>
    </row>
    <row r="72" spans="1:50" ht="15">
      <c r="A72" s="263"/>
      <c r="B72" s="260"/>
      <c r="C72" s="244"/>
      <c r="D72" s="168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70" t="str">
        <f t="shared" si="16"/>
        <v/>
      </c>
      <c r="U72" s="170" t="str">
        <f t="shared" si="17"/>
        <v/>
      </c>
      <c r="V72" s="170" t="str">
        <f t="shared" si="18"/>
        <v/>
      </c>
      <c r="W72" s="170" t="str">
        <f t="shared" si="19"/>
        <v/>
      </c>
      <c r="X72" s="170" t="str">
        <f t="shared" si="26"/>
        <v/>
      </c>
      <c r="Y72" s="170" t="str">
        <f t="shared" si="27"/>
        <v/>
      </c>
      <c r="Z72" s="170" t="str">
        <f t="shared" si="28"/>
        <v/>
      </c>
      <c r="AA72" s="170" t="str">
        <f t="shared" si="20"/>
        <v/>
      </c>
      <c r="AB72" s="170" t="str">
        <f t="shared" si="21"/>
        <v/>
      </c>
      <c r="AC72" s="172" t="str">
        <f t="shared" si="22"/>
        <v/>
      </c>
      <c r="AD72" s="151">
        <v>67</v>
      </c>
      <c r="AE72" s="173" t="str">
        <f t="shared" ref="AE72:AS85" ca="1" si="33">IF(SUM(INDIRECT(CHAR(COLUMN()+38)&amp;(ROW()-5)*8-2&amp;":"&amp;CHAR(COLUMN()+38)&amp;(ROW()-5)*8+5))=0,"",SUM(INDIRECT(CHAR(COLUMN()+38)&amp;(ROW()-5)*8-2&amp;":"&amp;CHAR(COLUMN()+38)&amp;(ROW()-5)*8+5))/INDIRECT("C"&amp;(ROW()-5)*8-2))</f>
        <v/>
      </c>
      <c r="AF72" s="173" t="str">
        <f t="shared" ca="1" si="33"/>
        <v/>
      </c>
      <c r="AG72" s="173" t="str">
        <f t="shared" ca="1" si="33"/>
        <v/>
      </c>
      <c r="AH72" s="173" t="str">
        <f t="shared" ca="1" si="33"/>
        <v/>
      </c>
      <c r="AI72" s="173" t="str">
        <f t="shared" ca="1" si="33"/>
        <v/>
      </c>
      <c r="AJ72" s="173" t="str">
        <f t="shared" ca="1" si="33"/>
        <v/>
      </c>
      <c r="AK72" s="173" t="str">
        <f t="shared" ca="1" si="33"/>
        <v/>
      </c>
      <c r="AL72" s="173" t="str">
        <f t="shared" ca="1" si="33"/>
        <v/>
      </c>
      <c r="AM72" s="173" t="str">
        <f t="shared" ca="1" si="33"/>
        <v/>
      </c>
      <c r="AN72" s="173" t="str">
        <f t="shared" ca="1" si="33"/>
        <v/>
      </c>
      <c r="AO72" s="173" t="str">
        <f t="shared" ca="1" si="33"/>
        <v/>
      </c>
      <c r="AP72" s="173" t="str">
        <f t="shared" ca="1" si="33"/>
        <v/>
      </c>
      <c r="AQ72" s="173" t="str">
        <f t="shared" ca="1" si="33"/>
        <v/>
      </c>
      <c r="AR72" s="173" t="str">
        <f t="shared" ca="1" si="33"/>
        <v/>
      </c>
      <c r="AS72" s="173" t="str">
        <f t="shared" ca="1" si="33"/>
        <v/>
      </c>
      <c r="AT72" s="151">
        <v>67</v>
      </c>
      <c r="AU72" s="174" t="str">
        <f t="shared" ca="1" si="29"/>
        <v/>
      </c>
      <c r="AV72" s="175" t="str">
        <f t="shared" ca="1" si="30"/>
        <v/>
      </c>
      <c r="AW72" s="175" t="str">
        <f t="shared" ca="1" si="31"/>
        <v/>
      </c>
      <c r="AX72" s="176" t="str">
        <f t="shared" ca="1" si="32"/>
        <v/>
      </c>
    </row>
    <row r="73" spans="1:50" ht="15">
      <c r="A73" s="263"/>
      <c r="B73" s="260"/>
      <c r="C73" s="244"/>
      <c r="D73" s="168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70" t="str">
        <f t="shared" si="16"/>
        <v/>
      </c>
      <c r="U73" s="170" t="str">
        <f t="shared" si="17"/>
        <v/>
      </c>
      <c r="V73" s="170" t="str">
        <f t="shared" si="18"/>
        <v/>
      </c>
      <c r="W73" s="170" t="str">
        <f t="shared" si="19"/>
        <v/>
      </c>
      <c r="X73" s="170" t="str">
        <f t="shared" si="26"/>
        <v/>
      </c>
      <c r="Y73" s="170" t="str">
        <f t="shared" si="27"/>
        <v/>
      </c>
      <c r="Z73" s="170" t="str">
        <f t="shared" si="28"/>
        <v/>
      </c>
      <c r="AA73" s="170" t="str">
        <f t="shared" si="20"/>
        <v/>
      </c>
      <c r="AB73" s="170" t="str">
        <f t="shared" si="21"/>
        <v/>
      </c>
      <c r="AC73" s="172" t="str">
        <f t="shared" si="22"/>
        <v/>
      </c>
      <c r="AD73" s="151">
        <v>68</v>
      </c>
      <c r="AE73" s="173" t="str">
        <f t="shared" ca="1" si="33"/>
        <v/>
      </c>
      <c r="AF73" s="173" t="str">
        <f t="shared" ca="1" si="33"/>
        <v/>
      </c>
      <c r="AG73" s="173" t="str">
        <f t="shared" ca="1" si="33"/>
        <v/>
      </c>
      <c r="AH73" s="173" t="str">
        <f t="shared" ca="1" si="33"/>
        <v/>
      </c>
      <c r="AI73" s="173" t="str">
        <f t="shared" ca="1" si="33"/>
        <v/>
      </c>
      <c r="AJ73" s="173" t="str">
        <f t="shared" ca="1" si="33"/>
        <v/>
      </c>
      <c r="AK73" s="173" t="str">
        <f t="shared" ca="1" si="33"/>
        <v/>
      </c>
      <c r="AL73" s="173" t="str">
        <f t="shared" ca="1" si="33"/>
        <v/>
      </c>
      <c r="AM73" s="173" t="str">
        <f t="shared" ca="1" si="33"/>
        <v/>
      </c>
      <c r="AN73" s="173" t="str">
        <f t="shared" ca="1" si="33"/>
        <v/>
      </c>
      <c r="AO73" s="173" t="str">
        <f t="shared" ca="1" si="33"/>
        <v/>
      </c>
      <c r="AP73" s="173" t="str">
        <f t="shared" ca="1" si="33"/>
        <v/>
      </c>
      <c r="AQ73" s="173" t="str">
        <f t="shared" ca="1" si="33"/>
        <v/>
      </c>
      <c r="AR73" s="173" t="str">
        <f t="shared" ca="1" si="33"/>
        <v/>
      </c>
      <c r="AS73" s="173" t="str">
        <f t="shared" ca="1" si="33"/>
        <v/>
      </c>
      <c r="AT73" s="151">
        <v>68</v>
      </c>
      <c r="AU73" s="174" t="str">
        <f t="shared" ca="1" si="29"/>
        <v/>
      </c>
      <c r="AV73" s="175" t="str">
        <f t="shared" ca="1" si="30"/>
        <v/>
      </c>
      <c r="AW73" s="175" t="str">
        <f t="shared" ca="1" si="31"/>
        <v/>
      </c>
      <c r="AX73" s="176" t="str">
        <f t="shared" ca="1" si="32"/>
        <v/>
      </c>
    </row>
    <row r="74" spans="1:50" ht="15">
      <c r="A74" s="263"/>
      <c r="B74" s="260"/>
      <c r="C74" s="244"/>
      <c r="D74" s="168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70" t="str">
        <f t="shared" si="16"/>
        <v/>
      </c>
      <c r="U74" s="170" t="str">
        <f t="shared" si="17"/>
        <v/>
      </c>
      <c r="V74" s="170" t="str">
        <f t="shared" si="18"/>
        <v/>
      </c>
      <c r="W74" s="170" t="str">
        <f t="shared" si="19"/>
        <v/>
      </c>
      <c r="X74" s="170" t="str">
        <f t="shared" si="26"/>
        <v/>
      </c>
      <c r="Y74" s="170" t="str">
        <f t="shared" si="27"/>
        <v/>
      </c>
      <c r="Z74" s="170" t="str">
        <f t="shared" si="28"/>
        <v/>
      </c>
      <c r="AA74" s="170" t="str">
        <f t="shared" si="20"/>
        <v/>
      </c>
      <c r="AB74" s="170" t="str">
        <f t="shared" si="21"/>
        <v/>
      </c>
      <c r="AC74" s="172" t="str">
        <f t="shared" si="22"/>
        <v/>
      </c>
      <c r="AD74" s="151">
        <v>69</v>
      </c>
      <c r="AE74" s="173" t="str">
        <f t="shared" ca="1" si="33"/>
        <v/>
      </c>
      <c r="AF74" s="173" t="str">
        <f t="shared" ca="1" si="33"/>
        <v/>
      </c>
      <c r="AG74" s="173" t="str">
        <f t="shared" ca="1" si="33"/>
        <v/>
      </c>
      <c r="AH74" s="173" t="str">
        <f t="shared" ca="1" si="33"/>
        <v/>
      </c>
      <c r="AI74" s="173" t="str">
        <f t="shared" ca="1" si="33"/>
        <v/>
      </c>
      <c r="AJ74" s="173" t="str">
        <f t="shared" ca="1" si="33"/>
        <v/>
      </c>
      <c r="AK74" s="173" t="str">
        <f t="shared" ca="1" si="33"/>
        <v/>
      </c>
      <c r="AL74" s="173" t="str">
        <f t="shared" ca="1" si="33"/>
        <v/>
      </c>
      <c r="AM74" s="173" t="str">
        <f t="shared" ca="1" si="33"/>
        <v/>
      </c>
      <c r="AN74" s="173" t="str">
        <f t="shared" ca="1" si="33"/>
        <v/>
      </c>
      <c r="AO74" s="173" t="str">
        <f t="shared" ca="1" si="33"/>
        <v/>
      </c>
      <c r="AP74" s="173" t="str">
        <f t="shared" ca="1" si="33"/>
        <v/>
      </c>
      <c r="AQ74" s="173" t="str">
        <f t="shared" ca="1" si="33"/>
        <v/>
      </c>
      <c r="AR74" s="173" t="str">
        <f t="shared" ca="1" si="33"/>
        <v/>
      </c>
      <c r="AS74" s="173" t="str">
        <f t="shared" ca="1" si="33"/>
        <v/>
      </c>
      <c r="AT74" s="151">
        <v>69</v>
      </c>
      <c r="AU74" s="174" t="str">
        <f t="shared" ca="1" si="29"/>
        <v/>
      </c>
      <c r="AV74" s="175" t="str">
        <f t="shared" ca="1" si="30"/>
        <v/>
      </c>
      <c r="AW74" s="175" t="str">
        <f t="shared" ca="1" si="31"/>
        <v/>
      </c>
      <c r="AX74" s="176" t="str">
        <f t="shared" ca="1" si="32"/>
        <v/>
      </c>
    </row>
    <row r="75" spans="1:50" ht="15">
      <c r="A75" s="263"/>
      <c r="B75" s="260"/>
      <c r="C75" s="244"/>
      <c r="D75" s="168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70" t="str">
        <f t="shared" si="16"/>
        <v/>
      </c>
      <c r="U75" s="170" t="str">
        <f t="shared" si="17"/>
        <v/>
      </c>
      <c r="V75" s="170" t="str">
        <f t="shared" si="18"/>
        <v/>
      </c>
      <c r="W75" s="170" t="str">
        <f t="shared" si="19"/>
        <v/>
      </c>
      <c r="X75" s="170" t="str">
        <f t="shared" si="26"/>
        <v/>
      </c>
      <c r="Y75" s="170" t="str">
        <f t="shared" si="27"/>
        <v/>
      </c>
      <c r="Z75" s="170" t="str">
        <f t="shared" si="28"/>
        <v/>
      </c>
      <c r="AA75" s="170" t="str">
        <f t="shared" si="20"/>
        <v/>
      </c>
      <c r="AB75" s="170" t="str">
        <f t="shared" si="21"/>
        <v/>
      </c>
      <c r="AC75" s="172" t="str">
        <f t="shared" si="22"/>
        <v/>
      </c>
      <c r="AD75" s="151">
        <v>70</v>
      </c>
      <c r="AE75" s="173" t="str">
        <f t="shared" ca="1" si="33"/>
        <v/>
      </c>
      <c r="AF75" s="173" t="str">
        <f t="shared" ca="1" si="33"/>
        <v/>
      </c>
      <c r="AG75" s="173" t="str">
        <f t="shared" ca="1" si="33"/>
        <v/>
      </c>
      <c r="AH75" s="173" t="str">
        <f t="shared" ca="1" si="33"/>
        <v/>
      </c>
      <c r="AI75" s="173" t="str">
        <f t="shared" ca="1" si="33"/>
        <v/>
      </c>
      <c r="AJ75" s="173" t="str">
        <f t="shared" ca="1" si="33"/>
        <v/>
      </c>
      <c r="AK75" s="173" t="str">
        <f t="shared" ca="1" si="33"/>
        <v/>
      </c>
      <c r="AL75" s="173" t="str">
        <f t="shared" ca="1" si="33"/>
        <v/>
      </c>
      <c r="AM75" s="173" t="str">
        <f t="shared" ca="1" si="33"/>
        <v/>
      </c>
      <c r="AN75" s="173" t="str">
        <f t="shared" ca="1" si="33"/>
        <v/>
      </c>
      <c r="AO75" s="173" t="str">
        <f t="shared" ca="1" si="33"/>
        <v/>
      </c>
      <c r="AP75" s="173" t="str">
        <f t="shared" ca="1" si="33"/>
        <v/>
      </c>
      <c r="AQ75" s="173" t="str">
        <f t="shared" ca="1" si="33"/>
        <v/>
      </c>
      <c r="AR75" s="173" t="str">
        <f t="shared" ca="1" si="33"/>
        <v/>
      </c>
      <c r="AS75" s="173" t="str">
        <f t="shared" ca="1" si="33"/>
        <v/>
      </c>
      <c r="AT75" s="151">
        <v>70</v>
      </c>
      <c r="AU75" s="174" t="str">
        <f t="shared" ca="1" si="29"/>
        <v/>
      </c>
      <c r="AV75" s="175" t="str">
        <f t="shared" ca="1" si="30"/>
        <v/>
      </c>
      <c r="AW75" s="175" t="str">
        <f t="shared" ca="1" si="31"/>
        <v/>
      </c>
      <c r="AX75" s="176" t="str">
        <f t="shared" ca="1" si="32"/>
        <v/>
      </c>
    </row>
    <row r="76" spans="1:50" ht="15">
      <c r="A76" s="263"/>
      <c r="B76" s="260"/>
      <c r="C76" s="244"/>
      <c r="D76" s="177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70" t="str">
        <f t="shared" si="16"/>
        <v/>
      </c>
      <c r="U76" s="170" t="str">
        <f t="shared" si="17"/>
        <v/>
      </c>
      <c r="V76" s="170" t="str">
        <f t="shared" si="18"/>
        <v/>
      </c>
      <c r="W76" s="170" t="str">
        <f t="shared" si="19"/>
        <v/>
      </c>
      <c r="X76" s="170" t="str">
        <f t="shared" si="26"/>
        <v/>
      </c>
      <c r="Y76" s="170" t="str">
        <f t="shared" si="27"/>
        <v/>
      </c>
      <c r="Z76" s="170" t="str">
        <f t="shared" si="28"/>
        <v/>
      </c>
      <c r="AA76" s="170" t="str">
        <f t="shared" si="20"/>
        <v/>
      </c>
      <c r="AB76" s="170" t="str">
        <f t="shared" si="21"/>
        <v/>
      </c>
      <c r="AC76" s="172" t="str">
        <f t="shared" si="22"/>
        <v/>
      </c>
      <c r="AD76" s="151">
        <v>71</v>
      </c>
      <c r="AE76" s="173" t="str">
        <f t="shared" ca="1" si="33"/>
        <v/>
      </c>
      <c r="AF76" s="173" t="str">
        <f t="shared" ca="1" si="33"/>
        <v/>
      </c>
      <c r="AG76" s="173" t="str">
        <f t="shared" ca="1" si="33"/>
        <v/>
      </c>
      <c r="AH76" s="173" t="str">
        <f t="shared" ca="1" si="33"/>
        <v/>
      </c>
      <c r="AI76" s="173" t="str">
        <f t="shared" ca="1" si="33"/>
        <v/>
      </c>
      <c r="AJ76" s="173" t="str">
        <f t="shared" ca="1" si="33"/>
        <v/>
      </c>
      <c r="AK76" s="173" t="str">
        <f t="shared" ca="1" si="33"/>
        <v/>
      </c>
      <c r="AL76" s="173" t="str">
        <f t="shared" ca="1" si="33"/>
        <v/>
      </c>
      <c r="AM76" s="173" t="str">
        <f t="shared" ca="1" si="33"/>
        <v/>
      </c>
      <c r="AN76" s="173" t="str">
        <f t="shared" ca="1" si="33"/>
        <v/>
      </c>
      <c r="AO76" s="173" t="str">
        <f t="shared" ca="1" si="33"/>
        <v/>
      </c>
      <c r="AP76" s="173" t="str">
        <f t="shared" ca="1" si="33"/>
        <v/>
      </c>
      <c r="AQ76" s="173" t="str">
        <f t="shared" ca="1" si="33"/>
        <v/>
      </c>
      <c r="AR76" s="173" t="str">
        <f t="shared" ca="1" si="33"/>
        <v/>
      </c>
      <c r="AS76" s="173" t="str">
        <f t="shared" ca="1" si="33"/>
        <v/>
      </c>
      <c r="AT76" s="151">
        <v>71</v>
      </c>
      <c r="AU76" s="174" t="str">
        <f t="shared" ca="1" si="29"/>
        <v/>
      </c>
      <c r="AV76" s="175" t="str">
        <f t="shared" ca="1" si="30"/>
        <v/>
      </c>
      <c r="AW76" s="175" t="str">
        <f t="shared" ca="1" si="31"/>
        <v/>
      </c>
      <c r="AX76" s="176" t="str">
        <f t="shared" ca="1" si="32"/>
        <v/>
      </c>
    </row>
    <row r="77" spans="1:50" ht="15">
      <c r="A77" s="263"/>
      <c r="B77" s="261"/>
      <c r="C77" s="245"/>
      <c r="D77" s="177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70" t="str">
        <f t="shared" si="16"/>
        <v/>
      </c>
      <c r="U77" s="170" t="str">
        <f t="shared" si="17"/>
        <v/>
      </c>
      <c r="V77" s="170" t="str">
        <f t="shared" si="18"/>
        <v/>
      </c>
      <c r="W77" s="170" t="str">
        <f t="shared" si="19"/>
        <v/>
      </c>
      <c r="X77" s="170" t="str">
        <f t="shared" si="26"/>
        <v/>
      </c>
      <c r="Y77" s="170" t="str">
        <f t="shared" si="27"/>
        <v/>
      </c>
      <c r="Z77" s="170"/>
      <c r="AA77" s="170" t="str">
        <f t="shared" si="20"/>
        <v/>
      </c>
      <c r="AB77" s="170" t="str">
        <f t="shared" si="21"/>
        <v/>
      </c>
      <c r="AC77" s="172" t="str">
        <f t="shared" si="22"/>
        <v/>
      </c>
      <c r="AD77" s="151">
        <v>72</v>
      </c>
      <c r="AE77" s="173" t="str">
        <f t="shared" ca="1" si="33"/>
        <v/>
      </c>
      <c r="AF77" s="173" t="str">
        <f t="shared" ca="1" si="33"/>
        <v/>
      </c>
      <c r="AG77" s="173" t="str">
        <f t="shared" ca="1" si="33"/>
        <v/>
      </c>
      <c r="AH77" s="173" t="str">
        <f t="shared" ca="1" si="33"/>
        <v/>
      </c>
      <c r="AI77" s="173" t="str">
        <f t="shared" ca="1" si="33"/>
        <v/>
      </c>
      <c r="AJ77" s="173" t="str">
        <f t="shared" ca="1" si="33"/>
        <v/>
      </c>
      <c r="AK77" s="173" t="str">
        <f t="shared" ca="1" si="33"/>
        <v/>
      </c>
      <c r="AL77" s="173" t="str">
        <f t="shared" ca="1" si="33"/>
        <v/>
      </c>
      <c r="AM77" s="173" t="str">
        <f t="shared" ca="1" si="33"/>
        <v/>
      </c>
      <c r="AN77" s="173" t="str">
        <f t="shared" ca="1" si="33"/>
        <v/>
      </c>
      <c r="AO77" s="173" t="str">
        <f t="shared" ca="1" si="33"/>
        <v/>
      </c>
      <c r="AP77" s="173" t="str">
        <f t="shared" ca="1" si="33"/>
        <v/>
      </c>
      <c r="AQ77" s="173" t="str">
        <f t="shared" ca="1" si="33"/>
        <v/>
      </c>
      <c r="AR77" s="173" t="str">
        <f t="shared" ca="1" si="33"/>
        <v/>
      </c>
      <c r="AS77" s="173" t="str">
        <f t="shared" ca="1" si="33"/>
        <v/>
      </c>
      <c r="AT77" s="151">
        <v>72</v>
      </c>
      <c r="AU77" s="174" t="str">
        <f t="shared" ca="1" si="29"/>
        <v/>
      </c>
      <c r="AV77" s="175" t="str">
        <f t="shared" ca="1" si="30"/>
        <v/>
      </c>
      <c r="AW77" s="175" t="str">
        <f t="shared" ca="1" si="31"/>
        <v/>
      </c>
      <c r="AX77" s="176" t="str">
        <f t="shared" ca="1" si="32"/>
        <v/>
      </c>
    </row>
    <row r="78" spans="1:50" ht="15" customHeight="1">
      <c r="A78" s="263">
        <v>10</v>
      </c>
      <c r="B78" s="252"/>
      <c r="C78" s="243"/>
      <c r="D78" s="168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70" t="str">
        <f t="shared" si="16"/>
        <v/>
      </c>
      <c r="U78" s="170" t="str">
        <f t="shared" si="17"/>
        <v/>
      </c>
      <c r="V78" s="170" t="str">
        <f t="shared" si="18"/>
        <v/>
      </c>
      <c r="W78" s="170" t="str">
        <f t="shared" si="19"/>
        <v/>
      </c>
      <c r="X78" s="170" t="str">
        <f t="shared" si="26"/>
        <v/>
      </c>
      <c r="Y78" s="170" t="str">
        <f t="shared" si="27"/>
        <v/>
      </c>
      <c r="Z78" s="170" t="str">
        <f t="shared" si="28"/>
        <v/>
      </c>
      <c r="AA78" s="170" t="str">
        <f t="shared" si="20"/>
        <v/>
      </c>
      <c r="AB78" s="170" t="str">
        <f t="shared" si="21"/>
        <v/>
      </c>
      <c r="AC78" s="172" t="str">
        <f t="shared" si="22"/>
        <v/>
      </c>
      <c r="AD78" s="151">
        <v>73</v>
      </c>
      <c r="AE78" s="173" t="str">
        <f t="shared" ca="1" si="33"/>
        <v/>
      </c>
      <c r="AF78" s="173" t="str">
        <f t="shared" ca="1" si="33"/>
        <v/>
      </c>
      <c r="AG78" s="173" t="str">
        <f t="shared" ca="1" si="33"/>
        <v/>
      </c>
      <c r="AH78" s="173" t="str">
        <f t="shared" ca="1" si="33"/>
        <v/>
      </c>
      <c r="AI78" s="173" t="str">
        <f t="shared" ca="1" si="33"/>
        <v/>
      </c>
      <c r="AJ78" s="173" t="str">
        <f t="shared" ca="1" si="33"/>
        <v/>
      </c>
      <c r="AK78" s="173" t="str">
        <f t="shared" ca="1" si="33"/>
        <v/>
      </c>
      <c r="AL78" s="173" t="str">
        <f t="shared" ca="1" si="33"/>
        <v/>
      </c>
      <c r="AM78" s="173" t="str">
        <f t="shared" ca="1" si="33"/>
        <v/>
      </c>
      <c r="AN78" s="173" t="str">
        <f t="shared" ca="1" si="33"/>
        <v/>
      </c>
      <c r="AO78" s="173" t="str">
        <f t="shared" ca="1" si="33"/>
        <v/>
      </c>
      <c r="AP78" s="173" t="str">
        <f t="shared" ca="1" si="33"/>
        <v/>
      </c>
      <c r="AQ78" s="173" t="str">
        <f t="shared" ca="1" si="33"/>
        <v/>
      </c>
      <c r="AR78" s="173" t="str">
        <f t="shared" ca="1" si="33"/>
        <v/>
      </c>
      <c r="AS78" s="173" t="str">
        <f t="shared" ca="1" si="33"/>
        <v/>
      </c>
      <c r="AT78" s="151">
        <v>73</v>
      </c>
      <c r="AU78" s="174" t="str">
        <f t="shared" ca="1" si="29"/>
        <v/>
      </c>
      <c r="AV78" s="175" t="str">
        <f t="shared" ca="1" si="30"/>
        <v/>
      </c>
      <c r="AW78" s="175" t="str">
        <f t="shared" ca="1" si="31"/>
        <v/>
      </c>
      <c r="AX78" s="176" t="str">
        <f t="shared" ca="1" si="32"/>
        <v/>
      </c>
    </row>
    <row r="79" spans="1:50" ht="15">
      <c r="A79" s="263"/>
      <c r="B79" s="260"/>
      <c r="C79" s="244"/>
      <c r="D79" s="168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70" t="str">
        <f t="shared" si="16"/>
        <v/>
      </c>
      <c r="U79" s="170" t="str">
        <f t="shared" si="17"/>
        <v/>
      </c>
      <c r="V79" s="170" t="str">
        <f t="shared" si="18"/>
        <v/>
      </c>
      <c r="W79" s="170" t="str">
        <f t="shared" si="19"/>
        <v/>
      </c>
      <c r="X79" s="170" t="str">
        <f t="shared" si="26"/>
        <v/>
      </c>
      <c r="Y79" s="170" t="str">
        <f t="shared" si="27"/>
        <v/>
      </c>
      <c r="Z79" s="170" t="str">
        <f t="shared" si="28"/>
        <v/>
      </c>
      <c r="AA79" s="170" t="str">
        <f t="shared" si="20"/>
        <v/>
      </c>
      <c r="AB79" s="170" t="str">
        <f t="shared" si="21"/>
        <v/>
      </c>
      <c r="AC79" s="172" t="str">
        <f t="shared" si="22"/>
        <v/>
      </c>
      <c r="AD79" s="151">
        <v>74</v>
      </c>
      <c r="AE79" s="173" t="str">
        <f t="shared" ca="1" si="33"/>
        <v/>
      </c>
      <c r="AF79" s="173" t="str">
        <f t="shared" ca="1" si="33"/>
        <v/>
      </c>
      <c r="AG79" s="173" t="str">
        <f t="shared" ca="1" si="33"/>
        <v/>
      </c>
      <c r="AH79" s="173" t="str">
        <f t="shared" ca="1" si="33"/>
        <v/>
      </c>
      <c r="AI79" s="173" t="str">
        <f t="shared" ca="1" si="33"/>
        <v/>
      </c>
      <c r="AJ79" s="173" t="str">
        <f t="shared" ca="1" si="33"/>
        <v/>
      </c>
      <c r="AK79" s="173" t="str">
        <f t="shared" ca="1" si="33"/>
        <v/>
      </c>
      <c r="AL79" s="173" t="str">
        <f t="shared" ca="1" si="33"/>
        <v/>
      </c>
      <c r="AM79" s="173" t="str">
        <f t="shared" ca="1" si="33"/>
        <v/>
      </c>
      <c r="AN79" s="173" t="str">
        <f t="shared" ca="1" si="33"/>
        <v/>
      </c>
      <c r="AO79" s="173" t="str">
        <f t="shared" ca="1" si="33"/>
        <v/>
      </c>
      <c r="AP79" s="173" t="str">
        <f t="shared" ca="1" si="33"/>
        <v/>
      </c>
      <c r="AQ79" s="173" t="str">
        <f t="shared" ca="1" si="33"/>
        <v/>
      </c>
      <c r="AR79" s="173" t="str">
        <f t="shared" ca="1" si="33"/>
        <v/>
      </c>
      <c r="AS79" s="173" t="str">
        <f t="shared" ca="1" si="33"/>
        <v/>
      </c>
      <c r="AT79" s="151">
        <v>74</v>
      </c>
      <c r="AU79" s="174" t="str">
        <f t="shared" ca="1" si="29"/>
        <v/>
      </c>
      <c r="AV79" s="175" t="str">
        <f t="shared" ca="1" si="30"/>
        <v/>
      </c>
      <c r="AW79" s="175" t="str">
        <f t="shared" ca="1" si="31"/>
        <v/>
      </c>
      <c r="AX79" s="176" t="str">
        <f t="shared" ca="1" si="32"/>
        <v/>
      </c>
    </row>
    <row r="80" spans="1:50" ht="15">
      <c r="A80" s="263"/>
      <c r="B80" s="260"/>
      <c r="C80" s="244"/>
      <c r="D80" s="168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70" t="str">
        <f t="shared" si="16"/>
        <v/>
      </c>
      <c r="U80" s="170" t="str">
        <f t="shared" si="17"/>
        <v/>
      </c>
      <c r="V80" s="170" t="str">
        <f t="shared" si="18"/>
        <v/>
      </c>
      <c r="W80" s="170" t="str">
        <f t="shared" si="19"/>
        <v/>
      </c>
      <c r="X80" s="170" t="str">
        <f t="shared" si="26"/>
        <v/>
      </c>
      <c r="Y80" s="170" t="str">
        <f t="shared" si="27"/>
        <v/>
      </c>
      <c r="Z80" s="170" t="str">
        <f t="shared" si="28"/>
        <v/>
      </c>
      <c r="AA80" s="170" t="str">
        <f t="shared" si="20"/>
        <v/>
      </c>
      <c r="AB80" s="170" t="str">
        <f t="shared" si="21"/>
        <v/>
      </c>
      <c r="AC80" s="172" t="str">
        <f t="shared" si="22"/>
        <v/>
      </c>
      <c r="AD80" s="151">
        <v>75</v>
      </c>
      <c r="AE80" s="173" t="str">
        <f t="shared" ca="1" si="33"/>
        <v/>
      </c>
      <c r="AF80" s="173" t="str">
        <f t="shared" ca="1" si="33"/>
        <v/>
      </c>
      <c r="AG80" s="173" t="str">
        <f t="shared" ca="1" si="33"/>
        <v/>
      </c>
      <c r="AH80" s="173" t="str">
        <f t="shared" ca="1" si="33"/>
        <v/>
      </c>
      <c r="AI80" s="173" t="str">
        <f t="shared" ca="1" si="33"/>
        <v/>
      </c>
      <c r="AJ80" s="173" t="str">
        <f t="shared" ca="1" si="33"/>
        <v/>
      </c>
      <c r="AK80" s="173" t="str">
        <f t="shared" ca="1" si="33"/>
        <v/>
      </c>
      <c r="AL80" s="173" t="str">
        <f t="shared" ca="1" si="33"/>
        <v/>
      </c>
      <c r="AM80" s="173" t="str">
        <f t="shared" ca="1" si="33"/>
        <v/>
      </c>
      <c r="AN80" s="173" t="str">
        <f t="shared" ca="1" si="33"/>
        <v/>
      </c>
      <c r="AO80" s="173" t="str">
        <f t="shared" ca="1" si="33"/>
        <v/>
      </c>
      <c r="AP80" s="173" t="str">
        <f t="shared" ca="1" si="33"/>
        <v/>
      </c>
      <c r="AQ80" s="173" t="str">
        <f t="shared" ca="1" si="33"/>
        <v/>
      </c>
      <c r="AR80" s="173" t="str">
        <f t="shared" ca="1" si="33"/>
        <v/>
      </c>
      <c r="AS80" s="173" t="str">
        <f t="shared" ca="1" si="33"/>
        <v/>
      </c>
      <c r="AT80" s="151">
        <v>75</v>
      </c>
      <c r="AU80" s="174" t="str">
        <f t="shared" ca="1" si="29"/>
        <v/>
      </c>
      <c r="AV80" s="175" t="str">
        <f t="shared" ca="1" si="30"/>
        <v/>
      </c>
      <c r="AW80" s="175" t="str">
        <f t="shared" ca="1" si="31"/>
        <v/>
      </c>
      <c r="AX80" s="176" t="str">
        <f t="shared" ca="1" si="32"/>
        <v/>
      </c>
    </row>
    <row r="81" spans="1:50" ht="15">
      <c r="A81" s="263"/>
      <c r="B81" s="260"/>
      <c r="C81" s="244"/>
      <c r="D81" s="168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70" t="str">
        <f t="shared" si="16"/>
        <v/>
      </c>
      <c r="U81" s="170" t="str">
        <f t="shared" si="17"/>
        <v/>
      </c>
      <c r="V81" s="170" t="str">
        <f t="shared" si="18"/>
        <v/>
      </c>
      <c r="W81" s="170" t="str">
        <f t="shared" si="19"/>
        <v/>
      </c>
      <c r="X81" s="170" t="str">
        <f t="shared" si="26"/>
        <v/>
      </c>
      <c r="Y81" s="170" t="str">
        <f t="shared" si="27"/>
        <v/>
      </c>
      <c r="Z81" s="170" t="str">
        <f t="shared" si="28"/>
        <v/>
      </c>
      <c r="AA81" s="170" t="str">
        <f t="shared" si="20"/>
        <v/>
      </c>
      <c r="AB81" s="170" t="str">
        <f t="shared" si="21"/>
        <v/>
      </c>
      <c r="AC81" s="172" t="str">
        <f t="shared" si="22"/>
        <v/>
      </c>
      <c r="AD81" s="151">
        <v>76</v>
      </c>
      <c r="AE81" s="173" t="str">
        <f t="shared" ca="1" si="33"/>
        <v/>
      </c>
      <c r="AF81" s="173" t="str">
        <f t="shared" ca="1" si="33"/>
        <v/>
      </c>
      <c r="AG81" s="173" t="str">
        <f t="shared" ca="1" si="33"/>
        <v/>
      </c>
      <c r="AH81" s="173" t="str">
        <f t="shared" ca="1" si="33"/>
        <v/>
      </c>
      <c r="AI81" s="173" t="str">
        <f t="shared" ca="1" si="33"/>
        <v/>
      </c>
      <c r="AJ81" s="173" t="str">
        <f t="shared" ca="1" si="33"/>
        <v/>
      </c>
      <c r="AK81" s="173" t="str">
        <f t="shared" ca="1" si="33"/>
        <v/>
      </c>
      <c r="AL81" s="173" t="str">
        <f t="shared" ca="1" si="33"/>
        <v/>
      </c>
      <c r="AM81" s="173" t="str">
        <f t="shared" ca="1" si="33"/>
        <v/>
      </c>
      <c r="AN81" s="173" t="str">
        <f t="shared" ca="1" si="33"/>
        <v/>
      </c>
      <c r="AO81" s="173" t="str">
        <f t="shared" ca="1" si="33"/>
        <v/>
      </c>
      <c r="AP81" s="173" t="str">
        <f t="shared" ca="1" si="33"/>
        <v/>
      </c>
      <c r="AQ81" s="173" t="str">
        <f t="shared" ca="1" si="33"/>
        <v/>
      </c>
      <c r="AR81" s="173" t="str">
        <f t="shared" ca="1" si="33"/>
        <v/>
      </c>
      <c r="AS81" s="173" t="str">
        <f t="shared" ca="1" si="33"/>
        <v/>
      </c>
      <c r="AT81" s="151">
        <v>76</v>
      </c>
      <c r="AU81" s="174" t="str">
        <f t="shared" ca="1" si="29"/>
        <v/>
      </c>
      <c r="AV81" s="175" t="str">
        <f t="shared" ca="1" si="30"/>
        <v/>
      </c>
      <c r="AW81" s="175" t="str">
        <f t="shared" ca="1" si="31"/>
        <v/>
      </c>
      <c r="AX81" s="176" t="str">
        <f t="shared" ca="1" si="32"/>
        <v/>
      </c>
    </row>
    <row r="82" spans="1:50" ht="15">
      <c r="A82" s="263"/>
      <c r="B82" s="260"/>
      <c r="C82" s="244"/>
      <c r="D82" s="168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70" t="str">
        <f t="shared" si="16"/>
        <v/>
      </c>
      <c r="U82" s="170" t="str">
        <f t="shared" si="17"/>
        <v/>
      </c>
      <c r="V82" s="170" t="str">
        <f t="shared" si="18"/>
        <v/>
      </c>
      <c r="W82" s="170" t="str">
        <f t="shared" si="19"/>
        <v/>
      </c>
      <c r="X82" s="170" t="str">
        <f t="shared" si="26"/>
        <v/>
      </c>
      <c r="Y82" s="170" t="str">
        <f t="shared" si="27"/>
        <v/>
      </c>
      <c r="Z82" s="170" t="str">
        <f t="shared" si="28"/>
        <v/>
      </c>
      <c r="AA82" s="170" t="str">
        <f t="shared" si="20"/>
        <v/>
      </c>
      <c r="AB82" s="170" t="str">
        <f t="shared" si="21"/>
        <v/>
      </c>
      <c r="AC82" s="172" t="str">
        <f t="shared" si="22"/>
        <v/>
      </c>
      <c r="AD82" s="151">
        <v>77</v>
      </c>
      <c r="AE82" s="173" t="str">
        <f t="shared" ca="1" si="33"/>
        <v/>
      </c>
      <c r="AF82" s="173" t="str">
        <f t="shared" ca="1" si="33"/>
        <v/>
      </c>
      <c r="AG82" s="173" t="str">
        <f t="shared" ca="1" si="33"/>
        <v/>
      </c>
      <c r="AH82" s="173" t="str">
        <f t="shared" ca="1" si="33"/>
        <v/>
      </c>
      <c r="AI82" s="173" t="str">
        <f t="shared" ca="1" si="33"/>
        <v/>
      </c>
      <c r="AJ82" s="173" t="str">
        <f t="shared" ca="1" si="33"/>
        <v/>
      </c>
      <c r="AK82" s="173" t="str">
        <f t="shared" ca="1" si="33"/>
        <v/>
      </c>
      <c r="AL82" s="173" t="str">
        <f t="shared" ca="1" si="33"/>
        <v/>
      </c>
      <c r="AM82" s="173" t="str">
        <f t="shared" ca="1" si="33"/>
        <v/>
      </c>
      <c r="AN82" s="173" t="str">
        <f t="shared" ca="1" si="33"/>
        <v/>
      </c>
      <c r="AO82" s="173" t="str">
        <f t="shared" ca="1" si="33"/>
        <v/>
      </c>
      <c r="AP82" s="173" t="str">
        <f t="shared" ca="1" si="33"/>
        <v/>
      </c>
      <c r="AQ82" s="173" t="str">
        <f t="shared" ca="1" si="33"/>
        <v/>
      </c>
      <c r="AR82" s="173" t="str">
        <f t="shared" ca="1" si="33"/>
        <v/>
      </c>
      <c r="AS82" s="173" t="str">
        <f t="shared" ca="1" si="33"/>
        <v/>
      </c>
      <c r="AT82" s="151">
        <v>77</v>
      </c>
      <c r="AU82" s="174" t="str">
        <f t="shared" ca="1" si="29"/>
        <v/>
      </c>
      <c r="AV82" s="175" t="str">
        <f t="shared" ca="1" si="30"/>
        <v/>
      </c>
      <c r="AW82" s="175" t="str">
        <f t="shared" ca="1" si="31"/>
        <v/>
      </c>
      <c r="AX82" s="176" t="str">
        <f t="shared" ca="1" si="32"/>
        <v/>
      </c>
    </row>
    <row r="83" spans="1:50" ht="15">
      <c r="A83" s="263"/>
      <c r="B83" s="260"/>
      <c r="C83" s="244"/>
      <c r="D83" s="168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70" t="str">
        <f t="shared" ref="T83:T146" si="34">IF(COUNT(E83:S83)=0,"",SUM(E83:S83))</f>
        <v/>
      </c>
      <c r="U83" s="170" t="str">
        <f t="shared" ref="U83:U146" si="35">IF(COUNT(E83:S83)=0,"",SUMSQ(E83:S83))</f>
        <v/>
      </c>
      <c r="V83" s="170" t="str">
        <f t="shared" ref="V83:V146" si="36">IF(COUNT(E83:S83)=0,"",AVERAGE(E83:S83))</f>
        <v/>
      </c>
      <c r="W83" s="170" t="str">
        <f t="shared" ref="W83:W146" si="37">IF(COUNT(E83:S83)=0,"",STDEVP(E83:S83))</f>
        <v/>
      </c>
      <c r="X83" s="170" t="str">
        <f t="shared" si="26"/>
        <v/>
      </c>
      <c r="Y83" s="170" t="str">
        <f t="shared" si="27"/>
        <v/>
      </c>
      <c r="Z83" s="170" t="str">
        <f t="shared" si="28"/>
        <v/>
      </c>
      <c r="AA83" s="170" t="str">
        <f t="shared" ref="AA83:AA146" si="38">IF(COUNT(E83:S83)=0,"",SUM(IF(AND(E83&gt;X83,E83&lt;Y83),E83,0),IF(AND(F83&gt;X83,F83&lt;Y83),F83,0),IF(AND(G83&gt;X83,G83&lt;Y83),G83,0),IF(AND(H83&gt;X83,H83&lt;Y83),H83,0),IF(AND(I83&gt;X83,I83&lt;Y83),I83,0),IF(AND(J83&gt;X83,J83&lt;Y83),J83,0),IF(AND(K83&gt;X83,K83&lt;Y83),K83,0),IF(AND(L83&gt;X83,L83&lt;Y83),L83,0),IF(AND(M83&gt;X83,M83&lt;Y83),M83,0),IF(AND(N83&gt;X83,N83&lt;Y83),N83,0),IF(AND(O83&gt;X83,O83&lt;Y83),O83,0),IF(AND(P83&gt;X83,P83&lt;Y83),P83,0),IF(AND(Q83&gt;X83,Q83&lt;Y83),Q83,0),IF(AND(R83&gt;X83,R83&lt;Y83),R83,0),IF(AND(S83&gt;X83,S83&lt;Y83),S83,0)))</f>
        <v/>
      </c>
      <c r="AB83" s="170" t="str">
        <f t="shared" ref="AB83:AB146" si="39">IF(COUNT(E83:S83)=0,"",SUMSQ(IF(AND(E83&gt;X83,E83&lt;Y83),E83,0),IF(AND(F83&gt;X83,F83&lt;Y83),F83,0),IF(AND(G83&gt;X83,G83&lt;Y83),G83,0),IF(AND(H83&gt;X83,H83&lt;Y83),H83,0),IF(AND(I83&gt;X83,I83&lt;Y83),I83,0),IF(AND(J83&gt;X83,J83&lt;Y83),J83,0),IF(AND(K83&gt;X83,K83&lt;Y83),K83,0),IF(AND(L83&gt;X83,L83&lt;Y83),L83,0),IF(AND(M83&gt;X83,M83&lt;Y83),M83,0),IF(AND(N83&gt;X83,N83&lt;Y83),N83,0),IF(AND(O83&gt;X83,O83&lt;Y83),O83,0),IF(AND(P83&gt;X83,P83&lt;Y83),P83,0),IF(AND(Q83&gt;X83,Q83&lt;Y83),Q83,0),IF(AND(R83&gt;X83,R83&lt;Y83),R83,0),IF(AND(S83&gt;X83,S83&lt;Y83),S83,0)))</f>
        <v/>
      </c>
      <c r="AC83" s="172" t="str">
        <f t="shared" ref="AC83:AC146" si="40">IF(COUNT(E83:S83)=0,"",POWER(40*SQRT(SUM(IF(AND(E83&gt;X83,E83&lt;Y83),1,0),IF(AND(F83&gt;X83,F83&lt;Y83),1,0),IF(AND(G83&gt;X83,G83&lt;Y83),1,0),IF(AND(H83&gt;X83,H83&lt;Y83),1,0),IF(AND(I83&gt;X83,I83&lt;Y83),1,0),IF(AND(J83&gt;X83,J83&lt;Y83),1,0),IF(AND(K83&gt;X83,K83&lt;Y83),1,0),IF(AND(L83&gt;X83,L83&lt;Y83),1,0),IF(AND(M83&gt;X83,M83&lt;Y83),1,0),IF(AND(N83&gt;X83,N83&lt;Y83),1,0),IF(AND(O83&gt;X83,O83&lt;Y83),1,0),IF(AND(P83&gt;X83,P83&lt;Y83),1,0),IF(AND(Q83&gt;X83,Q83&lt;Y83),1,0),IF(AND(R83&gt;X83,R83&lt;Y83),1,0),IF(AND(S83&gt;X83,S83&lt;Y83),1,0))*AB83-POWER(AA83,2))/AA83,2))</f>
        <v/>
      </c>
      <c r="AD83" s="151">
        <v>78</v>
      </c>
      <c r="AE83" s="173" t="str">
        <f t="shared" ca="1" si="33"/>
        <v/>
      </c>
      <c r="AF83" s="173" t="str">
        <f t="shared" ca="1" si="33"/>
        <v/>
      </c>
      <c r="AG83" s="173" t="str">
        <f t="shared" ca="1" si="33"/>
        <v/>
      </c>
      <c r="AH83" s="173" t="str">
        <f t="shared" ca="1" si="33"/>
        <v/>
      </c>
      <c r="AI83" s="173" t="str">
        <f t="shared" ca="1" si="33"/>
        <v/>
      </c>
      <c r="AJ83" s="173" t="str">
        <f t="shared" ca="1" si="33"/>
        <v/>
      </c>
      <c r="AK83" s="173" t="str">
        <f t="shared" ca="1" si="33"/>
        <v/>
      </c>
      <c r="AL83" s="173" t="str">
        <f t="shared" ca="1" si="33"/>
        <v/>
      </c>
      <c r="AM83" s="173" t="str">
        <f t="shared" ca="1" si="33"/>
        <v/>
      </c>
      <c r="AN83" s="173" t="str">
        <f t="shared" ca="1" si="33"/>
        <v/>
      </c>
      <c r="AO83" s="173" t="str">
        <f t="shared" ca="1" si="33"/>
        <v/>
      </c>
      <c r="AP83" s="173" t="str">
        <f t="shared" ca="1" si="33"/>
        <v/>
      </c>
      <c r="AQ83" s="173" t="str">
        <f t="shared" ca="1" si="33"/>
        <v/>
      </c>
      <c r="AR83" s="173" t="str">
        <f t="shared" ca="1" si="33"/>
        <v/>
      </c>
      <c r="AS83" s="173" t="str">
        <f t="shared" ca="1" si="33"/>
        <v/>
      </c>
      <c r="AT83" s="151">
        <v>78</v>
      </c>
      <c r="AU83" s="174" t="str">
        <f t="shared" ca="1" si="29"/>
        <v/>
      </c>
      <c r="AV83" s="175" t="str">
        <f t="shared" ca="1" si="30"/>
        <v/>
      </c>
      <c r="AW83" s="175" t="str">
        <f t="shared" ca="1" si="31"/>
        <v/>
      </c>
      <c r="AX83" s="176" t="str">
        <f t="shared" ca="1" si="32"/>
        <v/>
      </c>
    </row>
    <row r="84" spans="1:50" ht="15">
      <c r="A84" s="263"/>
      <c r="B84" s="260"/>
      <c r="C84" s="244"/>
      <c r="D84" s="177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70" t="str">
        <f t="shared" si="34"/>
        <v/>
      </c>
      <c r="U84" s="170" t="str">
        <f t="shared" si="35"/>
        <v/>
      </c>
      <c r="V84" s="170" t="str">
        <f t="shared" si="36"/>
        <v/>
      </c>
      <c r="W84" s="170" t="str">
        <f t="shared" si="37"/>
        <v/>
      </c>
      <c r="X84" s="170" t="str">
        <f t="shared" si="26"/>
        <v/>
      </c>
      <c r="Y84" s="170" t="str">
        <f t="shared" si="27"/>
        <v/>
      </c>
      <c r="Z84" s="170" t="str">
        <f t="shared" si="28"/>
        <v/>
      </c>
      <c r="AA84" s="170" t="str">
        <f t="shared" si="38"/>
        <v/>
      </c>
      <c r="AB84" s="170" t="str">
        <f t="shared" si="39"/>
        <v/>
      </c>
      <c r="AC84" s="172" t="str">
        <f t="shared" si="40"/>
        <v/>
      </c>
      <c r="AD84" s="151">
        <v>79</v>
      </c>
      <c r="AE84" s="173" t="str">
        <f t="shared" ca="1" si="33"/>
        <v/>
      </c>
      <c r="AF84" s="173" t="str">
        <f t="shared" ca="1" si="33"/>
        <v/>
      </c>
      <c r="AG84" s="173" t="str">
        <f t="shared" ca="1" si="33"/>
        <v/>
      </c>
      <c r="AH84" s="173" t="str">
        <f t="shared" ca="1" si="33"/>
        <v/>
      </c>
      <c r="AI84" s="173" t="str">
        <f t="shared" ca="1" si="33"/>
        <v/>
      </c>
      <c r="AJ84" s="173" t="str">
        <f t="shared" ca="1" si="33"/>
        <v/>
      </c>
      <c r="AK84" s="173" t="str">
        <f t="shared" ca="1" si="33"/>
        <v/>
      </c>
      <c r="AL84" s="173" t="str">
        <f t="shared" ca="1" si="33"/>
        <v/>
      </c>
      <c r="AM84" s="173" t="str">
        <f t="shared" ca="1" si="33"/>
        <v/>
      </c>
      <c r="AN84" s="173" t="str">
        <f t="shared" ca="1" si="33"/>
        <v/>
      </c>
      <c r="AO84" s="173" t="str">
        <f t="shared" ca="1" si="33"/>
        <v/>
      </c>
      <c r="AP84" s="173" t="str">
        <f t="shared" ca="1" si="33"/>
        <v/>
      </c>
      <c r="AQ84" s="173" t="str">
        <f t="shared" ca="1" si="33"/>
        <v/>
      </c>
      <c r="AR84" s="173" t="str">
        <f t="shared" ca="1" si="33"/>
        <v/>
      </c>
      <c r="AS84" s="173" t="str">
        <f t="shared" ca="1" si="33"/>
        <v/>
      </c>
      <c r="AT84" s="151">
        <v>79</v>
      </c>
      <c r="AU84" s="174" t="str">
        <f t="shared" ca="1" si="29"/>
        <v/>
      </c>
      <c r="AV84" s="175" t="str">
        <f t="shared" ca="1" si="30"/>
        <v/>
      </c>
      <c r="AW84" s="175" t="str">
        <f t="shared" ca="1" si="31"/>
        <v/>
      </c>
      <c r="AX84" s="176" t="str">
        <f t="shared" ca="1" si="32"/>
        <v/>
      </c>
    </row>
    <row r="85" spans="1:50" ht="15">
      <c r="A85" s="263"/>
      <c r="B85" s="261"/>
      <c r="C85" s="245"/>
      <c r="D85" s="177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70" t="str">
        <f t="shared" si="34"/>
        <v/>
      </c>
      <c r="U85" s="170" t="str">
        <f t="shared" si="35"/>
        <v/>
      </c>
      <c r="V85" s="170" t="str">
        <f t="shared" si="36"/>
        <v/>
      </c>
      <c r="W85" s="170" t="str">
        <f t="shared" si="37"/>
        <v/>
      </c>
      <c r="X85" s="170" t="str">
        <f t="shared" si="26"/>
        <v/>
      </c>
      <c r="Y85" s="170" t="str">
        <f t="shared" si="27"/>
        <v/>
      </c>
      <c r="Z85" s="170"/>
      <c r="AA85" s="170" t="str">
        <f t="shared" si="38"/>
        <v/>
      </c>
      <c r="AB85" s="170" t="str">
        <f t="shared" si="39"/>
        <v/>
      </c>
      <c r="AC85" s="172" t="str">
        <f t="shared" si="40"/>
        <v/>
      </c>
      <c r="AD85" s="151">
        <v>80</v>
      </c>
      <c r="AE85" s="173" t="str">
        <f t="shared" ca="1" si="33"/>
        <v/>
      </c>
      <c r="AF85" s="173" t="str">
        <f t="shared" ca="1" si="33"/>
        <v/>
      </c>
      <c r="AG85" s="173" t="str">
        <f t="shared" ca="1" si="33"/>
        <v/>
      </c>
      <c r="AH85" s="173" t="str">
        <f t="shared" ca="1" si="33"/>
        <v/>
      </c>
      <c r="AI85" s="173" t="str">
        <f t="shared" ca="1" si="33"/>
        <v/>
      </c>
      <c r="AJ85" s="173" t="str">
        <f t="shared" ca="1" si="33"/>
        <v/>
      </c>
      <c r="AK85" s="173" t="str">
        <f t="shared" ca="1" si="33"/>
        <v/>
      </c>
      <c r="AL85" s="173" t="str">
        <f t="shared" ca="1" si="33"/>
        <v/>
      </c>
      <c r="AM85" s="173" t="str">
        <f t="shared" ca="1" si="33"/>
        <v/>
      </c>
      <c r="AN85" s="173" t="str">
        <f t="shared" ca="1" si="33"/>
        <v/>
      </c>
      <c r="AO85" s="173" t="str">
        <f t="shared" ca="1" si="33"/>
        <v/>
      </c>
      <c r="AP85" s="173" t="str">
        <f t="shared" ca="1" si="33"/>
        <v/>
      </c>
      <c r="AQ85" s="173" t="str">
        <f t="shared" ca="1" si="33"/>
        <v/>
      </c>
      <c r="AR85" s="173" t="str">
        <f t="shared" ca="1" si="33"/>
        <v/>
      </c>
      <c r="AS85" s="173" t="str">
        <f t="shared" ca="1" si="33"/>
        <v/>
      </c>
      <c r="AT85" s="151">
        <v>80</v>
      </c>
      <c r="AU85" s="179" t="str">
        <f t="shared" ca="1" si="29"/>
        <v/>
      </c>
      <c r="AV85" s="180" t="str">
        <f t="shared" ca="1" si="30"/>
        <v/>
      </c>
      <c r="AW85" s="180" t="str">
        <f t="shared" ca="1" si="31"/>
        <v/>
      </c>
      <c r="AX85" s="181" t="str">
        <f t="shared" ca="1" si="32"/>
        <v/>
      </c>
    </row>
    <row r="86" spans="1:50" ht="15" customHeight="1">
      <c r="A86" s="263">
        <v>11</v>
      </c>
      <c r="B86" s="252"/>
      <c r="C86" s="243"/>
      <c r="D86" s="168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70" t="str">
        <f t="shared" si="34"/>
        <v/>
      </c>
      <c r="U86" s="170" t="str">
        <f t="shared" si="35"/>
        <v/>
      </c>
      <c r="V86" s="170" t="str">
        <f t="shared" si="36"/>
        <v/>
      </c>
      <c r="W86" s="170" t="str">
        <f t="shared" si="37"/>
        <v/>
      </c>
      <c r="X86" s="170" t="str">
        <f t="shared" si="26"/>
        <v/>
      </c>
      <c r="Y86" s="170" t="str">
        <f t="shared" si="27"/>
        <v/>
      </c>
      <c r="Z86" s="170" t="str">
        <f t="shared" si="28"/>
        <v/>
      </c>
      <c r="AA86" s="170" t="str">
        <f t="shared" si="38"/>
        <v/>
      </c>
      <c r="AB86" s="170" t="str">
        <f t="shared" si="39"/>
        <v/>
      </c>
      <c r="AC86" s="172" t="str">
        <f t="shared" si="40"/>
        <v/>
      </c>
      <c r="AE86" s="182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  <c r="AQ86" s="182"/>
      <c r="AR86" s="182"/>
      <c r="AS86" s="182"/>
    </row>
    <row r="87" spans="1:50" ht="15" customHeight="1">
      <c r="A87" s="263"/>
      <c r="B87" s="260"/>
      <c r="C87" s="244"/>
      <c r="D87" s="168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70" t="str">
        <f t="shared" si="34"/>
        <v/>
      </c>
      <c r="U87" s="170" t="str">
        <f t="shared" si="35"/>
        <v/>
      </c>
      <c r="V87" s="170" t="str">
        <f t="shared" si="36"/>
        <v/>
      </c>
      <c r="W87" s="170" t="str">
        <f t="shared" si="37"/>
        <v/>
      </c>
      <c r="X87" s="170" t="str">
        <f t="shared" si="26"/>
        <v/>
      </c>
      <c r="Y87" s="170" t="str">
        <f t="shared" si="27"/>
        <v/>
      </c>
      <c r="Z87" s="170" t="str">
        <f t="shared" si="28"/>
        <v/>
      </c>
      <c r="AA87" s="170" t="str">
        <f t="shared" si="38"/>
        <v/>
      </c>
      <c r="AB87" s="170" t="str">
        <f t="shared" si="39"/>
        <v/>
      </c>
      <c r="AC87" s="172" t="str">
        <f t="shared" si="40"/>
        <v/>
      </c>
      <c r="AE87" s="182"/>
      <c r="AF87" s="182"/>
      <c r="AG87" s="182"/>
      <c r="AH87" s="182"/>
      <c r="AI87" s="182"/>
      <c r="AJ87" s="182"/>
      <c r="AK87" s="182"/>
      <c r="AL87" s="182"/>
      <c r="AM87" s="182"/>
      <c r="AN87" s="182"/>
      <c r="AO87" s="182"/>
      <c r="AP87" s="182"/>
      <c r="AQ87" s="182"/>
      <c r="AR87" s="182"/>
      <c r="AS87" s="182"/>
    </row>
    <row r="88" spans="1:50" ht="15" customHeight="1">
      <c r="A88" s="263"/>
      <c r="B88" s="260"/>
      <c r="C88" s="244"/>
      <c r="D88" s="168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70" t="str">
        <f t="shared" si="34"/>
        <v/>
      </c>
      <c r="U88" s="170" t="str">
        <f t="shared" si="35"/>
        <v/>
      </c>
      <c r="V88" s="170" t="str">
        <f t="shared" si="36"/>
        <v/>
      </c>
      <c r="W88" s="170" t="str">
        <f t="shared" si="37"/>
        <v/>
      </c>
      <c r="X88" s="170" t="str">
        <f t="shared" si="26"/>
        <v/>
      </c>
      <c r="Y88" s="170" t="str">
        <f t="shared" si="27"/>
        <v/>
      </c>
      <c r="Z88" s="170" t="str">
        <f t="shared" si="28"/>
        <v/>
      </c>
      <c r="AA88" s="170" t="str">
        <f t="shared" si="38"/>
        <v/>
      </c>
      <c r="AB88" s="170" t="str">
        <f t="shared" si="39"/>
        <v/>
      </c>
      <c r="AC88" s="172" t="str">
        <f t="shared" si="40"/>
        <v/>
      </c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  <c r="AP88" s="182"/>
      <c r="AQ88" s="182"/>
      <c r="AR88" s="182"/>
      <c r="AS88" s="182"/>
    </row>
    <row r="89" spans="1:50" ht="15">
      <c r="A89" s="263"/>
      <c r="B89" s="260"/>
      <c r="C89" s="244"/>
      <c r="D89" s="168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70" t="str">
        <f t="shared" si="34"/>
        <v/>
      </c>
      <c r="U89" s="170" t="str">
        <f t="shared" si="35"/>
        <v/>
      </c>
      <c r="V89" s="170" t="str">
        <f t="shared" si="36"/>
        <v/>
      </c>
      <c r="W89" s="170" t="str">
        <f t="shared" si="37"/>
        <v/>
      </c>
      <c r="X89" s="170" t="str">
        <f t="shared" si="26"/>
        <v/>
      </c>
      <c r="Y89" s="170" t="str">
        <f t="shared" si="27"/>
        <v/>
      </c>
      <c r="Z89" s="170" t="str">
        <f t="shared" si="28"/>
        <v/>
      </c>
      <c r="AA89" s="170" t="str">
        <f t="shared" si="38"/>
        <v/>
      </c>
      <c r="AB89" s="170" t="str">
        <f t="shared" si="39"/>
        <v/>
      </c>
      <c r="AC89" s="172" t="str">
        <f t="shared" si="40"/>
        <v/>
      </c>
      <c r="AE89" s="182"/>
      <c r="AF89" s="182"/>
      <c r="AG89" s="182"/>
      <c r="AH89" s="182"/>
      <c r="AI89" s="182"/>
      <c r="AJ89" s="182"/>
      <c r="AK89" s="182"/>
      <c r="AL89" s="182"/>
      <c r="AM89" s="182"/>
      <c r="AN89" s="182"/>
      <c r="AO89" s="182"/>
      <c r="AP89" s="182"/>
      <c r="AQ89" s="182"/>
      <c r="AR89" s="182"/>
      <c r="AS89" s="182"/>
    </row>
    <row r="90" spans="1:50" ht="15">
      <c r="A90" s="263"/>
      <c r="B90" s="260"/>
      <c r="C90" s="244"/>
      <c r="D90" s="168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70" t="str">
        <f t="shared" si="34"/>
        <v/>
      </c>
      <c r="U90" s="170" t="str">
        <f t="shared" si="35"/>
        <v/>
      </c>
      <c r="V90" s="170" t="str">
        <f t="shared" si="36"/>
        <v/>
      </c>
      <c r="W90" s="170" t="str">
        <f t="shared" si="37"/>
        <v/>
      </c>
      <c r="X90" s="170" t="str">
        <f t="shared" si="26"/>
        <v/>
      </c>
      <c r="Y90" s="170" t="str">
        <f t="shared" si="27"/>
        <v/>
      </c>
      <c r="Z90" s="170" t="str">
        <f t="shared" si="28"/>
        <v/>
      </c>
      <c r="AA90" s="170" t="str">
        <f t="shared" si="38"/>
        <v/>
      </c>
      <c r="AB90" s="170" t="str">
        <f t="shared" si="39"/>
        <v/>
      </c>
      <c r="AC90" s="172" t="str">
        <f t="shared" si="40"/>
        <v/>
      </c>
      <c r="AE90" s="182"/>
      <c r="AF90" s="182"/>
      <c r="AG90" s="182"/>
      <c r="AH90" s="182"/>
      <c r="AI90" s="182"/>
      <c r="AJ90" s="182"/>
      <c r="AK90" s="182"/>
      <c r="AL90" s="182"/>
      <c r="AM90" s="182"/>
      <c r="AN90" s="182"/>
      <c r="AO90" s="182"/>
      <c r="AP90" s="182"/>
      <c r="AQ90" s="182"/>
      <c r="AR90" s="182"/>
      <c r="AS90" s="182"/>
    </row>
    <row r="91" spans="1:50" ht="15">
      <c r="A91" s="263"/>
      <c r="B91" s="260"/>
      <c r="C91" s="244"/>
      <c r="D91" s="168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70" t="str">
        <f t="shared" si="34"/>
        <v/>
      </c>
      <c r="U91" s="170" t="str">
        <f t="shared" si="35"/>
        <v/>
      </c>
      <c r="V91" s="170" t="str">
        <f t="shared" si="36"/>
        <v/>
      </c>
      <c r="W91" s="170" t="str">
        <f t="shared" si="37"/>
        <v/>
      </c>
      <c r="X91" s="170" t="str">
        <f t="shared" si="26"/>
        <v/>
      </c>
      <c r="Y91" s="170" t="str">
        <f t="shared" si="27"/>
        <v/>
      </c>
      <c r="Z91" s="170" t="str">
        <f t="shared" si="28"/>
        <v/>
      </c>
      <c r="AA91" s="170" t="str">
        <f t="shared" si="38"/>
        <v/>
      </c>
      <c r="AB91" s="170" t="str">
        <f t="shared" si="39"/>
        <v/>
      </c>
      <c r="AC91" s="172" t="str">
        <f t="shared" si="40"/>
        <v/>
      </c>
      <c r="AE91" s="182"/>
      <c r="AF91" s="182"/>
      <c r="AG91" s="182"/>
      <c r="AH91" s="182"/>
      <c r="AI91" s="182"/>
      <c r="AJ91" s="182"/>
      <c r="AK91" s="182"/>
      <c r="AL91" s="182"/>
      <c r="AM91" s="182"/>
      <c r="AN91" s="182"/>
      <c r="AO91" s="182"/>
      <c r="AP91" s="182"/>
      <c r="AQ91" s="182"/>
      <c r="AR91" s="182"/>
      <c r="AS91" s="182"/>
    </row>
    <row r="92" spans="1:50" ht="15">
      <c r="A92" s="263"/>
      <c r="B92" s="260"/>
      <c r="C92" s="244"/>
      <c r="D92" s="177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70" t="str">
        <f t="shared" si="34"/>
        <v/>
      </c>
      <c r="U92" s="170" t="str">
        <f t="shared" si="35"/>
        <v/>
      </c>
      <c r="V92" s="170" t="str">
        <f t="shared" si="36"/>
        <v/>
      </c>
      <c r="W92" s="170" t="str">
        <f t="shared" si="37"/>
        <v/>
      </c>
      <c r="X92" s="170" t="str">
        <f t="shared" si="26"/>
        <v/>
      </c>
      <c r="Y92" s="170" t="str">
        <f t="shared" si="27"/>
        <v/>
      </c>
      <c r="Z92" s="170" t="str">
        <f t="shared" si="28"/>
        <v/>
      </c>
      <c r="AA92" s="170" t="str">
        <f t="shared" si="38"/>
        <v/>
      </c>
      <c r="AB92" s="170" t="str">
        <f t="shared" si="39"/>
        <v/>
      </c>
      <c r="AC92" s="172" t="str">
        <f t="shared" si="40"/>
        <v/>
      </c>
      <c r="AE92" s="182"/>
      <c r="AF92" s="182"/>
      <c r="AG92" s="182"/>
      <c r="AH92" s="182"/>
      <c r="AI92" s="182"/>
      <c r="AJ92" s="182"/>
      <c r="AK92" s="182"/>
      <c r="AL92" s="182"/>
      <c r="AM92" s="182"/>
      <c r="AN92" s="182"/>
      <c r="AO92" s="182"/>
      <c r="AP92" s="182"/>
      <c r="AQ92" s="182"/>
      <c r="AR92" s="182"/>
      <c r="AS92" s="182"/>
    </row>
    <row r="93" spans="1:50" ht="15">
      <c r="A93" s="263"/>
      <c r="B93" s="261"/>
      <c r="C93" s="245"/>
      <c r="D93" s="177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70" t="str">
        <f t="shared" si="34"/>
        <v/>
      </c>
      <c r="U93" s="170" t="str">
        <f t="shared" si="35"/>
        <v/>
      </c>
      <c r="V93" s="170" t="str">
        <f t="shared" si="36"/>
        <v/>
      </c>
      <c r="W93" s="170" t="str">
        <f t="shared" si="37"/>
        <v/>
      </c>
      <c r="X93" s="170" t="str">
        <f t="shared" si="26"/>
        <v/>
      </c>
      <c r="Y93" s="170" t="str">
        <f t="shared" si="27"/>
        <v/>
      </c>
      <c r="Z93" s="170"/>
      <c r="AA93" s="170" t="str">
        <f t="shared" si="38"/>
        <v/>
      </c>
      <c r="AB93" s="170" t="str">
        <f t="shared" si="39"/>
        <v/>
      </c>
      <c r="AC93" s="172" t="str">
        <f t="shared" si="40"/>
        <v/>
      </c>
      <c r="AE93" s="182"/>
      <c r="AF93" s="182"/>
      <c r="AG93" s="182"/>
      <c r="AH93" s="182"/>
      <c r="AI93" s="182"/>
      <c r="AJ93" s="182"/>
      <c r="AK93" s="182"/>
      <c r="AL93" s="182"/>
      <c r="AM93" s="182"/>
      <c r="AN93" s="182"/>
      <c r="AO93" s="182"/>
      <c r="AP93" s="182"/>
      <c r="AQ93" s="182"/>
      <c r="AR93" s="182"/>
      <c r="AS93" s="182"/>
    </row>
    <row r="94" spans="1:50" ht="15">
      <c r="A94" s="263">
        <v>12</v>
      </c>
      <c r="B94" s="252"/>
      <c r="C94" s="243"/>
      <c r="D94" s="168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70" t="str">
        <f t="shared" si="34"/>
        <v/>
      </c>
      <c r="U94" s="170" t="str">
        <f t="shared" si="35"/>
        <v/>
      </c>
      <c r="V94" s="170" t="str">
        <f t="shared" si="36"/>
        <v/>
      </c>
      <c r="W94" s="170" t="str">
        <f t="shared" si="37"/>
        <v/>
      </c>
      <c r="X94" s="170" t="str">
        <f t="shared" si="26"/>
        <v/>
      </c>
      <c r="Y94" s="170" t="str">
        <f t="shared" si="27"/>
        <v/>
      </c>
      <c r="Z94" s="170" t="str">
        <f t="shared" si="28"/>
        <v/>
      </c>
      <c r="AA94" s="170" t="str">
        <f t="shared" si="38"/>
        <v/>
      </c>
      <c r="AB94" s="170" t="str">
        <f t="shared" si="39"/>
        <v/>
      </c>
      <c r="AC94" s="172" t="str">
        <f t="shared" si="40"/>
        <v/>
      </c>
      <c r="AE94" s="182"/>
      <c r="AF94" s="182"/>
      <c r="AG94" s="182"/>
      <c r="AH94" s="182"/>
      <c r="AI94" s="182"/>
      <c r="AJ94" s="182"/>
      <c r="AK94" s="182"/>
      <c r="AL94" s="182"/>
      <c r="AM94" s="182"/>
      <c r="AN94" s="182"/>
      <c r="AO94" s="182"/>
      <c r="AP94" s="182"/>
      <c r="AQ94" s="182"/>
      <c r="AR94" s="182"/>
      <c r="AS94" s="182"/>
    </row>
    <row r="95" spans="1:50" ht="15">
      <c r="A95" s="263"/>
      <c r="B95" s="260"/>
      <c r="C95" s="244"/>
      <c r="D95" s="168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70" t="str">
        <f t="shared" si="34"/>
        <v/>
      </c>
      <c r="U95" s="170" t="str">
        <f t="shared" si="35"/>
        <v/>
      </c>
      <c r="V95" s="170" t="str">
        <f t="shared" si="36"/>
        <v/>
      </c>
      <c r="W95" s="170" t="str">
        <f t="shared" si="37"/>
        <v/>
      </c>
      <c r="X95" s="170" t="str">
        <f t="shared" si="26"/>
        <v/>
      </c>
      <c r="Y95" s="170" t="str">
        <f t="shared" si="27"/>
        <v/>
      </c>
      <c r="Z95" s="170" t="str">
        <f t="shared" si="28"/>
        <v/>
      </c>
      <c r="AA95" s="170" t="str">
        <f t="shared" si="38"/>
        <v/>
      </c>
      <c r="AB95" s="170" t="str">
        <f t="shared" si="39"/>
        <v/>
      </c>
      <c r="AC95" s="172" t="str">
        <f t="shared" si="40"/>
        <v/>
      </c>
      <c r="AE95" s="182"/>
      <c r="AF95" s="182"/>
      <c r="AG95" s="182"/>
      <c r="AH95" s="182"/>
      <c r="AI95" s="182"/>
      <c r="AJ95" s="182"/>
      <c r="AK95" s="182"/>
      <c r="AL95" s="182"/>
      <c r="AM95" s="182"/>
      <c r="AN95" s="182"/>
      <c r="AO95" s="182"/>
      <c r="AP95" s="182"/>
      <c r="AQ95" s="182"/>
      <c r="AR95" s="182"/>
      <c r="AS95" s="182"/>
    </row>
    <row r="96" spans="1:50" ht="15">
      <c r="A96" s="263"/>
      <c r="B96" s="260"/>
      <c r="C96" s="244"/>
      <c r="D96" s="168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70" t="str">
        <f t="shared" si="34"/>
        <v/>
      </c>
      <c r="U96" s="170" t="str">
        <f t="shared" si="35"/>
        <v/>
      </c>
      <c r="V96" s="170" t="str">
        <f t="shared" si="36"/>
        <v/>
      </c>
      <c r="W96" s="170" t="str">
        <f t="shared" si="37"/>
        <v/>
      </c>
      <c r="X96" s="170" t="str">
        <f t="shared" si="26"/>
        <v/>
      </c>
      <c r="Y96" s="170" t="str">
        <f t="shared" si="27"/>
        <v/>
      </c>
      <c r="Z96" s="170" t="str">
        <f t="shared" si="28"/>
        <v/>
      </c>
      <c r="AA96" s="170" t="str">
        <f t="shared" si="38"/>
        <v/>
      </c>
      <c r="AB96" s="170" t="str">
        <f t="shared" si="39"/>
        <v/>
      </c>
      <c r="AC96" s="172" t="str">
        <f t="shared" si="40"/>
        <v/>
      </c>
      <c r="AE96" s="182"/>
      <c r="AF96" s="182"/>
      <c r="AG96" s="182"/>
      <c r="AH96" s="182"/>
      <c r="AI96" s="182"/>
      <c r="AJ96" s="182"/>
      <c r="AK96" s="182"/>
      <c r="AL96" s="182"/>
      <c r="AM96" s="182"/>
      <c r="AN96" s="182"/>
      <c r="AO96" s="182"/>
      <c r="AP96" s="182"/>
      <c r="AQ96" s="182"/>
      <c r="AR96" s="182"/>
      <c r="AS96" s="182"/>
    </row>
    <row r="97" spans="1:45" ht="15">
      <c r="A97" s="263"/>
      <c r="B97" s="260"/>
      <c r="C97" s="244"/>
      <c r="D97" s="177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70" t="str">
        <f t="shared" si="34"/>
        <v/>
      </c>
      <c r="U97" s="170" t="str">
        <f t="shared" si="35"/>
        <v/>
      </c>
      <c r="V97" s="170" t="str">
        <f t="shared" si="36"/>
        <v/>
      </c>
      <c r="W97" s="170" t="str">
        <f t="shared" si="37"/>
        <v/>
      </c>
      <c r="X97" s="170" t="str">
        <f t="shared" si="26"/>
        <v/>
      </c>
      <c r="Y97" s="170" t="str">
        <f t="shared" si="27"/>
        <v/>
      </c>
      <c r="Z97" s="170" t="str">
        <f t="shared" si="28"/>
        <v/>
      </c>
      <c r="AA97" s="170" t="str">
        <f t="shared" si="38"/>
        <v/>
      </c>
      <c r="AB97" s="170" t="str">
        <f t="shared" si="39"/>
        <v/>
      </c>
      <c r="AC97" s="172" t="str">
        <f t="shared" si="40"/>
        <v/>
      </c>
      <c r="AE97" s="182"/>
      <c r="AF97" s="182"/>
      <c r="AG97" s="182"/>
      <c r="AH97" s="182"/>
      <c r="AI97" s="182"/>
      <c r="AJ97" s="182"/>
      <c r="AK97" s="182"/>
      <c r="AL97" s="182"/>
      <c r="AM97" s="182"/>
      <c r="AN97" s="182"/>
      <c r="AO97" s="182"/>
      <c r="AP97" s="182"/>
      <c r="AQ97" s="182"/>
      <c r="AR97" s="182"/>
      <c r="AS97" s="182"/>
    </row>
    <row r="98" spans="1:45" ht="15">
      <c r="A98" s="263"/>
      <c r="B98" s="260"/>
      <c r="C98" s="244"/>
      <c r="D98" s="177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70" t="str">
        <f t="shared" si="34"/>
        <v/>
      </c>
      <c r="U98" s="170" t="str">
        <f t="shared" si="35"/>
        <v/>
      </c>
      <c r="V98" s="170" t="str">
        <f t="shared" si="36"/>
        <v/>
      </c>
      <c r="W98" s="170" t="str">
        <f t="shared" si="37"/>
        <v/>
      </c>
      <c r="X98" s="170" t="str">
        <f t="shared" si="26"/>
        <v/>
      </c>
      <c r="Y98" s="170" t="str">
        <f t="shared" si="27"/>
        <v/>
      </c>
      <c r="Z98" s="170" t="str">
        <f t="shared" si="28"/>
        <v/>
      </c>
      <c r="AA98" s="170" t="str">
        <f t="shared" si="38"/>
        <v/>
      </c>
      <c r="AB98" s="170" t="str">
        <f t="shared" si="39"/>
        <v/>
      </c>
      <c r="AC98" s="172" t="str">
        <f t="shared" si="40"/>
        <v/>
      </c>
      <c r="AE98" s="182"/>
      <c r="AF98" s="182"/>
      <c r="AG98" s="182"/>
      <c r="AH98" s="182"/>
      <c r="AI98" s="182"/>
      <c r="AJ98" s="182"/>
      <c r="AK98" s="182"/>
      <c r="AL98" s="182"/>
      <c r="AM98" s="182"/>
      <c r="AN98" s="182"/>
      <c r="AO98" s="182"/>
      <c r="AP98" s="182"/>
      <c r="AQ98" s="182"/>
      <c r="AR98" s="182"/>
      <c r="AS98" s="182"/>
    </row>
    <row r="99" spans="1:45" ht="15">
      <c r="A99" s="263"/>
      <c r="B99" s="260"/>
      <c r="C99" s="244"/>
      <c r="D99" s="177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70" t="str">
        <f t="shared" si="34"/>
        <v/>
      </c>
      <c r="U99" s="170" t="str">
        <f t="shared" si="35"/>
        <v/>
      </c>
      <c r="V99" s="170" t="str">
        <f t="shared" si="36"/>
        <v/>
      </c>
      <c r="W99" s="170" t="str">
        <f t="shared" si="37"/>
        <v/>
      </c>
      <c r="X99" s="170" t="str">
        <f t="shared" si="26"/>
        <v/>
      </c>
      <c r="Y99" s="170" t="str">
        <f t="shared" si="27"/>
        <v/>
      </c>
      <c r="Z99" s="170" t="str">
        <f t="shared" si="28"/>
        <v/>
      </c>
      <c r="AA99" s="170" t="str">
        <f t="shared" si="38"/>
        <v/>
      </c>
      <c r="AB99" s="170" t="str">
        <f t="shared" si="39"/>
        <v/>
      </c>
      <c r="AC99" s="172" t="str">
        <f t="shared" si="40"/>
        <v/>
      </c>
      <c r="AE99" s="182"/>
      <c r="AF99" s="182"/>
      <c r="AG99" s="182"/>
      <c r="AH99" s="182"/>
      <c r="AI99" s="182"/>
      <c r="AJ99" s="182"/>
      <c r="AK99" s="182"/>
      <c r="AL99" s="182"/>
      <c r="AM99" s="182"/>
      <c r="AN99" s="182"/>
      <c r="AO99" s="182"/>
      <c r="AP99" s="182"/>
      <c r="AQ99" s="182"/>
      <c r="AR99" s="182"/>
      <c r="AS99" s="182"/>
    </row>
    <row r="100" spans="1:45" ht="15">
      <c r="A100" s="263"/>
      <c r="B100" s="260"/>
      <c r="C100" s="244"/>
      <c r="D100" s="177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70" t="str">
        <f t="shared" si="34"/>
        <v/>
      </c>
      <c r="U100" s="170" t="str">
        <f t="shared" si="35"/>
        <v/>
      </c>
      <c r="V100" s="170" t="str">
        <f t="shared" si="36"/>
        <v/>
      </c>
      <c r="W100" s="170" t="str">
        <f t="shared" si="37"/>
        <v/>
      </c>
      <c r="X100" s="170" t="str">
        <f t="shared" si="26"/>
        <v/>
      </c>
      <c r="Y100" s="170" t="str">
        <f t="shared" si="27"/>
        <v/>
      </c>
      <c r="Z100" s="170" t="str">
        <f t="shared" si="28"/>
        <v/>
      </c>
      <c r="AA100" s="170" t="str">
        <f t="shared" si="38"/>
        <v/>
      </c>
      <c r="AB100" s="170" t="str">
        <f t="shared" si="39"/>
        <v/>
      </c>
      <c r="AC100" s="172" t="str">
        <f t="shared" si="40"/>
        <v/>
      </c>
      <c r="AE100" s="182"/>
      <c r="AF100" s="182"/>
      <c r="AG100" s="182"/>
      <c r="AH100" s="182"/>
      <c r="AI100" s="182"/>
      <c r="AJ100" s="182"/>
      <c r="AK100" s="182"/>
      <c r="AL100" s="182"/>
      <c r="AM100" s="182"/>
      <c r="AN100" s="182"/>
      <c r="AO100" s="182"/>
      <c r="AP100" s="182"/>
      <c r="AQ100" s="182"/>
      <c r="AR100" s="182"/>
      <c r="AS100" s="182"/>
    </row>
    <row r="101" spans="1:45" ht="15">
      <c r="A101" s="263"/>
      <c r="B101" s="261"/>
      <c r="C101" s="245"/>
      <c r="D101" s="177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70" t="str">
        <f t="shared" si="34"/>
        <v/>
      </c>
      <c r="U101" s="170" t="str">
        <f t="shared" si="35"/>
        <v/>
      </c>
      <c r="V101" s="170" t="str">
        <f t="shared" si="36"/>
        <v/>
      </c>
      <c r="W101" s="170" t="str">
        <f t="shared" si="37"/>
        <v/>
      </c>
      <c r="X101" s="170" t="str">
        <f t="shared" si="26"/>
        <v/>
      </c>
      <c r="Y101" s="170" t="str">
        <f t="shared" si="27"/>
        <v/>
      </c>
      <c r="Z101" s="170"/>
      <c r="AA101" s="170" t="str">
        <f t="shared" si="38"/>
        <v/>
      </c>
      <c r="AB101" s="170" t="str">
        <f t="shared" si="39"/>
        <v/>
      </c>
      <c r="AC101" s="172" t="str">
        <f t="shared" si="40"/>
        <v/>
      </c>
      <c r="AE101" s="182"/>
      <c r="AF101" s="182"/>
      <c r="AG101" s="182"/>
      <c r="AH101" s="182"/>
      <c r="AI101" s="182"/>
      <c r="AJ101" s="182"/>
      <c r="AK101" s="182"/>
      <c r="AL101" s="182"/>
      <c r="AM101" s="182"/>
      <c r="AN101" s="182"/>
      <c r="AO101" s="182"/>
      <c r="AP101" s="182"/>
      <c r="AQ101" s="182"/>
      <c r="AR101" s="182"/>
      <c r="AS101" s="182"/>
    </row>
    <row r="102" spans="1:45" ht="15" customHeight="1">
      <c r="A102" s="263">
        <v>13</v>
      </c>
      <c r="B102" s="252"/>
      <c r="C102" s="243"/>
      <c r="D102" s="168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70" t="str">
        <f t="shared" si="34"/>
        <v/>
      </c>
      <c r="U102" s="170" t="str">
        <f t="shared" si="35"/>
        <v/>
      </c>
      <c r="V102" s="170" t="str">
        <f t="shared" si="36"/>
        <v/>
      </c>
      <c r="W102" s="170" t="str">
        <f t="shared" si="37"/>
        <v/>
      </c>
      <c r="X102" s="170" t="str">
        <f t="shared" si="26"/>
        <v/>
      </c>
      <c r="Y102" s="170" t="str">
        <f t="shared" si="27"/>
        <v/>
      </c>
      <c r="Z102" s="170" t="str">
        <f t="shared" si="28"/>
        <v/>
      </c>
      <c r="AA102" s="170" t="str">
        <f t="shared" si="38"/>
        <v/>
      </c>
      <c r="AB102" s="170" t="str">
        <f t="shared" si="39"/>
        <v/>
      </c>
      <c r="AC102" s="172" t="str">
        <f t="shared" si="40"/>
        <v/>
      </c>
      <c r="AE102" s="182"/>
      <c r="AF102" s="182"/>
      <c r="AG102" s="182"/>
      <c r="AH102" s="182"/>
      <c r="AI102" s="182"/>
      <c r="AJ102" s="182"/>
      <c r="AK102" s="182"/>
      <c r="AL102" s="182"/>
      <c r="AM102" s="182"/>
      <c r="AN102" s="182"/>
      <c r="AO102" s="182"/>
      <c r="AP102" s="182"/>
      <c r="AQ102" s="182"/>
      <c r="AR102" s="182"/>
      <c r="AS102" s="182"/>
    </row>
    <row r="103" spans="1:45" ht="15">
      <c r="A103" s="263"/>
      <c r="B103" s="260"/>
      <c r="C103" s="244"/>
      <c r="D103" s="168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70" t="str">
        <f t="shared" si="34"/>
        <v/>
      </c>
      <c r="U103" s="170" t="str">
        <f t="shared" si="35"/>
        <v/>
      </c>
      <c r="V103" s="170" t="str">
        <f t="shared" si="36"/>
        <v/>
      </c>
      <c r="W103" s="170" t="str">
        <f t="shared" si="37"/>
        <v/>
      </c>
      <c r="X103" s="170" t="str">
        <f t="shared" si="26"/>
        <v/>
      </c>
      <c r="Y103" s="170" t="str">
        <f t="shared" si="27"/>
        <v/>
      </c>
      <c r="Z103" s="170" t="str">
        <f t="shared" si="28"/>
        <v/>
      </c>
      <c r="AA103" s="170" t="str">
        <f t="shared" si="38"/>
        <v/>
      </c>
      <c r="AB103" s="170" t="str">
        <f t="shared" si="39"/>
        <v/>
      </c>
      <c r="AC103" s="172" t="str">
        <f t="shared" si="40"/>
        <v/>
      </c>
      <c r="AE103" s="182"/>
      <c r="AF103" s="182"/>
      <c r="AG103" s="182"/>
      <c r="AH103" s="182"/>
      <c r="AI103" s="182"/>
      <c r="AJ103" s="182"/>
      <c r="AK103" s="182"/>
      <c r="AL103" s="182"/>
      <c r="AM103" s="182"/>
      <c r="AN103" s="182"/>
      <c r="AO103" s="182"/>
      <c r="AP103" s="182"/>
      <c r="AQ103" s="182"/>
      <c r="AR103" s="182"/>
      <c r="AS103" s="182"/>
    </row>
    <row r="104" spans="1:45" ht="15">
      <c r="A104" s="263"/>
      <c r="B104" s="260"/>
      <c r="C104" s="244"/>
      <c r="D104" s="183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70" t="str">
        <f t="shared" si="34"/>
        <v/>
      </c>
      <c r="U104" s="170" t="str">
        <f t="shared" si="35"/>
        <v/>
      </c>
      <c r="V104" s="170" t="str">
        <f t="shared" si="36"/>
        <v/>
      </c>
      <c r="W104" s="170" t="str">
        <f t="shared" si="37"/>
        <v/>
      </c>
      <c r="X104" s="170" t="str">
        <f t="shared" si="26"/>
        <v/>
      </c>
      <c r="Y104" s="170" t="str">
        <f t="shared" si="27"/>
        <v/>
      </c>
      <c r="Z104" s="170" t="str">
        <f t="shared" si="28"/>
        <v/>
      </c>
      <c r="AA104" s="170" t="str">
        <f t="shared" si="38"/>
        <v/>
      </c>
      <c r="AB104" s="170" t="str">
        <f t="shared" si="39"/>
        <v/>
      </c>
      <c r="AC104" s="172" t="str">
        <f t="shared" si="40"/>
        <v/>
      </c>
      <c r="AE104" s="182"/>
      <c r="AF104" s="182"/>
      <c r="AG104" s="182"/>
      <c r="AH104" s="182"/>
      <c r="AI104" s="182"/>
      <c r="AJ104" s="182"/>
      <c r="AK104" s="182"/>
      <c r="AL104" s="182"/>
      <c r="AM104" s="182"/>
      <c r="AN104" s="182"/>
      <c r="AO104" s="182"/>
      <c r="AP104" s="182"/>
      <c r="AQ104" s="182"/>
      <c r="AR104" s="182"/>
      <c r="AS104" s="182"/>
    </row>
    <row r="105" spans="1:45" ht="15">
      <c r="A105" s="263"/>
      <c r="B105" s="260"/>
      <c r="C105" s="244"/>
      <c r="D105" s="177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70" t="str">
        <f t="shared" si="34"/>
        <v/>
      </c>
      <c r="U105" s="170" t="str">
        <f t="shared" si="35"/>
        <v/>
      </c>
      <c r="V105" s="170" t="str">
        <f t="shared" si="36"/>
        <v/>
      </c>
      <c r="W105" s="170" t="str">
        <f t="shared" si="37"/>
        <v/>
      </c>
      <c r="X105" s="170" t="str">
        <f t="shared" si="26"/>
        <v/>
      </c>
      <c r="Y105" s="170" t="str">
        <f t="shared" si="27"/>
        <v/>
      </c>
      <c r="Z105" s="170" t="str">
        <f t="shared" si="28"/>
        <v/>
      </c>
      <c r="AA105" s="170" t="str">
        <f t="shared" si="38"/>
        <v/>
      </c>
      <c r="AB105" s="170" t="str">
        <f t="shared" si="39"/>
        <v/>
      </c>
      <c r="AC105" s="172" t="str">
        <f t="shared" si="40"/>
        <v/>
      </c>
      <c r="AE105" s="182"/>
      <c r="AF105" s="182"/>
      <c r="AG105" s="182"/>
      <c r="AH105" s="182"/>
      <c r="AI105" s="182"/>
      <c r="AJ105" s="182"/>
      <c r="AK105" s="182"/>
      <c r="AL105" s="182"/>
      <c r="AM105" s="182"/>
      <c r="AN105" s="182"/>
      <c r="AO105" s="182"/>
      <c r="AP105" s="182"/>
      <c r="AQ105" s="182"/>
      <c r="AR105" s="182"/>
      <c r="AS105" s="182"/>
    </row>
    <row r="106" spans="1:45" ht="15">
      <c r="A106" s="263"/>
      <c r="B106" s="260"/>
      <c r="C106" s="244"/>
      <c r="D106" s="177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70" t="str">
        <f t="shared" si="34"/>
        <v/>
      </c>
      <c r="U106" s="170" t="str">
        <f t="shared" si="35"/>
        <v/>
      </c>
      <c r="V106" s="170" t="str">
        <f t="shared" si="36"/>
        <v/>
      </c>
      <c r="W106" s="170" t="str">
        <f t="shared" si="37"/>
        <v/>
      </c>
      <c r="X106" s="170" t="str">
        <f t="shared" si="26"/>
        <v/>
      </c>
      <c r="Y106" s="170" t="str">
        <f t="shared" si="27"/>
        <v/>
      </c>
      <c r="Z106" s="170" t="str">
        <f t="shared" si="28"/>
        <v/>
      </c>
      <c r="AA106" s="170" t="str">
        <f t="shared" si="38"/>
        <v/>
      </c>
      <c r="AB106" s="170" t="str">
        <f t="shared" si="39"/>
        <v/>
      </c>
      <c r="AC106" s="172" t="str">
        <f t="shared" si="40"/>
        <v/>
      </c>
      <c r="AE106" s="182"/>
      <c r="AF106" s="182"/>
      <c r="AG106" s="182"/>
      <c r="AH106" s="182"/>
      <c r="AI106" s="182"/>
      <c r="AJ106" s="182"/>
      <c r="AK106" s="182"/>
      <c r="AL106" s="182"/>
      <c r="AM106" s="182"/>
      <c r="AN106" s="182"/>
      <c r="AO106" s="182"/>
      <c r="AP106" s="182"/>
      <c r="AQ106" s="182"/>
      <c r="AR106" s="182"/>
      <c r="AS106" s="182"/>
    </row>
    <row r="107" spans="1:45" ht="15">
      <c r="A107" s="263"/>
      <c r="B107" s="260"/>
      <c r="C107" s="244"/>
      <c r="D107" s="177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70" t="str">
        <f t="shared" si="34"/>
        <v/>
      </c>
      <c r="U107" s="170" t="str">
        <f t="shared" si="35"/>
        <v/>
      </c>
      <c r="V107" s="170" t="str">
        <f t="shared" si="36"/>
        <v/>
      </c>
      <c r="W107" s="170" t="str">
        <f t="shared" si="37"/>
        <v/>
      </c>
      <c r="X107" s="170" t="str">
        <f t="shared" si="26"/>
        <v/>
      </c>
      <c r="Y107" s="170" t="str">
        <f t="shared" si="27"/>
        <v/>
      </c>
      <c r="Z107" s="170" t="str">
        <f t="shared" si="28"/>
        <v/>
      </c>
      <c r="AA107" s="170" t="str">
        <f t="shared" si="38"/>
        <v/>
      </c>
      <c r="AB107" s="170" t="str">
        <f t="shared" si="39"/>
        <v/>
      </c>
      <c r="AC107" s="172" t="str">
        <f t="shared" si="40"/>
        <v/>
      </c>
      <c r="AE107" s="182"/>
      <c r="AF107" s="182"/>
      <c r="AG107" s="182"/>
      <c r="AH107" s="182"/>
      <c r="AI107" s="182"/>
      <c r="AJ107" s="182"/>
      <c r="AK107" s="182"/>
      <c r="AL107" s="182"/>
      <c r="AM107" s="182"/>
      <c r="AN107" s="182"/>
      <c r="AO107" s="182"/>
      <c r="AP107" s="182"/>
      <c r="AQ107" s="182"/>
      <c r="AR107" s="182"/>
      <c r="AS107" s="182"/>
    </row>
    <row r="108" spans="1:45" ht="15">
      <c r="A108" s="263"/>
      <c r="B108" s="260"/>
      <c r="C108" s="244"/>
      <c r="D108" s="177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70" t="str">
        <f t="shared" si="34"/>
        <v/>
      </c>
      <c r="U108" s="170" t="str">
        <f t="shared" si="35"/>
        <v/>
      </c>
      <c r="V108" s="170" t="str">
        <f t="shared" si="36"/>
        <v/>
      </c>
      <c r="W108" s="170" t="str">
        <f t="shared" si="37"/>
        <v/>
      </c>
      <c r="X108" s="170" t="str">
        <f t="shared" si="26"/>
        <v/>
      </c>
      <c r="Y108" s="170" t="str">
        <f t="shared" si="27"/>
        <v/>
      </c>
      <c r="Z108" s="170" t="str">
        <f t="shared" si="28"/>
        <v/>
      </c>
      <c r="AA108" s="170" t="str">
        <f t="shared" si="38"/>
        <v/>
      </c>
      <c r="AB108" s="170" t="str">
        <f t="shared" si="39"/>
        <v/>
      </c>
      <c r="AC108" s="172" t="str">
        <f t="shared" si="40"/>
        <v/>
      </c>
      <c r="AE108" s="182"/>
      <c r="AF108" s="182"/>
      <c r="AG108" s="182"/>
      <c r="AH108" s="182"/>
      <c r="AI108" s="182"/>
      <c r="AJ108" s="182"/>
      <c r="AK108" s="182"/>
      <c r="AL108" s="182"/>
      <c r="AM108" s="182"/>
      <c r="AN108" s="182"/>
      <c r="AO108" s="182"/>
      <c r="AP108" s="182"/>
      <c r="AQ108" s="182"/>
      <c r="AR108" s="182"/>
      <c r="AS108" s="182"/>
    </row>
    <row r="109" spans="1:45" ht="15">
      <c r="A109" s="263"/>
      <c r="B109" s="261"/>
      <c r="C109" s="245"/>
      <c r="D109" s="177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70" t="str">
        <f t="shared" si="34"/>
        <v/>
      </c>
      <c r="U109" s="170" t="str">
        <f t="shared" si="35"/>
        <v/>
      </c>
      <c r="V109" s="170" t="str">
        <f t="shared" si="36"/>
        <v/>
      </c>
      <c r="W109" s="170" t="str">
        <f t="shared" si="37"/>
        <v/>
      </c>
      <c r="X109" s="170" t="str">
        <f t="shared" si="26"/>
        <v/>
      </c>
      <c r="Y109" s="170" t="str">
        <f t="shared" si="27"/>
        <v/>
      </c>
      <c r="Z109" s="170"/>
      <c r="AA109" s="170" t="str">
        <f t="shared" si="38"/>
        <v/>
      </c>
      <c r="AB109" s="170" t="str">
        <f t="shared" si="39"/>
        <v/>
      </c>
      <c r="AC109" s="172" t="str">
        <f t="shared" si="40"/>
        <v/>
      </c>
      <c r="AE109" s="182"/>
      <c r="AF109" s="182"/>
      <c r="AG109" s="182"/>
      <c r="AH109" s="182"/>
      <c r="AI109" s="182"/>
      <c r="AJ109" s="182"/>
      <c r="AK109" s="182"/>
      <c r="AL109" s="182"/>
      <c r="AM109" s="182"/>
      <c r="AN109" s="182"/>
      <c r="AO109" s="182"/>
      <c r="AP109" s="182"/>
      <c r="AQ109" s="182"/>
      <c r="AR109" s="182"/>
      <c r="AS109" s="182"/>
    </row>
    <row r="110" spans="1:45" ht="15.75" customHeight="1">
      <c r="A110" s="263">
        <v>14</v>
      </c>
      <c r="B110" s="252"/>
      <c r="C110" s="243"/>
      <c r="D110" s="168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70" t="str">
        <f t="shared" si="34"/>
        <v/>
      </c>
      <c r="U110" s="170" t="str">
        <f t="shared" si="35"/>
        <v/>
      </c>
      <c r="V110" s="170" t="str">
        <f t="shared" si="36"/>
        <v/>
      </c>
      <c r="W110" s="170" t="str">
        <f t="shared" si="37"/>
        <v/>
      </c>
      <c r="X110" s="170" t="str">
        <f t="shared" si="26"/>
        <v/>
      </c>
      <c r="Y110" s="170" t="str">
        <f t="shared" si="27"/>
        <v/>
      </c>
      <c r="Z110" s="170" t="str">
        <f t="shared" si="28"/>
        <v/>
      </c>
      <c r="AA110" s="170" t="str">
        <f t="shared" si="38"/>
        <v/>
      </c>
      <c r="AB110" s="170" t="str">
        <f t="shared" si="39"/>
        <v/>
      </c>
      <c r="AC110" s="172" t="str">
        <f t="shared" si="40"/>
        <v/>
      </c>
      <c r="AE110" s="182"/>
      <c r="AF110" s="182"/>
      <c r="AG110" s="182"/>
      <c r="AH110" s="182"/>
      <c r="AI110" s="182"/>
      <c r="AJ110" s="182"/>
      <c r="AK110" s="182"/>
      <c r="AL110" s="182"/>
      <c r="AM110" s="182"/>
      <c r="AN110" s="182"/>
      <c r="AO110" s="182"/>
      <c r="AP110" s="182"/>
      <c r="AQ110" s="182"/>
      <c r="AR110" s="182"/>
      <c r="AS110" s="182"/>
    </row>
    <row r="111" spans="1:45" ht="15">
      <c r="A111" s="263"/>
      <c r="B111" s="260"/>
      <c r="C111" s="244"/>
      <c r="D111" s="168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70" t="str">
        <f t="shared" si="34"/>
        <v/>
      </c>
      <c r="U111" s="170" t="str">
        <f t="shared" si="35"/>
        <v/>
      </c>
      <c r="V111" s="170" t="str">
        <f t="shared" si="36"/>
        <v/>
      </c>
      <c r="W111" s="170" t="str">
        <f t="shared" si="37"/>
        <v/>
      </c>
      <c r="X111" s="170" t="str">
        <f t="shared" si="26"/>
        <v/>
      </c>
      <c r="Y111" s="170" t="str">
        <f t="shared" si="27"/>
        <v/>
      </c>
      <c r="Z111" s="170" t="str">
        <f t="shared" si="28"/>
        <v/>
      </c>
      <c r="AA111" s="170" t="str">
        <f t="shared" si="38"/>
        <v/>
      </c>
      <c r="AB111" s="170" t="str">
        <f t="shared" si="39"/>
        <v/>
      </c>
      <c r="AC111" s="172" t="str">
        <f t="shared" si="40"/>
        <v/>
      </c>
      <c r="AE111" s="182"/>
      <c r="AF111" s="182"/>
      <c r="AG111" s="182"/>
      <c r="AH111" s="182"/>
      <c r="AI111" s="182"/>
      <c r="AJ111" s="182"/>
      <c r="AK111" s="182"/>
      <c r="AL111" s="182"/>
      <c r="AM111" s="182"/>
      <c r="AN111" s="182"/>
      <c r="AO111" s="182"/>
      <c r="AP111" s="182"/>
      <c r="AQ111" s="182"/>
      <c r="AR111" s="182"/>
      <c r="AS111" s="182"/>
    </row>
    <row r="112" spans="1:45" ht="15">
      <c r="A112" s="263"/>
      <c r="B112" s="260"/>
      <c r="C112" s="244"/>
      <c r="D112" s="168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70" t="str">
        <f t="shared" si="34"/>
        <v/>
      </c>
      <c r="U112" s="170" t="str">
        <f t="shared" si="35"/>
        <v/>
      </c>
      <c r="V112" s="170" t="str">
        <f t="shared" si="36"/>
        <v/>
      </c>
      <c r="W112" s="170" t="str">
        <f t="shared" si="37"/>
        <v/>
      </c>
      <c r="X112" s="170" t="str">
        <f t="shared" si="26"/>
        <v/>
      </c>
      <c r="Y112" s="170" t="str">
        <f t="shared" si="27"/>
        <v/>
      </c>
      <c r="Z112" s="170" t="str">
        <f t="shared" si="28"/>
        <v/>
      </c>
      <c r="AA112" s="170" t="str">
        <f t="shared" si="38"/>
        <v/>
      </c>
      <c r="AB112" s="170" t="str">
        <f t="shared" si="39"/>
        <v/>
      </c>
      <c r="AC112" s="172" t="str">
        <f t="shared" si="40"/>
        <v/>
      </c>
      <c r="AE112" s="182"/>
      <c r="AF112" s="182"/>
      <c r="AG112" s="182"/>
      <c r="AH112" s="182"/>
      <c r="AI112" s="182"/>
      <c r="AJ112" s="182"/>
      <c r="AK112" s="182"/>
      <c r="AL112" s="182"/>
      <c r="AM112" s="182"/>
      <c r="AN112" s="182"/>
      <c r="AO112" s="182"/>
      <c r="AP112" s="182"/>
      <c r="AQ112" s="182"/>
      <c r="AR112" s="182"/>
      <c r="AS112" s="182"/>
    </row>
    <row r="113" spans="1:45" ht="15">
      <c r="A113" s="263"/>
      <c r="B113" s="260"/>
      <c r="C113" s="244"/>
      <c r="D113" s="177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70" t="str">
        <f t="shared" si="34"/>
        <v/>
      </c>
      <c r="U113" s="170" t="str">
        <f t="shared" si="35"/>
        <v/>
      </c>
      <c r="V113" s="170" t="str">
        <f t="shared" si="36"/>
        <v/>
      </c>
      <c r="W113" s="170" t="str">
        <f t="shared" si="37"/>
        <v/>
      </c>
      <c r="X113" s="170" t="str">
        <f t="shared" si="26"/>
        <v/>
      </c>
      <c r="Y113" s="170" t="str">
        <f t="shared" si="27"/>
        <v/>
      </c>
      <c r="Z113" s="170" t="str">
        <f t="shared" si="28"/>
        <v/>
      </c>
      <c r="AA113" s="170" t="str">
        <f t="shared" si="38"/>
        <v/>
      </c>
      <c r="AB113" s="170" t="str">
        <f t="shared" si="39"/>
        <v/>
      </c>
      <c r="AC113" s="172" t="str">
        <f t="shared" si="40"/>
        <v/>
      </c>
      <c r="AE113" s="182"/>
      <c r="AF113" s="182"/>
      <c r="AG113" s="182"/>
      <c r="AH113" s="182"/>
      <c r="AI113" s="182"/>
      <c r="AJ113" s="182"/>
      <c r="AK113" s="182"/>
      <c r="AL113" s="182"/>
      <c r="AM113" s="182"/>
      <c r="AN113" s="182"/>
      <c r="AO113" s="182"/>
      <c r="AP113" s="182"/>
      <c r="AQ113" s="182"/>
      <c r="AR113" s="182"/>
      <c r="AS113" s="182"/>
    </row>
    <row r="114" spans="1:45" ht="15">
      <c r="A114" s="263"/>
      <c r="B114" s="260"/>
      <c r="C114" s="244"/>
      <c r="D114" s="177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70" t="str">
        <f t="shared" si="34"/>
        <v/>
      </c>
      <c r="U114" s="170" t="str">
        <f t="shared" si="35"/>
        <v/>
      </c>
      <c r="V114" s="170" t="str">
        <f t="shared" si="36"/>
        <v/>
      </c>
      <c r="W114" s="170" t="str">
        <f t="shared" si="37"/>
        <v/>
      </c>
      <c r="X114" s="170" t="str">
        <f t="shared" si="26"/>
        <v/>
      </c>
      <c r="Y114" s="170" t="str">
        <f t="shared" si="27"/>
        <v/>
      </c>
      <c r="Z114" s="170" t="str">
        <f t="shared" si="28"/>
        <v/>
      </c>
      <c r="AA114" s="170" t="str">
        <f t="shared" si="38"/>
        <v/>
      </c>
      <c r="AB114" s="170" t="str">
        <f t="shared" si="39"/>
        <v/>
      </c>
      <c r="AC114" s="172" t="str">
        <f t="shared" si="40"/>
        <v/>
      </c>
      <c r="AE114" s="182"/>
      <c r="AF114" s="182"/>
      <c r="AG114" s="182"/>
      <c r="AH114" s="182"/>
      <c r="AI114" s="182"/>
      <c r="AJ114" s="182"/>
      <c r="AK114" s="182"/>
      <c r="AL114" s="182"/>
      <c r="AM114" s="182"/>
      <c r="AN114" s="182"/>
      <c r="AO114" s="182"/>
      <c r="AP114" s="182"/>
      <c r="AQ114" s="182"/>
      <c r="AR114" s="182"/>
      <c r="AS114" s="182"/>
    </row>
    <row r="115" spans="1:45" ht="15">
      <c r="A115" s="263"/>
      <c r="B115" s="260"/>
      <c r="C115" s="244"/>
      <c r="D115" s="177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70" t="str">
        <f t="shared" si="34"/>
        <v/>
      </c>
      <c r="U115" s="170" t="str">
        <f t="shared" si="35"/>
        <v/>
      </c>
      <c r="V115" s="170" t="str">
        <f t="shared" si="36"/>
        <v/>
      </c>
      <c r="W115" s="170" t="str">
        <f t="shared" si="37"/>
        <v/>
      </c>
      <c r="X115" s="170" t="str">
        <f t="shared" si="26"/>
        <v/>
      </c>
      <c r="Y115" s="170" t="str">
        <f t="shared" si="27"/>
        <v/>
      </c>
      <c r="Z115" s="170" t="str">
        <f t="shared" si="28"/>
        <v/>
      </c>
      <c r="AA115" s="170" t="str">
        <f t="shared" si="38"/>
        <v/>
      </c>
      <c r="AB115" s="170" t="str">
        <f t="shared" si="39"/>
        <v/>
      </c>
      <c r="AC115" s="172" t="str">
        <f t="shared" si="40"/>
        <v/>
      </c>
      <c r="AE115" s="182"/>
      <c r="AF115" s="182"/>
      <c r="AG115" s="182"/>
      <c r="AH115" s="182"/>
      <c r="AI115" s="182"/>
      <c r="AJ115" s="182"/>
      <c r="AK115" s="182"/>
      <c r="AL115" s="182"/>
      <c r="AM115" s="182"/>
      <c r="AN115" s="182"/>
      <c r="AO115" s="182"/>
      <c r="AP115" s="182"/>
      <c r="AQ115" s="182"/>
      <c r="AR115" s="182"/>
      <c r="AS115" s="182"/>
    </row>
    <row r="116" spans="1:45" ht="15">
      <c r="A116" s="263"/>
      <c r="B116" s="260"/>
      <c r="C116" s="244"/>
      <c r="D116" s="177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70" t="str">
        <f t="shared" si="34"/>
        <v/>
      </c>
      <c r="U116" s="170" t="str">
        <f t="shared" si="35"/>
        <v/>
      </c>
      <c r="V116" s="170" t="str">
        <f t="shared" si="36"/>
        <v/>
      </c>
      <c r="W116" s="170" t="str">
        <f t="shared" si="37"/>
        <v/>
      </c>
      <c r="X116" s="170" t="str">
        <f t="shared" si="26"/>
        <v/>
      </c>
      <c r="Y116" s="170" t="str">
        <f t="shared" si="27"/>
        <v/>
      </c>
      <c r="Z116" s="170" t="str">
        <f t="shared" si="28"/>
        <v/>
      </c>
      <c r="AA116" s="170" t="str">
        <f t="shared" si="38"/>
        <v/>
      </c>
      <c r="AB116" s="170" t="str">
        <f t="shared" si="39"/>
        <v/>
      </c>
      <c r="AC116" s="172" t="str">
        <f t="shared" si="40"/>
        <v/>
      </c>
      <c r="AE116" s="182"/>
      <c r="AF116" s="182"/>
      <c r="AG116" s="182"/>
      <c r="AH116" s="182"/>
      <c r="AI116" s="182"/>
      <c r="AJ116" s="182"/>
      <c r="AK116" s="182"/>
      <c r="AL116" s="182"/>
      <c r="AM116" s="182"/>
      <c r="AN116" s="182"/>
      <c r="AO116" s="182"/>
      <c r="AP116" s="182"/>
      <c r="AQ116" s="182"/>
      <c r="AR116" s="182"/>
      <c r="AS116" s="182"/>
    </row>
    <row r="117" spans="1:45" ht="15">
      <c r="A117" s="263"/>
      <c r="B117" s="261"/>
      <c r="C117" s="245"/>
      <c r="D117" s="177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70" t="str">
        <f t="shared" si="34"/>
        <v/>
      </c>
      <c r="U117" s="170" t="str">
        <f t="shared" si="35"/>
        <v/>
      </c>
      <c r="V117" s="170" t="str">
        <f t="shared" si="36"/>
        <v/>
      </c>
      <c r="W117" s="170" t="str">
        <f t="shared" si="37"/>
        <v/>
      </c>
      <c r="X117" s="170" t="str">
        <f t="shared" si="26"/>
        <v/>
      </c>
      <c r="Y117" s="170" t="str">
        <f t="shared" si="27"/>
        <v/>
      </c>
      <c r="Z117" s="170"/>
      <c r="AA117" s="170" t="str">
        <f t="shared" si="38"/>
        <v/>
      </c>
      <c r="AB117" s="170" t="str">
        <f t="shared" si="39"/>
        <v/>
      </c>
      <c r="AC117" s="172" t="str">
        <f t="shared" si="40"/>
        <v/>
      </c>
      <c r="AE117" s="182"/>
      <c r="AF117" s="182"/>
      <c r="AG117" s="182"/>
      <c r="AH117" s="182"/>
      <c r="AI117" s="182"/>
      <c r="AJ117" s="182"/>
      <c r="AK117" s="182"/>
      <c r="AL117" s="182"/>
      <c r="AM117" s="182"/>
      <c r="AN117" s="182"/>
      <c r="AO117" s="182"/>
      <c r="AP117" s="182"/>
      <c r="AQ117" s="182"/>
      <c r="AR117" s="182"/>
      <c r="AS117" s="182"/>
    </row>
    <row r="118" spans="1:45" ht="15" customHeight="1">
      <c r="A118" s="263">
        <v>15</v>
      </c>
      <c r="B118" s="252"/>
      <c r="C118" s="243"/>
      <c r="D118" s="184"/>
      <c r="E118" s="185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70" t="str">
        <f t="shared" si="34"/>
        <v/>
      </c>
      <c r="U118" s="170" t="str">
        <f t="shared" si="35"/>
        <v/>
      </c>
      <c r="V118" s="170" t="str">
        <f t="shared" si="36"/>
        <v/>
      </c>
      <c r="W118" s="170" t="str">
        <f t="shared" si="37"/>
        <v/>
      </c>
      <c r="X118" s="170" t="str">
        <f t="shared" si="26"/>
        <v/>
      </c>
      <c r="Y118" s="170" t="str">
        <f t="shared" si="27"/>
        <v/>
      </c>
      <c r="Z118" s="170" t="str">
        <f t="shared" si="28"/>
        <v/>
      </c>
      <c r="AA118" s="170" t="str">
        <f t="shared" si="38"/>
        <v/>
      </c>
      <c r="AB118" s="170" t="str">
        <f t="shared" si="39"/>
        <v/>
      </c>
      <c r="AC118" s="172" t="str">
        <f t="shared" si="40"/>
        <v/>
      </c>
      <c r="AE118" s="182"/>
      <c r="AF118" s="182"/>
      <c r="AG118" s="182"/>
      <c r="AH118" s="182"/>
      <c r="AI118" s="182"/>
      <c r="AJ118" s="182"/>
      <c r="AK118" s="182"/>
      <c r="AL118" s="182"/>
      <c r="AM118" s="182"/>
      <c r="AN118" s="182"/>
      <c r="AO118" s="182"/>
      <c r="AP118" s="182"/>
      <c r="AQ118" s="182"/>
      <c r="AR118" s="182"/>
      <c r="AS118" s="182"/>
    </row>
    <row r="119" spans="1:45">
      <c r="A119" s="263"/>
      <c r="B119" s="260"/>
      <c r="C119" s="244"/>
      <c r="D119" s="184"/>
      <c r="E119" s="185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70" t="str">
        <f t="shared" si="34"/>
        <v/>
      </c>
      <c r="U119" s="170" t="str">
        <f t="shared" si="35"/>
        <v/>
      </c>
      <c r="V119" s="170" t="str">
        <f t="shared" si="36"/>
        <v/>
      </c>
      <c r="W119" s="170" t="str">
        <f t="shared" si="37"/>
        <v/>
      </c>
      <c r="X119" s="170" t="str">
        <f t="shared" si="26"/>
        <v/>
      </c>
      <c r="Y119" s="170" t="str">
        <f t="shared" si="27"/>
        <v/>
      </c>
      <c r="Z119" s="170" t="str">
        <f t="shared" si="28"/>
        <v/>
      </c>
      <c r="AA119" s="170" t="str">
        <f t="shared" si="38"/>
        <v/>
      </c>
      <c r="AB119" s="170" t="str">
        <f t="shared" si="39"/>
        <v/>
      </c>
      <c r="AC119" s="172" t="str">
        <f t="shared" si="40"/>
        <v/>
      </c>
      <c r="AE119" s="182"/>
      <c r="AF119" s="182"/>
      <c r="AG119" s="182"/>
      <c r="AH119" s="182"/>
      <c r="AI119" s="182"/>
      <c r="AJ119" s="182"/>
      <c r="AK119" s="182"/>
      <c r="AL119" s="182"/>
      <c r="AM119" s="182"/>
      <c r="AN119" s="182"/>
      <c r="AO119" s="182"/>
      <c r="AP119" s="182"/>
      <c r="AQ119" s="182"/>
      <c r="AR119" s="182"/>
      <c r="AS119" s="182"/>
    </row>
    <row r="120" spans="1:45">
      <c r="A120" s="263"/>
      <c r="B120" s="260"/>
      <c r="C120" s="244"/>
      <c r="D120" s="184"/>
      <c r="E120" s="185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70" t="str">
        <f t="shared" si="34"/>
        <v/>
      </c>
      <c r="U120" s="170" t="str">
        <f t="shared" si="35"/>
        <v/>
      </c>
      <c r="V120" s="170" t="str">
        <f t="shared" si="36"/>
        <v/>
      </c>
      <c r="W120" s="170" t="str">
        <f t="shared" si="37"/>
        <v/>
      </c>
      <c r="X120" s="170" t="str">
        <f t="shared" si="26"/>
        <v/>
      </c>
      <c r="Y120" s="170" t="str">
        <f t="shared" si="27"/>
        <v/>
      </c>
      <c r="Z120" s="170" t="str">
        <f t="shared" si="28"/>
        <v/>
      </c>
      <c r="AA120" s="170" t="str">
        <f t="shared" si="38"/>
        <v/>
      </c>
      <c r="AB120" s="170" t="str">
        <f t="shared" si="39"/>
        <v/>
      </c>
      <c r="AC120" s="172" t="str">
        <f t="shared" si="40"/>
        <v/>
      </c>
      <c r="AE120" s="182"/>
      <c r="AF120" s="182"/>
      <c r="AG120" s="182"/>
      <c r="AH120" s="182"/>
      <c r="AI120" s="182"/>
      <c r="AJ120" s="182"/>
      <c r="AK120" s="182"/>
      <c r="AL120" s="182"/>
      <c r="AM120" s="182"/>
      <c r="AN120" s="182"/>
      <c r="AO120" s="182"/>
      <c r="AP120" s="182"/>
      <c r="AQ120" s="182"/>
      <c r="AR120" s="182"/>
      <c r="AS120" s="182"/>
    </row>
    <row r="121" spans="1:45">
      <c r="A121" s="263"/>
      <c r="B121" s="260"/>
      <c r="C121" s="244"/>
      <c r="D121" s="184"/>
      <c r="E121" s="185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70" t="str">
        <f t="shared" si="34"/>
        <v/>
      </c>
      <c r="U121" s="170" t="str">
        <f t="shared" si="35"/>
        <v/>
      </c>
      <c r="V121" s="170" t="str">
        <f t="shared" si="36"/>
        <v/>
      </c>
      <c r="W121" s="170" t="str">
        <f t="shared" si="37"/>
        <v/>
      </c>
      <c r="X121" s="170" t="str">
        <f t="shared" si="26"/>
        <v/>
      </c>
      <c r="Y121" s="170" t="str">
        <f t="shared" si="27"/>
        <v/>
      </c>
      <c r="Z121" s="170" t="str">
        <f t="shared" si="28"/>
        <v/>
      </c>
      <c r="AA121" s="170" t="str">
        <f t="shared" si="38"/>
        <v/>
      </c>
      <c r="AB121" s="170" t="str">
        <f t="shared" si="39"/>
        <v/>
      </c>
      <c r="AC121" s="172" t="str">
        <f t="shared" si="40"/>
        <v/>
      </c>
      <c r="AE121" s="182"/>
      <c r="AF121" s="182"/>
      <c r="AG121" s="182"/>
      <c r="AH121" s="182"/>
      <c r="AI121" s="182"/>
      <c r="AJ121" s="182"/>
      <c r="AK121" s="182"/>
      <c r="AL121" s="182"/>
      <c r="AM121" s="182"/>
      <c r="AN121" s="182"/>
      <c r="AO121" s="182"/>
      <c r="AP121" s="182"/>
      <c r="AQ121" s="182"/>
      <c r="AR121" s="182"/>
      <c r="AS121" s="182"/>
    </row>
    <row r="122" spans="1:45">
      <c r="A122" s="263"/>
      <c r="B122" s="260"/>
      <c r="C122" s="244"/>
      <c r="D122" s="184"/>
      <c r="E122" s="185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70" t="str">
        <f t="shared" si="34"/>
        <v/>
      </c>
      <c r="U122" s="170" t="str">
        <f t="shared" si="35"/>
        <v/>
      </c>
      <c r="V122" s="170" t="str">
        <f t="shared" si="36"/>
        <v/>
      </c>
      <c r="W122" s="170" t="str">
        <f t="shared" si="37"/>
        <v/>
      </c>
      <c r="X122" s="170" t="str">
        <f t="shared" si="26"/>
        <v/>
      </c>
      <c r="Y122" s="170" t="str">
        <f t="shared" si="27"/>
        <v/>
      </c>
      <c r="Z122" s="170" t="str">
        <f t="shared" si="28"/>
        <v/>
      </c>
      <c r="AA122" s="170" t="str">
        <f t="shared" si="38"/>
        <v/>
      </c>
      <c r="AB122" s="170" t="str">
        <f t="shared" si="39"/>
        <v/>
      </c>
      <c r="AC122" s="172" t="str">
        <f t="shared" si="40"/>
        <v/>
      </c>
      <c r="AE122" s="182"/>
      <c r="AF122" s="182"/>
      <c r="AG122" s="182"/>
      <c r="AH122" s="182"/>
      <c r="AI122" s="182"/>
      <c r="AJ122" s="182"/>
      <c r="AK122" s="182"/>
      <c r="AL122" s="182"/>
      <c r="AM122" s="182"/>
      <c r="AN122" s="182"/>
      <c r="AO122" s="182"/>
      <c r="AP122" s="182"/>
      <c r="AQ122" s="182"/>
      <c r="AR122" s="182"/>
      <c r="AS122" s="182"/>
    </row>
    <row r="123" spans="1:45">
      <c r="A123" s="263"/>
      <c r="B123" s="260"/>
      <c r="C123" s="244"/>
      <c r="D123" s="184"/>
      <c r="E123" s="185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70" t="str">
        <f t="shared" si="34"/>
        <v/>
      </c>
      <c r="U123" s="170" t="str">
        <f t="shared" si="35"/>
        <v/>
      </c>
      <c r="V123" s="170" t="str">
        <f t="shared" si="36"/>
        <v/>
      </c>
      <c r="W123" s="170" t="str">
        <f t="shared" si="37"/>
        <v/>
      </c>
      <c r="X123" s="170" t="str">
        <f t="shared" si="26"/>
        <v/>
      </c>
      <c r="Y123" s="170" t="str">
        <f t="shared" si="27"/>
        <v/>
      </c>
      <c r="Z123" s="170" t="str">
        <f t="shared" si="28"/>
        <v/>
      </c>
      <c r="AA123" s="170" t="str">
        <f t="shared" si="38"/>
        <v/>
      </c>
      <c r="AB123" s="170" t="str">
        <f t="shared" si="39"/>
        <v/>
      </c>
      <c r="AC123" s="172" t="str">
        <f t="shared" si="40"/>
        <v/>
      </c>
      <c r="AE123" s="182"/>
      <c r="AF123" s="182"/>
      <c r="AG123" s="182"/>
      <c r="AH123" s="182"/>
      <c r="AI123" s="182"/>
      <c r="AJ123" s="182"/>
      <c r="AK123" s="182"/>
      <c r="AL123" s="182"/>
      <c r="AM123" s="182"/>
      <c r="AN123" s="182"/>
      <c r="AO123" s="182"/>
      <c r="AP123" s="182"/>
      <c r="AQ123" s="182"/>
      <c r="AR123" s="182"/>
      <c r="AS123" s="182"/>
    </row>
    <row r="124" spans="1:45">
      <c r="A124" s="263"/>
      <c r="B124" s="260"/>
      <c r="C124" s="244"/>
      <c r="D124" s="184"/>
      <c r="E124" s="185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70" t="str">
        <f t="shared" si="34"/>
        <v/>
      </c>
      <c r="U124" s="170" t="str">
        <f t="shared" si="35"/>
        <v/>
      </c>
      <c r="V124" s="170" t="str">
        <f t="shared" si="36"/>
        <v/>
      </c>
      <c r="W124" s="170" t="str">
        <f t="shared" si="37"/>
        <v/>
      </c>
      <c r="X124" s="170" t="str">
        <f t="shared" si="26"/>
        <v/>
      </c>
      <c r="Y124" s="170" t="str">
        <f t="shared" si="27"/>
        <v/>
      </c>
      <c r="Z124" s="170" t="str">
        <f t="shared" si="28"/>
        <v/>
      </c>
      <c r="AA124" s="170" t="str">
        <f t="shared" si="38"/>
        <v/>
      </c>
      <c r="AB124" s="170" t="str">
        <f t="shared" si="39"/>
        <v/>
      </c>
      <c r="AC124" s="172" t="str">
        <f t="shared" si="40"/>
        <v/>
      </c>
      <c r="AE124" s="182"/>
      <c r="AF124" s="182"/>
      <c r="AG124" s="182"/>
      <c r="AH124" s="182"/>
      <c r="AI124" s="182"/>
      <c r="AJ124" s="182"/>
      <c r="AK124" s="182"/>
      <c r="AL124" s="182"/>
      <c r="AM124" s="182"/>
      <c r="AN124" s="182"/>
      <c r="AO124" s="182"/>
      <c r="AP124" s="182"/>
      <c r="AQ124" s="182"/>
      <c r="AR124" s="182"/>
      <c r="AS124" s="182"/>
    </row>
    <row r="125" spans="1:45">
      <c r="A125" s="263"/>
      <c r="B125" s="261"/>
      <c r="C125" s="245"/>
      <c r="D125" s="184"/>
      <c r="E125" s="185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70" t="str">
        <f t="shared" si="34"/>
        <v/>
      </c>
      <c r="U125" s="170" t="str">
        <f t="shared" si="35"/>
        <v/>
      </c>
      <c r="V125" s="170" t="str">
        <f t="shared" si="36"/>
        <v/>
      </c>
      <c r="W125" s="170" t="str">
        <f t="shared" si="37"/>
        <v/>
      </c>
      <c r="X125" s="170" t="str">
        <f t="shared" si="26"/>
        <v/>
      </c>
      <c r="Y125" s="170" t="str">
        <f t="shared" si="27"/>
        <v/>
      </c>
      <c r="Z125" s="170"/>
      <c r="AA125" s="170" t="str">
        <f t="shared" si="38"/>
        <v/>
      </c>
      <c r="AB125" s="170" t="str">
        <f t="shared" si="39"/>
        <v/>
      </c>
      <c r="AC125" s="172" t="str">
        <f t="shared" si="40"/>
        <v/>
      </c>
      <c r="AE125" s="182"/>
      <c r="AF125" s="182"/>
      <c r="AG125" s="182"/>
      <c r="AH125" s="182"/>
      <c r="AI125" s="182"/>
      <c r="AJ125" s="182"/>
      <c r="AK125" s="182"/>
      <c r="AL125" s="182"/>
      <c r="AM125" s="182"/>
      <c r="AN125" s="182"/>
      <c r="AO125" s="182"/>
      <c r="AP125" s="182"/>
      <c r="AQ125" s="182"/>
      <c r="AR125" s="182"/>
      <c r="AS125" s="182"/>
    </row>
    <row r="126" spans="1:45" ht="15" customHeight="1">
      <c r="A126" s="263">
        <v>16</v>
      </c>
      <c r="B126" s="252"/>
      <c r="C126" s="243"/>
      <c r="D126" s="184"/>
      <c r="E126" s="185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70" t="str">
        <f t="shared" si="34"/>
        <v/>
      </c>
      <c r="U126" s="170" t="str">
        <f t="shared" si="35"/>
        <v/>
      </c>
      <c r="V126" s="170" t="str">
        <f t="shared" si="36"/>
        <v/>
      </c>
      <c r="W126" s="170" t="str">
        <f t="shared" si="37"/>
        <v/>
      </c>
      <c r="X126" s="170" t="str">
        <f t="shared" si="26"/>
        <v/>
      </c>
      <c r="Y126" s="170" t="str">
        <f t="shared" si="27"/>
        <v/>
      </c>
      <c r="Z126" s="170" t="str">
        <f t="shared" si="28"/>
        <v/>
      </c>
      <c r="AA126" s="170" t="str">
        <f t="shared" si="38"/>
        <v/>
      </c>
      <c r="AB126" s="170" t="str">
        <f t="shared" si="39"/>
        <v/>
      </c>
      <c r="AC126" s="172" t="str">
        <f t="shared" si="40"/>
        <v/>
      </c>
      <c r="AE126" s="182"/>
      <c r="AF126" s="182"/>
      <c r="AG126" s="182"/>
      <c r="AH126" s="182"/>
      <c r="AI126" s="182"/>
      <c r="AJ126" s="182"/>
      <c r="AK126" s="182"/>
      <c r="AL126" s="182"/>
      <c r="AM126" s="182"/>
      <c r="AN126" s="182"/>
      <c r="AO126" s="182"/>
      <c r="AP126" s="182"/>
      <c r="AQ126" s="182"/>
      <c r="AR126" s="182"/>
      <c r="AS126" s="182"/>
    </row>
    <row r="127" spans="1:45">
      <c r="A127" s="263"/>
      <c r="B127" s="260"/>
      <c r="C127" s="244"/>
      <c r="D127" s="184"/>
      <c r="E127" s="185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70" t="str">
        <f t="shared" si="34"/>
        <v/>
      </c>
      <c r="U127" s="170" t="str">
        <f t="shared" si="35"/>
        <v/>
      </c>
      <c r="V127" s="170" t="str">
        <f t="shared" si="36"/>
        <v/>
      </c>
      <c r="W127" s="170" t="str">
        <f t="shared" si="37"/>
        <v/>
      </c>
      <c r="X127" s="170" t="str">
        <f t="shared" si="26"/>
        <v/>
      </c>
      <c r="Y127" s="170" t="str">
        <f t="shared" si="27"/>
        <v/>
      </c>
      <c r="Z127" s="170" t="str">
        <f t="shared" si="28"/>
        <v/>
      </c>
      <c r="AA127" s="170" t="str">
        <f t="shared" si="38"/>
        <v/>
      </c>
      <c r="AB127" s="170" t="str">
        <f t="shared" si="39"/>
        <v/>
      </c>
      <c r="AC127" s="172" t="str">
        <f t="shared" si="40"/>
        <v/>
      </c>
      <c r="AE127" s="182"/>
      <c r="AF127" s="182"/>
      <c r="AG127" s="182"/>
      <c r="AH127" s="182"/>
      <c r="AI127" s="182"/>
      <c r="AJ127" s="182"/>
      <c r="AK127" s="182"/>
      <c r="AL127" s="182"/>
      <c r="AM127" s="182"/>
      <c r="AN127" s="182"/>
      <c r="AO127" s="182"/>
      <c r="AP127" s="182"/>
      <c r="AQ127" s="182"/>
      <c r="AR127" s="182"/>
      <c r="AS127" s="182"/>
    </row>
    <row r="128" spans="1:45">
      <c r="A128" s="263"/>
      <c r="B128" s="260"/>
      <c r="C128" s="244"/>
      <c r="D128" s="184"/>
      <c r="E128" s="185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70" t="str">
        <f t="shared" si="34"/>
        <v/>
      </c>
      <c r="U128" s="170" t="str">
        <f t="shared" si="35"/>
        <v/>
      </c>
      <c r="V128" s="170" t="str">
        <f t="shared" si="36"/>
        <v/>
      </c>
      <c r="W128" s="170" t="str">
        <f t="shared" si="37"/>
        <v/>
      </c>
      <c r="X128" s="170" t="str">
        <f t="shared" si="26"/>
        <v/>
      </c>
      <c r="Y128" s="170" t="str">
        <f t="shared" si="27"/>
        <v/>
      </c>
      <c r="Z128" s="170" t="str">
        <f t="shared" si="28"/>
        <v/>
      </c>
      <c r="AA128" s="170" t="str">
        <f t="shared" si="38"/>
        <v/>
      </c>
      <c r="AB128" s="170" t="str">
        <f t="shared" si="39"/>
        <v/>
      </c>
      <c r="AC128" s="172" t="str">
        <f t="shared" si="40"/>
        <v/>
      </c>
      <c r="AE128" s="182"/>
      <c r="AF128" s="182"/>
      <c r="AG128" s="182"/>
      <c r="AH128" s="182"/>
      <c r="AI128" s="182"/>
      <c r="AJ128" s="182"/>
      <c r="AK128" s="182"/>
      <c r="AL128" s="182"/>
      <c r="AM128" s="182"/>
      <c r="AN128" s="182"/>
      <c r="AO128" s="182"/>
      <c r="AP128" s="182"/>
      <c r="AQ128" s="182"/>
      <c r="AR128" s="182"/>
      <c r="AS128" s="182"/>
    </row>
    <row r="129" spans="1:45">
      <c r="A129" s="263"/>
      <c r="B129" s="260"/>
      <c r="C129" s="244"/>
      <c r="D129" s="184"/>
      <c r="E129" s="185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70" t="str">
        <f t="shared" si="34"/>
        <v/>
      </c>
      <c r="U129" s="170" t="str">
        <f t="shared" si="35"/>
        <v/>
      </c>
      <c r="V129" s="170" t="str">
        <f t="shared" si="36"/>
        <v/>
      </c>
      <c r="W129" s="170" t="str">
        <f t="shared" si="37"/>
        <v/>
      </c>
      <c r="X129" s="170" t="str">
        <f t="shared" si="26"/>
        <v/>
      </c>
      <c r="Y129" s="170" t="str">
        <f t="shared" si="27"/>
        <v/>
      </c>
      <c r="Z129" s="170" t="str">
        <f t="shared" si="28"/>
        <v/>
      </c>
      <c r="AA129" s="170" t="str">
        <f t="shared" si="38"/>
        <v/>
      </c>
      <c r="AB129" s="170" t="str">
        <f t="shared" si="39"/>
        <v/>
      </c>
      <c r="AC129" s="172" t="str">
        <f t="shared" si="40"/>
        <v/>
      </c>
      <c r="AE129" s="182"/>
      <c r="AF129" s="182"/>
      <c r="AG129" s="182"/>
      <c r="AH129" s="182"/>
      <c r="AI129" s="182"/>
      <c r="AJ129" s="182"/>
      <c r="AK129" s="182"/>
      <c r="AL129" s="182"/>
      <c r="AM129" s="182"/>
      <c r="AN129" s="182"/>
      <c r="AO129" s="182"/>
      <c r="AP129" s="182"/>
      <c r="AQ129" s="182"/>
      <c r="AR129" s="182"/>
      <c r="AS129" s="182"/>
    </row>
    <row r="130" spans="1:45">
      <c r="A130" s="263"/>
      <c r="B130" s="260"/>
      <c r="C130" s="244"/>
      <c r="D130" s="184"/>
      <c r="E130" s="185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70" t="str">
        <f t="shared" si="34"/>
        <v/>
      </c>
      <c r="U130" s="170" t="str">
        <f t="shared" si="35"/>
        <v/>
      </c>
      <c r="V130" s="170" t="str">
        <f t="shared" si="36"/>
        <v/>
      </c>
      <c r="W130" s="170" t="str">
        <f t="shared" si="37"/>
        <v/>
      </c>
      <c r="X130" s="170" t="str">
        <f t="shared" si="26"/>
        <v/>
      </c>
      <c r="Y130" s="170" t="str">
        <f t="shared" si="27"/>
        <v/>
      </c>
      <c r="Z130" s="170" t="str">
        <f t="shared" si="28"/>
        <v/>
      </c>
      <c r="AA130" s="170" t="str">
        <f t="shared" si="38"/>
        <v/>
      </c>
      <c r="AB130" s="170" t="str">
        <f t="shared" si="39"/>
        <v/>
      </c>
      <c r="AC130" s="172" t="str">
        <f t="shared" si="40"/>
        <v/>
      </c>
      <c r="AE130" s="182"/>
      <c r="AF130" s="182"/>
      <c r="AG130" s="182"/>
      <c r="AH130" s="182"/>
      <c r="AI130" s="182"/>
      <c r="AJ130" s="182"/>
      <c r="AK130" s="182"/>
      <c r="AL130" s="182"/>
      <c r="AM130" s="182"/>
      <c r="AN130" s="182"/>
      <c r="AO130" s="182"/>
      <c r="AP130" s="182"/>
      <c r="AQ130" s="182"/>
      <c r="AR130" s="182"/>
      <c r="AS130" s="182"/>
    </row>
    <row r="131" spans="1:45">
      <c r="A131" s="263"/>
      <c r="B131" s="260"/>
      <c r="C131" s="244"/>
      <c r="D131" s="184"/>
      <c r="E131" s="185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70" t="str">
        <f t="shared" si="34"/>
        <v/>
      </c>
      <c r="U131" s="170" t="str">
        <f t="shared" si="35"/>
        <v/>
      </c>
      <c r="V131" s="170" t="str">
        <f t="shared" si="36"/>
        <v/>
      </c>
      <c r="W131" s="170" t="str">
        <f t="shared" si="37"/>
        <v/>
      </c>
      <c r="X131" s="170" t="str">
        <f t="shared" si="26"/>
        <v/>
      </c>
      <c r="Y131" s="170" t="str">
        <f t="shared" si="27"/>
        <v/>
      </c>
      <c r="Z131" s="170" t="str">
        <f t="shared" si="28"/>
        <v/>
      </c>
      <c r="AA131" s="170" t="str">
        <f t="shared" si="38"/>
        <v/>
      </c>
      <c r="AB131" s="170" t="str">
        <f t="shared" si="39"/>
        <v/>
      </c>
      <c r="AC131" s="172" t="str">
        <f t="shared" si="40"/>
        <v/>
      </c>
      <c r="AE131" s="182"/>
      <c r="AF131" s="182"/>
      <c r="AG131" s="182"/>
      <c r="AH131" s="182"/>
      <c r="AI131" s="182"/>
      <c r="AJ131" s="182"/>
      <c r="AK131" s="182"/>
      <c r="AL131" s="182"/>
      <c r="AM131" s="182"/>
      <c r="AN131" s="182"/>
      <c r="AO131" s="182"/>
      <c r="AP131" s="182"/>
      <c r="AQ131" s="182"/>
      <c r="AR131" s="182"/>
      <c r="AS131" s="182"/>
    </row>
    <row r="132" spans="1:45">
      <c r="A132" s="263"/>
      <c r="B132" s="260"/>
      <c r="C132" s="244"/>
      <c r="D132" s="184"/>
      <c r="E132" s="185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70" t="str">
        <f t="shared" si="34"/>
        <v/>
      </c>
      <c r="U132" s="170" t="str">
        <f t="shared" si="35"/>
        <v/>
      </c>
      <c r="V132" s="170" t="str">
        <f t="shared" si="36"/>
        <v/>
      </c>
      <c r="W132" s="170" t="str">
        <f t="shared" si="37"/>
        <v/>
      </c>
      <c r="X132" s="170" t="str">
        <f t="shared" si="26"/>
        <v/>
      </c>
      <c r="Y132" s="170" t="str">
        <f t="shared" si="27"/>
        <v/>
      </c>
      <c r="Z132" s="170" t="str">
        <f t="shared" si="28"/>
        <v/>
      </c>
      <c r="AA132" s="170" t="str">
        <f t="shared" si="38"/>
        <v/>
      </c>
      <c r="AB132" s="170" t="str">
        <f t="shared" si="39"/>
        <v/>
      </c>
      <c r="AC132" s="172" t="str">
        <f t="shared" si="40"/>
        <v/>
      </c>
      <c r="AE132" s="182"/>
      <c r="AF132" s="182"/>
      <c r="AG132" s="182"/>
      <c r="AH132" s="182"/>
      <c r="AI132" s="182"/>
      <c r="AJ132" s="182"/>
      <c r="AK132" s="182"/>
      <c r="AL132" s="182"/>
      <c r="AM132" s="182"/>
      <c r="AN132" s="182"/>
      <c r="AO132" s="182"/>
      <c r="AP132" s="182"/>
      <c r="AQ132" s="182"/>
      <c r="AR132" s="182"/>
      <c r="AS132" s="182"/>
    </row>
    <row r="133" spans="1:45">
      <c r="A133" s="263"/>
      <c r="B133" s="261"/>
      <c r="C133" s="245"/>
      <c r="D133" s="184"/>
      <c r="E133" s="185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70" t="str">
        <f t="shared" si="34"/>
        <v/>
      </c>
      <c r="U133" s="170" t="str">
        <f t="shared" si="35"/>
        <v/>
      </c>
      <c r="V133" s="170" t="str">
        <f t="shared" si="36"/>
        <v/>
      </c>
      <c r="W133" s="170" t="str">
        <f t="shared" si="37"/>
        <v/>
      </c>
      <c r="X133" s="170" t="str">
        <f t="shared" si="26"/>
        <v/>
      </c>
      <c r="Y133" s="170" t="str">
        <f t="shared" si="27"/>
        <v/>
      </c>
      <c r="Z133" s="170"/>
      <c r="AA133" s="170" t="str">
        <f t="shared" si="38"/>
        <v/>
      </c>
      <c r="AB133" s="170" t="str">
        <f t="shared" si="39"/>
        <v/>
      </c>
      <c r="AC133" s="172" t="str">
        <f t="shared" si="40"/>
        <v/>
      </c>
      <c r="AE133" s="182"/>
      <c r="AF133" s="182"/>
      <c r="AG133" s="182"/>
      <c r="AH133" s="182"/>
      <c r="AI133" s="182"/>
      <c r="AJ133" s="182"/>
      <c r="AK133" s="182"/>
      <c r="AL133" s="182"/>
      <c r="AM133" s="182"/>
      <c r="AN133" s="182"/>
      <c r="AO133" s="182"/>
      <c r="AP133" s="182"/>
      <c r="AQ133" s="182"/>
      <c r="AR133" s="182"/>
      <c r="AS133" s="182"/>
    </row>
    <row r="134" spans="1:45" ht="15" customHeight="1">
      <c r="A134" s="263">
        <v>17</v>
      </c>
      <c r="B134" s="252"/>
      <c r="C134" s="243"/>
      <c r="D134" s="184"/>
      <c r="E134" s="185"/>
      <c r="F134" s="169"/>
      <c r="G134" s="169"/>
      <c r="H134" s="169"/>
      <c r="I134" s="169"/>
      <c r="J134" s="169"/>
      <c r="K134" s="186"/>
      <c r="L134" s="169"/>
      <c r="M134" s="169"/>
      <c r="N134" s="169"/>
      <c r="O134" s="169"/>
      <c r="P134" s="169"/>
      <c r="Q134" s="169"/>
      <c r="R134" s="169"/>
      <c r="S134" s="169"/>
      <c r="T134" s="170" t="str">
        <f t="shared" si="34"/>
        <v/>
      </c>
      <c r="U134" s="170" t="str">
        <f t="shared" si="35"/>
        <v/>
      </c>
      <c r="V134" s="170" t="str">
        <f t="shared" si="36"/>
        <v/>
      </c>
      <c r="W134" s="170" t="str">
        <f t="shared" si="37"/>
        <v/>
      </c>
      <c r="X134" s="170" t="str">
        <f t="shared" si="26"/>
        <v/>
      </c>
      <c r="Y134" s="170" t="str">
        <f t="shared" si="27"/>
        <v/>
      </c>
      <c r="Z134" s="170" t="str">
        <f t="shared" si="28"/>
        <v/>
      </c>
      <c r="AA134" s="170" t="str">
        <f t="shared" si="38"/>
        <v/>
      </c>
      <c r="AB134" s="170" t="str">
        <f t="shared" si="39"/>
        <v/>
      </c>
      <c r="AC134" s="172" t="str">
        <f t="shared" si="40"/>
        <v/>
      </c>
      <c r="AE134" s="182"/>
      <c r="AF134" s="182"/>
      <c r="AG134" s="182"/>
      <c r="AH134" s="182"/>
      <c r="AI134" s="182"/>
      <c r="AJ134" s="182"/>
      <c r="AK134" s="182"/>
      <c r="AL134" s="182"/>
      <c r="AM134" s="182"/>
      <c r="AN134" s="182"/>
      <c r="AO134" s="182"/>
      <c r="AP134" s="182"/>
      <c r="AQ134" s="182"/>
      <c r="AR134" s="182"/>
      <c r="AS134" s="182"/>
    </row>
    <row r="135" spans="1:45">
      <c r="A135" s="263"/>
      <c r="B135" s="260"/>
      <c r="C135" s="244"/>
      <c r="D135" s="184"/>
      <c r="E135" s="185"/>
      <c r="F135" s="169"/>
      <c r="G135" s="169"/>
      <c r="H135" s="169"/>
      <c r="I135" s="169"/>
      <c r="J135" s="169"/>
      <c r="K135" s="186"/>
      <c r="L135" s="169"/>
      <c r="M135" s="169"/>
      <c r="N135" s="169"/>
      <c r="O135" s="169"/>
      <c r="P135" s="169"/>
      <c r="Q135" s="169"/>
      <c r="R135" s="169"/>
      <c r="S135" s="169"/>
      <c r="T135" s="170" t="str">
        <f t="shared" si="34"/>
        <v/>
      </c>
      <c r="U135" s="170" t="str">
        <f t="shared" si="35"/>
        <v/>
      </c>
      <c r="V135" s="170" t="str">
        <f t="shared" si="36"/>
        <v/>
      </c>
      <c r="W135" s="170" t="str">
        <f t="shared" si="37"/>
        <v/>
      </c>
      <c r="X135" s="170" t="str">
        <f t="shared" ref="X135:X198" si="41">IF(COUNT(E135:S135)=0,"",V135-1*W135)</f>
        <v/>
      </c>
      <c r="Y135" s="170" t="str">
        <f t="shared" ref="Y135:Y198" si="42">IF(COUNT(E135:S135)=0,"",V135+1*W135)</f>
        <v/>
      </c>
      <c r="Z135" s="170" t="str">
        <f t="shared" ref="Z135:Z198" si="43">IF(COUNT(E135:S135)=0,"",SUM(IF(AND(E135&gt;X135,E135&lt;Y135),E135,0),IF(AND(F135&gt;X135,F135&lt;Y135),F135,0),IF(AND(G135&gt;X135,G135&lt;Y135),G135,0),IF(AND(H135&gt;X135,H135&lt;Y135),H135,0),IF(AND(I135&gt;X135,I135&lt;Y135),I135,0),IF(AND(J135&gt;X135,J135&lt;Y135),J135,0),IF(AND(K135&gt;X135,K135&lt;Y135),K135,0),IF(AND(L135&gt;X135,L135&lt;Y135),L135,0),IF(AND(M135&gt;X135,M135&lt;Y135),M135,0),IF(AND(N135&gt;X135,N135&lt;Y135),N135,0),IF(AND(O135&gt;X135,O135&lt;Y135),O135,0),IF(AND(P135&gt;X135,P135&lt;Y135),P135,0),IF(AND(Q135&gt;X135,Q135&lt;Y135),Q135,0),IF(AND(R135&gt;X135,R135&lt;Y135),R135,0),IF(AND(S135&gt;X135,S135&lt;Y135),S135,0))/SUM(IF(AND(E135&gt;X135,E135&lt;Y135,E135&lt;&gt;0),1,0),IF(AND(F135&gt;X135,F135&lt;Y135,F135&lt;&gt;0),1,0),IF(AND(G135&gt;X135,G135&lt;Y135,G135&lt;&gt;0),1,0),IF(AND(H135&gt;X135,H135&lt;Y135,H135&lt;&gt;0),1,0),IF(AND(I135&gt;X135,I135&lt;Y135,I135&lt;&gt;0),1,0),IF(AND(J135&gt;X135,J135&lt;Y135,J135&lt;&gt;0),1,0),IF(AND(K135&gt;X135,K135&lt;Y135,K135&lt;&gt;0),1,0),IF(AND(L135&gt;X135,L135&lt;Y135,L135&lt;&gt;0),1,0),IF(AND(M135&gt;X135,M135&lt;Y135,M135&lt;&gt;0),1,0),IF(AND(N135&gt;X135,N135&lt;Y135,N135&lt;&gt;0),1,0),IF(AND(O135&gt;X135,O135&lt;Y135,O135&lt;&gt;0),1,0),IF(AND(P135&gt;X135,P135&lt;Y135,P135&lt;&gt;0),1,0),IF(AND(Q135&gt;X135,Q135&lt;Y135,Q135&lt;&gt;0),1,0),IF(AND(R135&gt;X135,R135&lt;Y135,R135&lt;&gt;0),1,0),IF(AND(S135&gt;X135,S135&lt;Y135,S135&lt;&gt;0),1,0)))</f>
        <v/>
      </c>
      <c r="AA135" s="170" t="str">
        <f t="shared" si="38"/>
        <v/>
      </c>
      <c r="AB135" s="170" t="str">
        <f t="shared" si="39"/>
        <v/>
      </c>
      <c r="AC135" s="172" t="str">
        <f t="shared" si="40"/>
        <v/>
      </c>
      <c r="AE135" s="182"/>
      <c r="AF135" s="182"/>
      <c r="AG135" s="182"/>
      <c r="AH135" s="182"/>
      <c r="AI135" s="182"/>
      <c r="AJ135" s="182"/>
      <c r="AK135" s="182"/>
      <c r="AL135" s="182"/>
      <c r="AM135" s="182"/>
      <c r="AN135" s="182"/>
      <c r="AO135" s="182"/>
      <c r="AP135" s="182"/>
      <c r="AQ135" s="182"/>
      <c r="AR135" s="182"/>
      <c r="AS135" s="182"/>
    </row>
    <row r="136" spans="1:45">
      <c r="A136" s="263"/>
      <c r="B136" s="260"/>
      <c r="C136" s="244"/>
      <c r="D136" s="184"/>
      <c r="E136" s="185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70" t="str">
        <f t="shared" si="34"/>
        <v/>
      </c>
      <c r="U136" s="170" t="str">
        <f t="shared" si="35"/>
        <v/>
      </c>
      <c r="V136" s="170" t="str">
        <f t="shared" si="36"/>
        <v/>
      </c>
      <c r="W136" s="170" t="str">
        <f t="shared" si="37"/>
        <v/>
      </c>
      <c r="X136" s="170" t="str">
        <f t="shared" si="41"/>
        <v/>
      </c>
      <c r="Y136" s="170" t="str">
        <f t="shared" si="42"/>
        <v/>
      </c>
      <c r="Z136" s="170" t="str">
        <f t="shared" si="43"/>
        <v/>
      </c>
      <c r="AA136" s="170" t="str">
        <f t="shared" si="38"/>
        <v/>
      </c>
      <c r="AB136" s="170" t="str">
        <f t="shared" si="39"/>
        <v/>
      </c>
      <c r="AC136" s="172" t="str">
        <f t="shared" si="40"/>
        <v/>
      </c>
      <c r="AE136" s="182"/>
      <c r="AF136" s="182"/>
      <c r="AG136" s="182"/>
      <c r="AH136" s="182"/>
      <c r="AI136" s="182"/>
      <c r="AJ136" s="182"/>
      <c r="AK136" s="182"/>
      <c r="AL136" s="182"/>
      <c r="AM136" s="182"/>
      <c r="AN136" s="182"/>
      <c r="AO136" s="182"/>
      <c r="AP136" s="182"/>
      <c r="AQ136" s="182"/>
      <c r="AR136" s="182"/>
      <c r="AS136" s="182"/>
    </row>
    <row r="137" spans="1:45">
      <c r="A137" s="263"/>
      <c r="B137" s="260"/>
      <c r="C137" s="244"/>
      <c r="D137" s="184"/>
      <c r="E137" s="185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70" t="str">
        <f t="shared" si="34"/>
        <v/>
      </c>
      <c r="U137" s="170" t="str">
        <f t="shared" si="35"/>
        <v/>
      </c>
      <c r="V137" s="170" t="str">
        <f t="shared" si="36"/>
        <v/>
      </c>
      <c r="W137" s="170" t="str">
        <f t="shared" si="37"/>
        <v/>
      </c>
      <c r="X137" s="170" t="str">
        <f t="shared" si="41"/>
        <v/>
      </c>
      <c r="Y137" s="170" t="str">
        <f t="shared" si="42"/>
        <v/>
      </c>
      <c r="Z137" s="170" t="str">
        <f t="shared" si="43"/>
        <v/>
      </c>
      <c r="AA137" s="170" t="str">
        <f t="shared" si="38"/>
        <v/>
      </c>
      <c r="AB137" s="170" t="str">
        <f t="shared" si="39"/>
        <v/>
      </c>
      <c r="AC137" s="172" t="str">
        <f t="shared" si="40"/>
        <v/>
      </c>
      <c r="AE137" s="182"/>
      <c r="AF137" s="182"/>
      <c r="AG137" s="182"/>
      <c r="AH137" s="182"/>
      <c r="AI137" s="182"/>
      <c r="AJ137" s="182"/>
      <c r="AK137" s="182"/>
      <c r="AL137" s="182"/>
      <c r="AM137" s="182"/>
      <c r="AN137" s="182"/>
      <c r="AO137" s="182"/>
      <c r="AP137" s="182"/>
      <c r="AQ137" s="182"/>
      <c r="AR137" s="182"/>
      <c r="AS137" s="182"/>
    </row>
    <row r="138" spans="1:45">
      <c r="A138" s="263"/>
      <c r="B138" s="260"/>
      <c r="C138" s="244"/>
      <c r="D138" s="184"/>
      <c r="E138" s="185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70" t="str">
        <f t="shared" si="34"/>
        <v/>
      </c>
      <c r="U138" s="170" t="str">
        <f t="shared" si="35"/>
        <v/>
      </c>
      <c r="V138" s="170" t="str">
        <f t="shared" si="36"/>
        <v/>
      </c>
      <c r="W138" s="170" t="str">
        <f t="shared" si="37"/>
        <v/>
      </c>
      <c r="X138" s="170" t="str">
        <f t="shared" si="41"/>
        <v/>
      </c>
      <c r="Y138" s="170" t="str">
        <f t="shared" si="42"/>
        <v/>
      </c>
      <c r="Z138" s="170" t="str">
        <f t="shared" si="43"/>
        <v/>
      </c>
      <c r="AA138" s="170" t="str">
        <f t="shared" si="38"/>
        <v/>
      </c>
      <c r="AB138" s="170" t="str">
        <f t="shared" si="39"/>
        <v/>
      </c>
      <c r="AC138" s="172" t="str">
        <f t="shared" si="40"/>
        <v/>
      </c>
      <c r="AE138" s="182"/>
      <c r="AF138" s="182"/>
      <c r="AG138" s="182"/>
      <c r="AH138" s="182"/>
      <c r="AI138" s="182"/>
      <c r="AJ138" s="182"/>
      <c r="AK138" s="182"/>
      <c r="AL138" s="182"/>
      <c r="AM138" s="182"/>
      <c r="AN138" s="182"/>
      <c r="AO138" s="182"/>
      <c r="AP138" s="182"/>
      <c r="AQ138" s="182"/>
      <c r="AR138" s="182"/>
      <c r="AS138" s="182"/>
    </row>
    <row r="139" spans="1:45">
      <c r="A139" s="263"/>
      <c r="B139" s="260"/>
      <c r="C139" s="244"/>
      <c r="D139" s="184"/>
      <c r="E139" s="185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70" t="str">
        <f t="shared" si="34"/>
        <v/>
      </c>
      <c r="U139" s="170" t="str">
        <f t="shared" si="35"/>
        <v/>
      </c>
      <c r="V139" s="170" t="str">
        <f t="shared" si="36"/>
        <v/>
      </c>
      <c r="W139" s="170" t="str">
        <f t="shared" si="37"/>
        <v/>
      </c>
      <c r="X139" s="170" t="str">
        <f t="shared" si="41"/>
        <v/>
      </c>
      <c r="Y139" s="170" t="str">
        <f t="shared" si="42"/>
        <v/>
      </c>
      <c r="Z139" s="170" t="str">
        <f t="shared" si="43"/>
        <v/>
      </c>
      <c r="AA139" s="170" t="str">
        <f t="shared" si="38"/>
        <v/>
      </c>
      <c r="AB139" s="170" t="str">
        <f t="shared" si="39"/>
        <v/>
      </c>
      <c r="AC139" s="172" t="str">
        <f t="shared" si="40"/>
        <v/>
      </c>
      <c r="AE139" s="182"/>
      <c r="AF139" s="182"/>
      <c r="AG139" s="182"/>
      <c r="AH139" s="182"/>
      <c r="AI139" s="182"/>
      <c r="AJ139" s="182"/>
      <c r="AK139" s="182"/>
      <c r="AL139" s="182"/>
      <c r="AM139" s="182"/>
      <c r="AN139" s="182"/>
      <c r="AO139" s="182"/>
      <c r="AP139" s="182"/>
      <c r="AQ139" s="182"/>
      <c r="AR139" s="182"/>
      <c r="AS139" s="182"/>
    </row>
    <row r="140" spans="1:45">
      <c r="A140" s="263"/>
      <c r="B140" s="260"/>
      <c r="C140" s="244"/>
      <c r="D140" s="184"/>
      <c r="E140" s="185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70" t="str">
        <f t="shared" si="34"/>
        <v/>
      </c>
      <c r="U140" s="170" t="str">
        <f t="shared" si="35"/>
        <v/>
      </c>
      <c r="V140" s="170" t="str">
        <f t="shared" si="36"/>
        <v/>
      </c>
      <c r="W140" s="170" t="str">
        <f t="shared" si="37"/>
        <v/>
      </c>
      <c r="X140" s="170" t="str">
        <f t="shared" si="41"/>
        <v/>
      </c>
      <c r="Y140" s="170" t="str">
        <f t="shared" si="42"/>
        <v/>
      </c>
      <c r="Z140" s="170" t="str">
        <f t="shared" si="43"/>
        <v/>
      </c>
      <c r="AA140" s="170" t="str">
        <f t="shared" si="38"/>
        <v/>
      </c>
      <c r="AB140" s="170" t="str">
        <f t="shared" si="39"/>
        <v/>
      </c>
      <c r="AC140" s="172" t="str">
        <f t="shared" si="40"/>
        <v/>
      </c>
      <c r="AE140" s="182"/>
      <c r="AF140" s="182"/>
      <c r="AG140" s="182"/>
      <c r="AH140" s="182"/>
      <c r="AI140" s="182"/>
      <c r="AJ140" s="182"/>
      <c r="AK140" s="182"/>
      <c r="AL140" s="182"/>
      <c r="AM140" s="182"/>
      <c r="AN140" s="182"/>
      <c r="AO140" s="182"/>
      <c r="AP140" s="182"/>
      <c r="AQ140" s="182"/>
      <c r="AR140" s="182"/>
      <c r="AS140" s="182"/>
    </row>
    <row r="141" spans="1:45">
      <c r="A141" s="263"/>
      <c r="B141" s="261"/>
      <c r="C141" s="245"/>
      <c r="D141" s="184"/>
      <c r="E141" s="185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70" t="str">
        <f t="shared" si="34"/>
        <v/>
      </c>
      <c r="U141" s="170" t="str">
        <f t="shared" si="35"/>
        <v/>
      </c>
      <c r="V141" s="170" t="str">
        <f t="shared" si="36"/>
        <v/>
      </c>
      <c r="W141" s="170" t="str">
        <f t="shared" si="37"/>
        <v/>
      </c>
      <c r="X141" s="170" t="str">
        <f t="shared" si="41"/>
        <v/>
      </c>
      <c r="Y141" s="170" t="str">
        <f t="shared" si="42"/>
        <v/>
      </c>
      <c r="Z141" s="170"/>
      <c r="AA141" s="170" t="str">
        <f t="shared" si="38"/>
        <v/>
      </c>
      <c r="AB141" s="170" t="str">
        <f t="shared" si="39"/>
        <v/>
      </c>
      <c r="AC141" s="172" t="str">
        <f t="shared" si="40"/>
        <v/>
      </c>
      <c r="AE141" s="182"/>
      <c r="AF141" s="182"/>
      <c r="AG141" s="182"/>
      <c r="AH141" s="182"/>
      <c r="AI141" s="182"/>
      <c r="AJ141" s="182"/>
      <c r="AK141" s="182"/>
      <c r="AL141" s="182"/>
      <c r="AM141" s="182"/>
      <c r="AN141" s="182"/>
      <c r="AO141" s="182"/>
      <c r="AP141" s="182"/>
      <c r="AQ141" s="182"/>
      <c r="AR141" s="182"/>
      <c r="AS141" s="182"/>
    </row>
    <row r="142" spans="1:45" ht="15" customHeight="1">
      <c r="A142" s="263">
        <v>18</v>
      </c>
      <c r="B142" s="252"/>
      <c r="C142" s="243"/>
      <c r="D142" s="184"/>
      <c r="E142" s="185"/>
      <c r="F142" s="169"/>
      <c r="G142" s="169"/>
      <c r="H142" s="169"/>
      <c r="I142" s="169"/>
      <c r="J142" s="186"/>
      <c r="K142" s="169"/>
      <c r="L142" s="169"/>
      <c r="M142" s="169"/>
      <c r="N142" s="169"/>
      <c r="O142" s="169"/>
      <c r="P142" s="169"/>
      <c r="Q142" s="169"/>
      <c r="R142" s="169"/>
      <c r="S142" s="169"/>
      <c r="T142" s="170" t="str">
        <f t="shared" si="34"/>
        <v/>
      </c>
      <c r="U142" s="170" t="str">
        <f t="shared" si="35"/>
        <v/>
      </c>
      <c r="V142" s="170" t="str">
        <f t="shared" si="36"/>
        <v/>
      </c>
      <c r="W142" s="170" t="str">
        <f t="shared" si="37"/>
        <v/>
      </c>
      <c r="X142" s="170" t="str">
        <f t="shared" si="41"/>
        <v/>
      </c>
      <c r="Y142" s="170" t="str">
        <f t="shared" si="42"/>
        <v/>
      </c>
      <c r="Z142" s="170" t="str">
        <f>IF(COUNT(E142:S142)=0,"",SUM(IF(AND(E142&gt;X142,E142&lt;Y142),E142,0),IF(AND(F142&gt;X142,F142&lt;Y142),F142,0),IF(AND(G142&gt;X142,G142&lt;Y142),G142,0),IF(AND(H142&gt;X142,H142&lt;Y142),H142,0),IF(AND(I142&gt;X142,I142&lt;Y142),I142,0),IF(AND(J142&gt;X142,J142&lt;Y142),J142,0),IF(AND(K142&gt;X142,K142&lt;Y142),K142,0),IF(AND(L142&gt;X142,L142&lt;Y142),L142,0),IF(AND(M142&gt;X142,M142&lt;Y142),M142,0),IF(AND(N142&gt;X142,N142&lt;Y142),N142,0),IF(AND(O142&gt;X142,O142&lt;Y142),O142,0),IF(AND(P142&gt;X142,P142&lt;Y142),P142,0),IF(AND(Q142&gt;X142,Q142&lt;Y142),Q142,0),IF(AND(R142&gt;X142,R142&lt;Y142),R142,0),IF(AND(S142&gt;X142,S142&lt;Y142),S142,0))/SUM(IF(AND(E142&gt;X142,E142&lt;Y142,E142&lt;&gt;0),1,0),IF(AND(F142&gt;X142,F142&lt;Y142,F142&lt;&gt;0),1,0),IF(AND(G142&gt;X142,G142&lt;Y142,G142&lt;&gt;0),1,0),IF(AND(H142&gt;X142,H142&lt;Y142,H142&lt;&gt;0),1,0),IF(AND(I142&gt;X142,I142&lt;Y142,I142&lt;&gt;0),1,0),IF(AND(J142&gt;X142,J142&lt;Y142,J142&lt;&gt;0),1,0),IF(AND(K142&gt;X142,K142&lt;Y142,K142&lt;&gt;0),1,0),IF(AND(L142&gt;X142,L142&lt;Y142,L142&lt;&gt;0),1,0),IF(AND(M142&gt;X142,M142&lt;Y142,M142&lt;&gt;0),1,0),IF(AND(N142&gt;X142,N142&lt;Y142,N142&lt;&gt;0),1,0),IF(AND(O142&gt;X142,O142&lt;Y142,O142&lt;&gt;0),1,0),IF(AND(P142&gt;X142,P142&lt;Y142,P142&lt;&gt;0),1,0),IF(AND(Q142&gt;X142,Q142&lt;Y142,Q142&lt;&gt;0),1,0),IF(AND(R142&gt;X142,R142&lt;Y142,R142&lt;&gt;0),1,0),IF(AND(S142&gt;X142,S142&lt;Y142,S142&lt;&gt;0),1,0)))</f>
        <v/>
      </c>
      <c r="AA142" s="170" t="str">
        <f t="shared" si="38"/>
        <v/>
      </c>
      <c r="AB142" s="170" t="str">
        <f t="shared" si="39"/>
        <v/>
      </c>
      <c r="AC142" s="172" t="str">
        <f t="shared" si="40"/>
        <v/>
      </c>
      <c r="AE142" s="182"/>
      <c r="AF142" s="182"/>
      <c r="AG142" s="182"/>
      <c r="AH142" s="182"/>
      <c r="AI142" s="182"/>
      <c r="AJ142" s="182"/>
      <c r="AK142" s="182"/>
      <c r="AL142" s="182"/>
      <c r="AM142" s="182"/>
      <c r="AN142" s="182"/>
      <c r="AO142" s="182"/>
      <c r="AP142" s="182"/>
      <c r="AQ142" s="182"/>
      <c r="AR142" s="182"/>
      <c r="AS142" s="182"/>
    </row>
    <row r="143" spans="1:45">
      <c r="A143" s="263"/>
      <c r="B143" s="260"/>
      <c r="C143" s="244"/>
      <c r="D143" s="184"/>
      <c r="E143" s="185"/>
      <c r="F143" s="169"/>
      <c r="G143" s="169"/>
      <c r="H143" s="169"/>
      <c r="I143" s="169"/>
      <c r="J143" s="186"/>
      <c r="K143" s="169"/>
      <c r="L143" s="169"/>
      <c r="M143" s="169"/>
      <c r="N143" s="169"/>
      <c r="O143" s="169"/>
      <c r="P143" s="169"/>
      <c r="Q143" s="169"/>
      <c r="R143" s="169"/>
      <c r="S143" s="169"/>
      <c r="T143" s="170" t="str">
        <f t="shared" si="34"/>
        <v/>
      </c>
      <c r="U143" s="170" t="str">
        <f t="shared" si="35"/>
        <v/>
      </c>
      <c r="V143" s="170" t="str">
        <f t="shared" si="36"/>
        <v/>
      </c>
      <c r="W143" s="170" t="str">
        <f t="shared" si="37"/>
        <v/>
      </c>
      <c r="X143" s="170" t="str">
        <f t="shared" si="41"/>
        <v/>
      </c>
      <c r="Y143" s="170" t="str">
        <f t="shared" si="42"/>
        <v/>
      </c>
      <c r="Z143" s="170" t="str">
        <f>IF(COUNT(E143:S143)=0,"",SUM(IF(AND(E143&gt;X143,E143&lt;Y143),E143,0),IF(AND(F143&gt;X143,F143&lt;Y143),F143,0),IF(AND(G143&gt;X143,G143&lt;Y143),G143,0),IF(AND(H143&gt;X143,H143&lt;Y143),H143,0),IF(AND(I143&gt;X143,I143&lt;Y143),I143,0),IF(AND(J143&gt;X143,J143&lt;Y143),J143,0),IF(AND(K143&gt;X143,K143&lt;Y143),K143,0),IF(AND(L143&gt;X143,L143&lt;Y143),L143,0),IF(AND(M143&gt;X143,M143&lt;Y143),M143,0),IF(AND(N143&gt;X143,N143&lt;Y143),N143,0),IF(AND(O143&gt;X143,O143&lt;Y143),O143,0),IF(AND(P143&gt;X143,P143&lt;Y143),P143,0),IF(AND(Q143&gt;X143,Q143&lt;Y143),Q143,0),IF(AND(R143&gt;X143,R143&lt;Y143),R143,0),IF(AND(S143&gt;X143,S143&lt;Y143),S143,0))/SUM(IF(AND(E143&gt;X143,E143&lt;Y143,E143&lt;&gt;0),1,0),IF(AND(F143&gt;X143,F143&lt;Y143,F143&lt;&gt;0),1,0),IF(AND(G143&gt;X143,G143&lt;Y143,G143&lt;&gt;0),1,0),IF(AND(H143&gt;X143,H143&lt;Y143,H143&lt;&gt;0),1,0),IF(AND(I143&gt;X143,I143&lt;Y143,I143&lt;&gt;0),1,0),IF(AND(J143&gt;X143,J143&lt;Y143,J143&lt;&gt;0),1,0),IF(AND(K143&gt;X143,K143&lt;Y143,K143&lt;&gt;0),1,0),IF(AND(L143&gt;X143,L143&lt;Y143,L143&lt;&gt;0),1,0),IF(AND(M143&gt;X143,M143&lt;Y143,M143&lt;&gt;0),1,0),IF(AND(N143&gt;X143,N143&lt;Y143,N143&lt;&gt;0),1,0),IF(AND(O143&gt;X143,O143&lt;Y143,O143&lt;&gt;0),1,0),IF(AND(P143&gt;X143,P143&lt;Y143,P143&lt;&gt;0),1,0),IF(AND(Q143&gt;X143,Q143&lt;Y143,Q143&lt;&gt;0),1,0),IF(AND(R143&gt;X143,R143&lt;Y143,R143&lt;&gt;0),1,0),IF(AND(S143&gt;X143,S143&lt;Y143,S143&lt;&gt;0),1,0)))</f>
        <v/>
      </c>
      <c r="AA143" s="170" t="str">
        <f t="shared" si="38"/>
        <v/>
      </c>
      <c r="AB143" s="170" t="str">
        <f t="shared" si="39"/>
        <v/>
      </c>
      <c r="AC143" s="172" t="str">
        <f t="shared" si="40"/>
        <v/>
      </c>
      <c r="AE143" s="182"/>
      <c r="AF143" s="182"/>
      <c r="AG143" s="182"/>
      <c r="AH143" s="182"/>
      <c r="AI143" s="182"/>
      <c r="AJ143" s="182"/>
      <c r="AK143" s="182"/>
      <c r="AL143" s="182"/>
      <c r="AM143" s="182"/>
      <c r="AN143" s="182"/>
      <c r="AO143" s="182"/>
      <c r="AP143" s="182"/>
      <c r="AQ143" s="182"/>
      <c r="AR143" s="182"/>
      <c r="AS143" s="182"/>
    </row>
    <row r="144" spans="1:45">
      <c r="A144" s="263"/>
      <c r="B144" s="260"/>
      <c r="C144" s="244"/>
      <c r="D144" s="184"/>
      <c r="E144" s="185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70" t="str">
        <f t="shared" si="34"/>
        <v/>
      </c>
      <c r="U144" s="170" t="str">
        <f t="shared" si="35"/>
        <v/>
      </c>
      <c r="V144" s="170" t="str">
        <f t="shared" si="36"/>
        <v/>
      </c>
      <c r="W144" s="170" t="str">
        <f t="shared" si="37"/>
        <v/>
      </c>
      <c r="X144" s="170" t="str">
        <f t="shared" si="41"/>
        <v/>
      </c>
      <c r="Y144" s="170" t="str">
        <f t="shared" si="42"/>
        <v/>
      </c>
      <c r="Z144" s="170" t="str">
        <f>IF(COUNT(E144:S144)=0,"",SUM(IF(AND(E144&gt;X144,E144&lt;Y144),E144,0),IF(AND(F144&gt;X144,F144&lt;Y144),F144,0),IF(AND(G144&gt;X144,G144&lt;Y144),G144,0),IF(AND(H144&gt;X144,H144&lt;Y144),H144,0),IF(AND(I144&gt;X144,I144&lt;Y144),I144,0),IF(AND(J144&gt;X144,J144&lt;Y144),J144,0),IF(AND(K144&gt;X144,K144&lt;Y144),K144,0),IF(AND(L144&gt;X144,L144&lt;Y144),L144,0),IF(AND(M144&gt;X144,M144&lt;Y144),M144,0),IF(AND(N144&gt;X144,N144&lt;Y144),N144,0),IF(AND(O144&gt;X144,O144&lt;Y144),O144,0),IF(AND(P144&gt;X144,P144&lt;Y144),P144,0),IF(AND(Q144&gt;X144,Q144&lt;Y144),Q144,0),IF(AND(R144&gt;X144,R144&lt;Y144),R144,0),IF(AND(S144&gt;X144,S144&lt;Y144),S144,0))/SUM(IF(AND(E144&gt;X144,E144&lt;Y144,E144&lt;&gt;0),1,0),IF(AND(F144&gt;X144,F144&lt;Y144,F144&lt;&gt;0),1,0),IF(AND(G144&gt;X144,G144&lt;Y144,G144&lt;&gt;0),1,0),IF(AND(H144&gt;X144,H144&lt;Y144,H144&lt;&gt;0),1,0),IF(AND(I144&gt;X144,I144&lt;Y144,I144&lt;&gt;0),1,0),IF(AND(J144&gt;X144,J144&lt;Y144,J144&lt;&gt;0),1,0),IF(AND(K144&gt;X144,K144&lt;Y144,K144&lt;&gt;0),1,0),IF(AND(L144&gt;X144,L144&lt;Y144,L144&lt;&gt;0),1,0),IF(AND(M144&gt;X144,M144&lt;Y144,M144&lt;&gt;0),1,0),IF(AND(N144&gt;X144,N144&lt;Y144,N144&lt;&gt;0),1,0),IF(AND(O144&gt;X144,O144&lt;Y144,O144&lt;&gt;0),1,0),IF(AND(P144&gt;X144,P144&lt;Y144,P144&lt;&gt;0),1,0),IF(AND(Q144&gt;X144,Q144&lt;Y144,Q144&lt;&gt;0),1,0),IF(AND(R144&gt;X144,R144&lt;Y144,R144&lt;&gt;0),1,0),IF(AND(S144&gt;X144,S144&lt;Y144,S144&lt;&gt;0),1,0)))</f>
        <v/>
      </c>
      <c r="AA144" s="170" t="str">
        <f t="shared" si="38"/>
        <v/>
      </c>
      <c r="AB144" s="170" t="str">
        <f t="shared" si="39"/>
        <v/>
      </c>
      <c r="AC144" s="172" t="str">
        <f t="shared" si="40"/>
        <v/>
      </c>
      <c r="AE144" s="182"/>
      <c r="AF144" s="182"/>
      <c r="AG144" s="182"/>
      <c r="AH144" s="182"/>
      <c r="AI144" s="182"/>
      <c r="AJ144" s="182"/>
      <c r="AK144" s="182"/>
      <c r="AL144" s="182"/>
      <c r="AM144" s="182"/>
      <c r="AN144" s="182"/>
      <c r="AO144" s="182"/>
      <c r="AP144" s="182"/>
      <c r="AQ144" s="182"/>
      <c r="AR144" s="182"/>
      <c r="AS144" s="182"/>
    </row>
    <row r="145" spans="1:45">
      <c r="A145" s="263"/>
      <c r="B145" s="260"/>
      <c r="C145" s="244"/>
      <c r="D145" s="184"/>
      <c r="E145" s="185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70" t="str">
        <f t="shared" si="34"/>
        <v/>
      </c>
      <c r="U145" s="170" t="str">
        <f t="shared" si="35"/>
        <v/>
      </c>
      <c r="V145" s="170" t="str">
        <f t="shared" si="36"/>
        <v/>
      </c>
      <c r="W145" s="170" t="str">
        <f t="shared" si="37"/>
        <v/>
      </c>
      <c r="X145" s="170" t="str">
        <f t="shared" si="41"/>
        <v/>
      </c>
      <c r="Y145" s="170" t="str">
        <f t="shared" si="42"/>
        <v/>
      </c>
      <c r="Z145" s="170" t="str">
        <f t="shared" si="43"/>
        <v/>
      </c>
      <c r="AA145" s="170" t="str">
        <f t="shared" si="38"/>
        <v/>
      </c>
      <c r="AB145" s="170" t="str">
        <f t="shared" si="39"/>
        <v/>
      </c>
      <c r="AC145" s="172" t="str">
        <f t="shared" si="40"/>
        <v/>
      </c>
      <c r="AE145" s="182"/>
      <c r="AF145" s="182"/>
      <c r="AG145" s="182"/>
      <c r="AH145" s="182"/>
      <c r="AI145" s="182"/>
      <c r="AJ145" s="182"/>
      <c r="AK145" s="182"/>
      <c r="AL145" s="182"/>
      <c r="AM145" s="182"/>
      <c r="AN145" s="182"/>
      <c r="AO145" s="182"/>
      <c r="AP145" s="182"/>
      <c r="AQ145" s="182"/>
      <c r="AR145" s="182"/>
      <c r="AS145" s="182"/>
    </row>
    <row r="146" spans="1:45">
      <c r="A146" s="263"/>
      <c r="B146" s="260"/>
      <c r="C146" s="244"/>
      <c r="D146" s="184"/>
      <c r="E146" s="185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70" t="str">
        <f t="shared" si="34"/>
        <v/>
      </c>
      <c r="U146" s="170" t="str">
        <f t="shared" si="35"/>
        <v/>
      </c>
      <c r="V146" s="170" t="str">
        <f t="shared" si="36"/>
        <v/>
      </c>
      <c r="W146" s="170" t="str">
        <f t="shared" si="37"/>
        <v/>
      </c>
      <c r="X146" s="170" t="str">
        <f t="shared" si="41"/>
        <v/>
      </c>
      <c r="Y146" s="170" t="str">
        <f t="shared" si="42"/>
        <v/>
      </c>
      <c r="Z146" s="170" t="str">
        <f t="shared" si="43"/>
        <v/>
      </c>
      <c r="AA146" s="170" t="str">
        <f t="shared" si="38"/>
        <v/>
      </c>
      <c r="AB146" s="170" t="str">
        <f t="shared" si="39"/>
        <v/>
      </c>
      <c r="AC146" s="172" t="str">
        <f t="shared" si="40"/>
        <v/>
      </c>
      <c r="AE146" s="182"/>
      <c r="AF146" s="182"/>
      <c r="AG146" s="182"/>
      <c r="AH146" s="182"/>
      <c r="AI146" s="182"/>
      <c r="AJ146" s="182"/>
      <c r="AK146" s="182"/>
      <c r="AL146" s="182"/>
      <c r="AM146" s="182"/>
      <c r="AN146" s="182"/>
      <c r="AO146" s="182"/>
      <c r="AP146" s="182"/>
      <c r="AQ146" s="182"/>
      <c r="AR146" s="182"/>
      <c r="AS146" s="182"/>
    </row>
    <row r="147" spans="1:45">
      <c r="A147" s="263"/>
      <c r="B147" s="260"/>
      <c r="C147" s="244"/>
      <c r="D147" s="184"/>
      <c r="E147" s="185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70" t="str">
        <f t="shared" ref="T147:T165" si="44">IF(COUNT(E147:S147)=0,"",SUM(E147:S147))</f>
        <v/>
      </c>
      <c r="U147" s="170" t="str">
        <f t="shared" ref="U147:U165" si="45">IF(COUNT(E147:S147)=0,"",SUMSQ(E147:S147))</f>
        <v/>
      </c>
      <c r="V147" s="170" t="str">
        <f t="shared" ref="V147:V165" si="46">IF(COUNT(E147:S147)=0,"",AVERAGE(E147:S147))</f>
        <v/>
      </c>
      <c r="W147" s="170" t="str">
        <f t="shared" ref="W147:W165" si="47">IF(COUNT(E147:S147)=0,"",STDEVP(E147:S147))</f>
        <v/>
      </c>
      <c r="X147" s="170" t="str">
        <f t="shared" si="41"/>
        <v/>
      </c>
      <c r="Y147" s="170" t="str">
        <f t="shared" si="42"/>
        <v/>
      </c>
      <c r="Z147" s="170" t="str">
        <f t="shared" si="43"/>
        <v/>
      </c>
      <c r="AA147" s="170" t="str">
        <f t="shared" ref="AA147:AA165" si="48">IF(COUNT(E147:S147)=0,"",SUM(IF(AND(E147&gt;X147,E147&lt;Y147),E147,0),IF(AND(F147&gt;X147,F147&lt;Y147),F147,0),IF(AND(G147&gt;X147,G147&lt;Y147),G147,0),IF(AND(H147&gt;X147,H147&lt;Y147),H147,0),IF(AND(I147&gt;X147,I147&lt;Y147),I147,0),IF(AND(J147&gt;X147,J147&lt;Y147),J147,0),IF(AND(K147&gt;X147,K147&lt;Y147),K147,0),IF(AND(L147&gt;X147,L147&lt;Y147),L147,0),IF(AND(M147&gt;X147,M147&lt;Y147),M147,0),IF(AND(N147&gt;X147,N147&lt;Y147),N147,0),IF(AND(O147&gt;X147,O147&lt;Y147),O147,0),IF(AND(P147&gt;X147,P147&lt;Y147),P147,0),IF(AND(Q147&gt;X147,Q147&lt;Y147),Q147,0),IF(AND(R147&gt;X147,R147&lt;Y147),R147,0),IF(AND(S147&gt;X147,S147&lt;Y147),S147,0)))</f>
        <v/>
      </c>
      <c r="AB147" s="170" t="str">
        <f t="shared" ref="AB147:AB165" si="49">IF(COUNT(E147:S147)=0,"",SUMSQ(IF(AND(E147&gt;X147,E147&lt;Y147),E147,0),IF(AND(F147&gt;X147,F147&lt;Y147),F147,0),IF(AND(G147&gt;X147,G147&lt;Y147),G147,0),IF(AND(H147&gt;X147,H147&lt;Y147),H147,0),IF(AND(I147&gt;X147,I147&lt;Y147),I147,0),IF(AND(J147&gt;X147,J147&lt;Y147),J147,0),IF(AND(K147&gt;X147,K147&lt;Y147),K147,0),IF(AND(L147&gt;X147,L147&lt;Y147),L147,0),IF(AND(M147&gt;X147,M147&lt;Y147),M147,0),IF(AND(N147&gt;X147,N147&lt;Y147),N147,0),IF(AND(O147&gt;X147,O147&lt;Y147),O147,0),IF(AND(P147&gt;X147,P147&lt;Y147),P147,0),IF(AND(Q147&gt;X147,Q147&lt;Y147),Q147,0),IF(AND(R147&gt;X147,R147&lt;Y147),R147,0),IF(AND(S147&gt;X147,S147&lt;Y147),S147,0)))</f>
        <v/>
      </c>
      <c r="AC147" s="172" t="str">
        <f t="shared" ref="AC147:AC165" si="50">IF(COUNT(E147:S147)=0,"",POWER(40*SQRT(SUM(IF(AND(E147&gt;X147,E147&lt;Y147),1,0),IF(AND(F147&gt;X147,F147&lt;Y147),1,0),IF(AND(G147&gt;X147,G147&lt;Y147),1,0),IF(AND(H147&gt;X147,H147&lt;Y147),1,0),IF(AND(I147&gt;X147,I147&lt;Y147),1,0),IF(AND(J147&gt;X147,J147&lt;Y147),1,0),IF(AND(K147&gt;X147,K147&lt;Y147),1,0),IF(AND(L147&gt;X147,L147&lt;Y147),1,0),IF(AND(M147&gt;X147,M147&lt;Y147),1,0),IF(AND(N147&gt;X147,N147&lt;Y147),1,0),IF(AND(O147&gt;X147,O147&lt;Y147),1,0),IF(AND(P147&gt;X147,P147&lt;Y147),1,0),IF(AND(Q147&gt;X147,Q147&lt;Y147),1,0),IF(AND(R147&gt;X147,R147&lt;Y147),1,0),IF(AND(S147&gt;X147,S147&lt;Y147),1,0))*AB147-POWER(AA147,2))/AA147,2))</f>
        <v/>
      </c>
      <c r="AE147" s="182"/>
      <c r="AF147" s="182"/>
      <c r="AG147" s="182"/>
      <c r="AH147" s="182"/>
      <c r="AI147" s="182"/>
      <c r="AJ147" s="182"/>
      <c r="AK147" s="182"/>
      <c r="AL147" s="182"/>
      <c r="AM147" s="182"/>
      <c r="AN147" s="182"/>
      <c r="AO147" s="182"/>
      <c r="AP147" s="182"/>
      <c r="AQ147" s="182"/>
      <c r="AR147" s="182"/>
      <c r="AS147" s="182"/>
    </row>
    <row r="148" spans="1:45">
      <c r="A148" s="263"/>
      <c r="B148" s="260"/>
      <c r="C148" s="244"/>
      <c r="D148" s="184"/>
      <c r="E148" s="185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70" t="str">
        <f t="shared" si="44"/>
        <v/>
      </c>
      <c r="U148" s="170" t="str">
        <f t="shared" si="45"/>
        <v/>
      </c>
      <c r="V148" s="170" t="str">
        <f t="shared" si="46"/>
        <v/>
      </c>
      <c r="W148" s="170" t="str">
        <f t="shared" si="47"/>
        <v/>
      </c>
      <c r="X148" s="170" t="str">
        <f t="shared" si="41"/>
        <v/>
      </c>
      <c r="Y148" s="170" t="str">
        <f t="shared" si="42"/>
        <v/>
      </c>
      <c r="Z148" s="170" t="str">
        <f t="shared" si="43"/>
        <v/>
      </c>
      <c r="AA148" s="170" t="str">
        <f t="shared" si="48"/>
        <v/>
      </c>
      <c r="AB148" s="170" t="str">
        <f t="shared" si="49"/>
        <v/>
      </c>
      <c r="AC148" s="172" t="str">
        <f t="shared" si="50"/>
        <v/>
      </c>
      <c r="AE148" s="182"/>
      <c r="AF148" s="182"/>
      <c r="AG148" s="182"/>
      <c r="AH148" s="182"/>
      <c r="AI148" s="182"/>
      <c r="AJ148" s="182"/>
      <c r="AK148" s="182"/>
      <c r="AL148" s="182"/>
      <c r="AM148" s="182"/>
      <c r="AN148" s="182"/>
      <c r="AO148" s="182"/>
      <c r="AP148" s="182"/>
      <c r="AQ148" s="182"/>
      <c r="AR148" s="182"/>
      <c r="AS148" s="182"/>
    </row>
    <row r="149" spans="1:45">
      <c r="A149" s="263"/>
      <c r="B149" s="261"/>
      <c r="C149" s="245"/>
      <c r="D149" s="184"/>
      <c r="E149" s="185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70" t="str">
        <f t="shared" si="44"/>
        <v/>
      </c>
      <c r="U149" s="170" t="str">
        <f t="shared" si="45"/>
        <v/>
      </c>
      <c r="V149" s="170" t="str">
        <f t="shared" si="46"/>
        <v/>
      </c>
      <c r="W149" s="170" t="str">
        <f t="shared" si="47"/>
        <v/>
      </c>
      <c r="X149" s="170" t="str">
        <f t="shared" si="41"/>
        <v/>
      </c>
      <c r="Y149" s="170" t="str">
        <f t="shared" si="42"/>
        <v/>
      </c>
      <c r="Z149" s="170"/>
      <c r="AA149" s="170" t="str">
        <f t="shared" si="48"/>
        <v/>
      </c>
      <c r="AB149" s="170" t="str">
        <f t="shared" si="49"/>
        <v/>
      </c>
      <c r="AC149" s="172" t="str">
        <f t="shared" si="50"/>
        <v/>
      </c>
      <c r="AE149" s="182"/>
      <c r="AF149" s="182"/>
      <c r="AG149" s="182"/>
      <c r="AH149" s="182"/>
      <c r="AI149" s="182"/>
      <c r="AJ149" s="182"/>
      <c r="AK149" s="182"/>
      <c r="AL149" s="182"/>
      <c r="AM149" s="182"/>
      <c r="AN149" s="182"/>
      <c r="AO149" s="182"/>
      <c r="AP149" s="182"/>
      <c r="AQ149" s="182"/>
      <c r="AR149" s="182"/>
      <c r="AS149" s="182"/>
    </row>
    <row r="150" spans="1:45" ht="15" customHeight="1">
      <c r="A150" s="263">
        <v>19</v>
      </c>
      <c r="B150" s="252"/>
      <c r="C150" s="243"/>
      <c r="D150" s="184"/>
      <c r="E150" s="185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70" t="str">
        <f t="shared" si="44"/>
        <v/>
      </c>
      <c r="U150" s="170" t="str">
        <f t="shared" si="45"/>
        <v/>
      </c>
      <c r="V150" s="170" t="str">
        <f t="shared" si="46"/>
        <v/>
      </c>
      <c r="W150" s="170" t="str">
        <f t="shared" si="47"/>
        <v/>
      </c>
      <c r="X150" s="170" t="str">
        <f t="shared" si="41"/>
        <v/>
      </c>
      <c r="Y150" s="170" t="str">
        <f t="shared" si="42"/>
        <v/>
      </c>
      <c r="Z150" s="170" t="str">
        <f t="shared" si="43"/>
        <v/>
      </c>
      <c r="AA150" s="170" t="str">
        <f t="shared" si="48"/>
        <v/>
      </c>
      <c r="AB150" s="170" t="str">
        <f t="shared" si="49"/>
        <v/>
      </c>
      <c r="AC150" s="172" t="str">
        <f t="shared" si="50"/>
        <v/>
      </c>
      <c r="AE150" s="182"/>
      <c r="AF150" s="182"/>
      <c r="AG150" s="182"/>
      <c r="AH150" s="182"/>
      <c r="AI150" s="182"/>
      <c r="AJ150" s="182"/>
      <c r="AK150" s="182"/>
      <c r="AL150" s="182"/>
      <c r="AM150" s="182"/>
      <c r="AN150" s="182"/>
      <c r="AO150" s="182"/>
      <c r="AP150" s="182"/>
      <c r="AQ150" s="182"/>
      <c r="AR150" s="182"/>
      <c r="AS150" s="182"/>
    </row>
    <row r="151" spans="1:45">
      <c r="A151" s="263"/>
      <c r="B151" s="260"/>
      <c r="C151" s="244"/>
      <c r="D151" s="184"/>
      <c r="E151" s="185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70" t="str">
        <f t="shared" si="44"/>
        <v/>
      </c>
      <c r="U151" s="170" t="str">
        <f t="shared" si="45"/>
        <v/>
      </c>
      <c r="V151" s="170" t="str">
        <f t="shared" si="46"/>
        <v/>
      </c>
      <c r="W151" s="170" t="str">
        <f t="shared" si="47"/>
        <v/>
      </c>
      <c r="X151" s="170" t="str">
        <f t="shared" si="41"/>
        <v/>
      </c>
      <c r="Y151" s="170" t="str">
        <f t="shared" si="42"/>
        <v/>
      </c>
      <c r="Z151" s="170" t="str">
        <f t="shared" si="43"/>
        <v/>
      </c>
      <c r="AA151" s="170" t="str">
        <f t="shared" si="48"/>
        <v/>
      </c>
      <c r="AB151" s="170" t="str">
        <f t="shared" si="49"/>
        <v/>
      </c>
      <c r="AC151" s="172" t="str">
        <f t="shared" si="50"/>
        <v/>
      </c>
      <c r="AE151" s="182"/>
      <c r="AF151" s="182"/>
      <c r="AG151" s="182"/>
      <c r="AH151" s="182"/>
      <c r="AI151" s="182"/>
      <c r="AJ151" s="182"/>
      <c r="AK151" s="182"/>
      <c r="AL151" s="182"/>
      <c r="AM151" s="182"/>
      <c r="AN151" s="182"/>
      <c r="AO151" s="182"/>
      <c r="AP151" s="182"/>
      <c r="AQ151" s="182"/>
      <c r="AR151" s="182"/>
      <c r="AS151" s="182"/>
    </row>
    <row r="152" spans="1:45">
      <c r="A152" s="263"/>
      <c r="B152" s="260"/>
      <c r="C152" s="244"/>
      <c r="D152" s="184"/>
      <c r="E152" s="185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70" t="str">
        <f t="shared" si="44"/>
        <v/>
      </c>
      <c r="U152" s="170" t="str">
        <f t="shared" si="45"/>
        <v/>
      </c>
      <c r="V152" s="170" t="str">
        <f t="shared" si="46"/>
        <v/>
      </c>
      <c r="W152" s="170" t="str">
        <f t="shared" si="47"/>
        <v/>
      </c>
      <c r="X152" s="170" t="str">
        <f t="shared" si="41"/>
        <v/>
      </c>
      <c r="Y152" s="170" t="str">
        <f t="shared" si="42"/>
        <v/>
      </c>
      <c r="Z152" s="170" t="str">
        <f t="shared" si="43"/>
        <v/>
      </c>
      <c r="AA152" s="170" t="str">
        <f t="shared" si="48"/>
        <v/>
      </c>
      <c r="AB152" s="170" t="str">
        <f t="shared" si="49"/>
        <v/>
      </c>
      <c r="AC152" s="172" t="str">
        <f t="shared" si="50"/>
        <v/>
      </c>
      <c r="AE152" s="182"/>
      <c r="AF152" s="182"/>
      <c r="AG152" s="182"/>
      <c r="AH152" s="182"/>
      <c r="AI152" s="182"/>
      <c r="AJ152" s="182"/>
      <c r="AK152" s="182"/>
      <c r="AL152" s="182"/>
      <c r="AM152" s="182"/>
      <c r="AN152" s="182"/>
      <c r="AO152" s="182"/>
      <c r="AP152" s="182"/>
      <c r="AQ152" s="182"/>
      <c r="AR152" s="182"/>
      <c r="AS152" s="182"/>
    </row>
    <row r="153" spans="1:45">
      <c r="A153" s="263"/>
      <c r="B153" s="260"/>
      <c r="C153" s="244"/>
      <c r="D153" s="184"/>
      <c r="E153" s="185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70" t="str">
        <f t="shared" si="44"/>
        <v/>
      </c>
      <c r="U153" s="170" t="str">
        <f t="shared" si="45"/>
        <v/>
      </c>
      <c r="V153" s="170" t="str">
        <f t="shared" si="46"/>
        <v/>
      </c>
      <c r="W153" s="170" t="str">
        <f t="shared" si="47"/>
        <v/>
      </c>
      <c r="X153" s="170" t="str">
        <f t="shared" si="41"/>
        <v/>
      </c>
      <c r="Y153" s="170" t="str">
        <f t="shared" si="42"/>
        <v/>
      </c>
      <c r="Z153" s="170" t="str">
        <f t="shared" si="43"/>
        <v/>
      </c>
      <c r="AA153" s="170" t="str">
        <f t="shared" si="48"/>
        <v/>
      </c>
      <c r="AB153" s="170" t="str">
        <f t="shared" si="49"/>
        <v/>
      </c>
      <c r="AC153" s="172" t="str">
        <f t="shared" si="50"/>
        <v/>
      </c>
      <c r="AE153" s="182"/>
      <c r="AF153" s="182"/>
      <c r="AG153" s="182"/>
      <c r="AH153" s="182"/>
      <c r="AI153" s="182"/>
      <c r="AJ153" s="182"/>
      <c r="AK153" s="182"/>
      <c r="AL153" s="182"/>
      <c r="AM153" s="182"/>
      <c r="AN153" s="182"/>
      <c r="AO153" s="182"/>
      <c r="AP153" s="182"/>
      <c r="AQ153" s="182"/>
      <c r="AR153" s="182"/>
      <c r="AS153" s="182"/>
    </row>
    <row r="154" spans="1:45">
      <c r="A154" s="263"/>
      <c r="B154" s="260"/>
      <c r="C154" s="244"/>
      <c r="D154" s="184"/>
      <c r="E154" s="185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70" t="str">
        <f t="shared" si="44"/>
        <v/>
      </c>
      <c r="U154" s="170" t="str">
        <f t="shared" si="45"/>
        <v/>
      </c>
      <c r="V154" s="170" t="str">
        <f t="shared" si="46"/>
        <v/>
      </c>
      <c r="W154" s="170" t="str">
        <f t="shared" si="47"/>
        <v/>
      </c>
      <c r="X154" s="170" t="str">
        <f t="shared" si="41"/>
        <v/>
      </c>
      <c r="Y154" s="170" t="str">
        <f t="shared" si="42"/>
        <v/>
      </c>
      <c r="Z154" s="170" t="str">
        <f t="shared" si="43"/>
        <v/>
      </c>
      <c r="AA154" s="170" t="str">
        <f t="shared" si="48"/>
        <v/>
      </c>
      <c r="AB154" s="170" t="str">
        <f t="shared" si="49"/>
        <v/>
      </c>
      <c r="AC154" s="172" t="str">
        <f t="shared" si="50"/>
        <v/>
      </c>
      <c r="AE154" s="182"/>
      <c r="AF154" s="182"/>
      <c r="AG154" s="182"/>
      <c r="AH154" s="182"/>
      <c r="AI154" s="182"/>
      <c r="AJ154" s="182"/>
      <c r="AK154" s="182"/>
      <c r="AL154" s="182"/>
      <c r="AM154" s="182"/>
      <c r="AN154" s="182"/>
      <c r="AO154" s="182"/>
      <c r="AP154" s="182"/>
      <c r="AQ154" s="182"/>
      <c r="AR154" s="182"/>
      <c r="AS154" s="182"/>
    </row>
    <row r="155" spans="1:45">
      <c r="A155" s="263"/>
      <c r="B155" s="260"/>
      <c r="C155" s="244"/>
      <c r="D155" s="184"/>
      <c r="E155" s="185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70" t="str">
        <f t="shared" si="44"/>
        <v/>
      </c>
      <c r="U155" s="170" t="str">
        <f t="shared" si="45"/>
        <v/>
      </c>
      <c r="V155" s="170" t="str">
        <f t="shared" si="46"/>
        <v/>
      </c>
      <c r="W155" s="170" t="str">
        <f t="shared" si="47"/>
        <v/>
      </c>
      <c r="X155" s="170" t="str">
        <f t="shared" si="41"/>
        <v/>
      </c>
      <c r="Y155" s="170" t="str">
        <f t="shared" si="42"/>
        <v/>
      </c>
      <c r="Z155" s="170" t="str">
        <f t="shared" si="43"/>
        <v/>
      </c>
      <c r="AA155" s="170" t="str">
        <f t="shared" si="48"/>
        <v/>
      </c>
      <c r="AB155" s="170" t="str">
        <f t="shared" si="49"/>
        <v/>
      </c>
      <c r="AC155" s="172" t="str">
        <f t="shared" si="50"/>
        <v/>
      </c>
      <c r="AE155" s="182"/>
      <c r="AF155" s="182"/>
      <c r="AG155" s="182"/>
      <c r="AH155" s="182"/>
      <c r="AI155" s="182"/>
      <c r="AJ155" s="182"/>
      <c r="AK155" s="182"/>
      <c r="AL155" s="182"/>
      <c r="AM155" s="182"/>
      <c r="AN155" s="182"/>
      <c r="AO155" s="182"/>
      <c r="AP155" s="182"/>
      <c r="AQ155" s="182"/>
      <c r="AR155" s="182"/>
      <c r="AS155" s="182"/>
    </row>
    <row r="156" spans="1:45">
      <c r="A156" s="263"/>
      <c r="B156" s="260"/>
      <c r="C156" s="244"/>
      <c r="D156" s="184"/>
      <c r="E156" s="185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70" t="str">
        <f t="shared" si="44"/>
        <v/>
      </c>
      <c r="U156" s="170" t="str">
        <f t="shared" si="45"/>
        <v/>
      </c>
      <c r="V156" s="170" t="str">
        <f t="shared" si="46"/>
        <v/>
      </c>
      <c r="W156" s="170" t="str">
        <f t="shared" si="47"/>
        <v/>
      </c>
      <c r="X156" s="170" t="str">
        <f t="shared" si="41"/>
        <v/>
      </c>
      <c r="Y156" s="170" t="str">
        <f t="shared" si="42"/>
        <v/>
      </c>
      <c r="Z156" s="170" t="str">
        <f t="shared" si="43"/>
        <v/>
      </c>
      <c r="AA156" s="170" t="str">
        <f t="shared" si="48"/>
        <v/>
      </c>
      <c r="AB156" s="170" t="str">
        <f t="shared" si="49"/>
        <v/>
      </c>
      <c r="AC156" s="172" t="str">
        <f t="shared" si="50"/>
        <v/>
      </c>
      <c r="AE156" s="182"/>
      <c r="AF156" s="182"/>
      <c r="AG156" s="182"/>
      <c r="AH156" s="182"/>
      <c r="AI156" s="182"/>
      <c r="AJ156" s="182"/>
      <c r="AK156" s="182"/>
      <c r="AL156" s="182"/>
      <c r="AM156" s="182"/>
      <c r="AN156" s="182"/>
      <c r="AO156" s="182"/>
      <c r="AP156" s="182"/>
      <c r="AQ156" s="182"/>
      <c r="AR156" s="182"/>
      <c r="AS156" s="182"/>
    </row>
    <row r="157" spans="1:45">
      <c r="A157" s="263"/>
      <c r="B157" s="261"/>
      <c r="C157" s="245"/>
      <c r="D157" s="184"/>
      <c r="E157" s="185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70" t="str">
        <f t="shared" si="44"/>
        <v/>
      </c>
      <c r="U157" s="170" t="str">
        <f t="shared" si="45"/>
        <v/>
      </c>
      <c r="V157" s="170" t="str">
        <f t="shared" si="46"/>
        <v/>
      </c>
      <c r="W157" s="170" t="str">
        <f t="shared" si="47"/>
        <v/>
      </c>
      <c r="X157" s="170" t="str">
        <f t="shared" si="41"/>
        <v/>
      </c>
      <c r="Y157" s="170" t="str">
        <f t="shared" si="42"/>
        <v/>
      </c>
      <c r="Z157" s="170" t="str">
        <f t="shared" si="43"/>
        <v/>
      </c>
      <c r="AA157" s="170" t="str">
        <f t="shared" si="48"/>
        <v/>
      </c>
      <c r="AB157" s="170" t="str">
        <f t="shared" si="49"/>
        <v/>
      </c>
      <c r="AC157" s="172" t="str">
        <f t="shared" si="50"/>
        <v/>
      </c>
      <c r="AE157" s="182"/>
      <c r="AF157" s="182"/>
      <c r="AG157" s="182"/>
      <c r="AH157" s="182"/>
      <c r="AI157" s="182"/>
      <c r="AJ157" s="182"/>
      <c r="AK157" s="182"/>
      <c r="AL157" s="182"/>
      <c r="AM157" s="182"/>
      <c r="AN157" s="182"/>
      <c r="AO157" s="182"/>
      <c r="AP157" s="182"/>
      <c r="AQ157" s="182"/>
      <c r="AR157" s="182"/>
      <c r="AS157" s="182"/>
    </row>
    <row r="158" spans="1:45" ht="15" customHeight="1">
      <c r="A158" s="263">
        <v>20</v>
      </c>
      <c r="B158" s="252"/>
      <c r="C158" s="243"/>
      <c r="D158" s="184"/>
      <c r="E158" s="187"/>
      <c r="F158" s="188"/>
      <c r="G158" s="188"/>
      <c r="H158" s="188"/>
      <c r="I158" s="188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70" t="str">
        <f t="shared" si="44"/>
        <v/>
      </c>
      <c r="U158" s="170" t="str">
        <f t="shared" si="45"/>
        <v/>
      </c>
      <c r="V158" s="170" t="str">
        <f t="shared" si="46"/>
        <v/>
      </c>
      <c r="W158" s="170" t="str">
        <f t="shared" si="47"/>
        <v/>
      </c>
      <c r="X158" s="170" t="str">
        <f t="shared" si="41"/>
        <v/>
      </c>
      <c r="Y158" s="170" t="str">
        <f t="shared" si="42"/>
        <v/>
      </c>
      <c r="Z158" s="170" t="str">
        <f t="shared" si="43"/>
        <v/>
      </c>
      <c r="AA158" s="170" t="str">
        <f t="shared" si="48"/>
        <v/>
      </c>
      <c r="AB158" s="170" t="str">
        <f t="shared" si="49"/>
        <v/>
      </c>
      <c r="AC158" s="172" t="str">
        <f t="shared" si="50"/>
        <v/>
      </c>
      <c r="AE158" s="182"/>
      <c r="AF158" s="182"/>
      <c r="AG158" s="182"/>
      <c r="AH158" s="182"/>
      <c r="AI158" s="182"/>
      <c r="AJ158" s="182"/>
      <c r="AK158" s="182"/>
      <c r="AL158" s="182"/>
      <c r="AM158" s="182"/>
      <c r="AN158" s="182"/>
      <c r="AO158" s="182"/>
      <c r="AP158" s="182"/>
      <c r="AQ158" s="182"/>
      <c r="AR158" s="182"/>
      <c r="AS158" s="182"/>
    </row>
    <row r="159" spans="1:45">
      <c r="A159" s="263"/>
      <c r="B159" s="260"/>
      <c r="C159" s="244"/>
      <c r="D159" s="184"/>
      <c r="E159" s="185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70" t="str">
        <f t="shared" si="44"/>
        <v/>
      </c>
      <c r="U159" s="170" t="str">
        <f t="shared" si="45"/>
        <v/>
      </c>
      <c r="V159" s="170" t="str">
        <f t="shared" si="46"/>
        <v/>
      </c>
      <c r="W159" s="170" t="str">
        <f t="shared" si="47"/>
        <v/>
      </c>
      <c r="X159" s="170" t="str">
        <f t="shared" si="41"/>
        <v/>
      </c>
      <c r="Y159" s="170" t="str">
        <f t="shared" si="42"/>
        <v/>
      </c>
      <c r="Z159" s="170" t="str">
        <f t="shared" si="43"/>
        <v/>
      </c>
      <c r="AA159" s="170" t="str">
        <f t="shared" si="48"/>
        <v/>
      </c>
      <c r="AB159" s="170" t="str">
        <f t="shared" si="49"/>
        <v/>
      </c>
      <c r="AC159" s="172" t="str">
        <f t="shared" si="50"/>
        <v/>
      </c>
      <c r="AE159" s="182"/>
      <c r="AF159" s="182"/>
      <c r="AG159" s="182"/>
      <c r="AH159" s="182"/>
      <c r="AI159" s="182"/>
      <c r="AJ159" s="182"/>
      <c r="AK159" s="182"/>
      <c r="AL159" s="182"/>
      <c r="AM159" s="182"/>
      <c r="AN159" s="182"/>
      <c r="AO159" s="182"/>
      <c r="AP159" s="182"/>
      <c r="AQ159" s="182"/>
      <c r="AR159" s="182"/>
      <c r="AS159" s="182"/>
    </row>
    <row r="160" spans="1:45">
      <c r="A160" s="263"/>
      <c r="B160" s="260"/>
      <c r="C160" s="244"/>
      <c r="D160" s="184"/>
      <c r="E160" s="185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70" t="str">
        <f t="shared" si="44"/>
        <v/>
      </c>
      <c r="U160" s="170" t="str">
        <f t="shared" si="45"/>
        <v/>
      </c>
      <c r="V160" s="170" t="str">
        <f t="shared" si="46"/>
        <v/>
      </c>
      <c r="W160" s="170" t="str">
        <f t="shared" si="47"/>
        <v/>
      </c>
      <c r="X160" s="170" t="str">
        <f t="shared" si="41"/>
        <v/>
      </c>
      <c r="Y160" s="170" t="str">
        <f t="shared" si="42"/>
        <v/>
      </c>
      <c r="Z160" s="170" t="str">
        <f t="shared" si="43"/>
        <v/>
      </c>
      <c r="AA160" s="170" t="str">
        <f t="shared" si="48"/>
        <v/>
      </c>
      <c r="AB160" s="170" t="str">
        <f t="shared" si="49"/>
        <v/>
      </c>
      <c r="AC160" s="172" t="str">
        <f t="shared" si="50"/>
        <v/>
      </c>
      <c r="AE160" s="182"/>
      <c r="AF160" s="182"/>
      <c r="AG160" s="182"/>
      <c r="AH160" s="182"/>
      <c r="AI160" s="182"/>
      <c r="AJ160" s="182"/>
      <c r="AK160" s="182"/>
      <c r="AL160" s="182"/>
      <c r="AM160" s="182"/>
      <c r="AN160" s="182"/>
      <c r="AO160" s="182"/>
      <c r="AP160" s="182"/>
      <c r="AQ160" s="182"/>
      <c r="AR160" s="182"/>
      <c r="AS160" s="182"/>
    </row>
    <row r="161" spans="1:45">
      <c r="A161" s="263"/>
      <c r="B161" s="260"/>
      <c r="C161" s="244"/>
      <c r="D161" s="184"/>
      <c r="E161" s="185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70" t="str">
        <f t="shared" si="44"/>
        <v/>
      </c>
      <c r="U161" s="170" t="str">
        <f t="shared" si="45"/>
        <v/>
      </c>
      <c r="V161" s="170" t="str">
        <f t="shared" si="46"/>
        <v/>
      </c>
      <c r="W161" s="170" t="str">
        <f t="shared" si="47"/>
        <v/>
      </c>
      <c r="X161" s="170" t="str">
        <f t="shared" si="41"/>
        <v/>
      </c>
      <c r="Y161" s="170" t="str">
        <f t="shared" si="42"/>
        <v/>
      </c>
      <c r="Z161" s="170" t="str">
        <f t="shared" si="43"/>
        <v/>
      </c>
      <c r="AA161" s="170" t="str">
        <f t="shared" si="48"/>
        <v/>
      </c>
      <c r="AB161" s="170" t="str">
        <f t="shared" si="49"/>
        <v/>
      </c>
      <c r="AC161" s="172" t="str">
        <f t="shared" si="50"/>
        <v/>
      </c>
      <c r="AE161" s="182"/>
      <c r="AF161" s="182"/>
      <c r="AG161" s="182"/>
      <c r="AH161" s="182"/>
      <c r="AI161" s="182"/>
      <c r="AJ161" s="182"/>
      <c r="AK161" s="182"/>
      <c r="AL161" s="182"/>
      <c r="AM161" s="182"/>
      <c r="AN161" s="182"/>
      <c r="AO161" s="182"/>
      <c r="AP161" s="182"/>
      <c r="AQ161" s="182"/>
      <c r="AR161" s="182"/>
      <c r="AS161" s="182"/>
    </row>
    <row r="162" spans="1:45">
      <c r="A162" s="263"/>
      <c r="B162" s="260"/>
      <c r="C162" s="244"/>
      <c r="D162" s="184"/>
      <c r="E162" s="185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70" t="str">
        <f t="shared" si="44"/>
        <v/>
      </c>
      <c r="U162" s="170" t="str">
        <f t="shared" si="45"/>
        <v/>
      </c>
      <c r="V162" s="170" t="str">
        <f t="shared" si="46"/>
        <v/>
      </c>
      <c r="W162" s="170" t="str">
        <f t="shared" si="47"/>
        <v/>
      </c>
      <c r="X162" s="170" t="str">
        <f t="shared" si="41"/>
        <v/>
      </c>
      <c r="Y162" s="170" t="str">
        <f t="shared" si="42"/>
        <v/>
      </c>
      <c r="Z162" s="170" t="str">
        <f t="shared" si="43"/>
        <v/>
      </c>
      <c r="AA162" s="170" t="str">
        <f t="shared" si="48"/>
        <v/>
      </c>
      <c r="AB162" s="170" t="str">
        <f t="shared" si="49"/>
        <v/>
      </c>
      <c r="AC162" s="172" t="str">
        <f t="shared" si="50"/>
        <v/>
      </c>
      <c r="AE162" s="182"/>
      <c r="AF162" s="182"/>
      <c r="AG162" s="182"/>
      <c r="AH162" s="182"/>
      <c r="AI162" s="182"/>
      <c r="AJ162" s="182"/>
      <c r="AK162" s="182"/>
      <c r="AL162" s="182"/>
      <c r="AM162" s="182"/>
      <c r="AN162" s="182"/>
      <c r="AO162" s="182"/>
      <c r="AP162" s="182"/>
      <c r="AQ162" s="182"/>
      <c r="AR162" s="182"/>
      <c r="AS162" s="182"/>
    </row>
    <row r="163" spans="1:45">
      <c r="A163" s="263"/>
      <c r="B163" s="260"/>
      <c r="C163" s="244"/>
      <c r="D163" s="184"/>
      <c r="E163" s="185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70" t="str">
        <f t="shared" si="44"/>
        <v/>
      </c>
      <c r="U163" s="170" t="str">
        <f t="shared" si="45"/>
        <v/>
      </c>
      <c r="V163" s="170" t="str">
        <f t="shared" si="46"/>
        <v/>
      </c>
      <c r="W163" s="170" t="str">
        <f t="shared" si="47"/>
        <v/>
      </c>
      <c r="X163" s="170" t="str">
        <f t="shared" si="41"/>
        <v/>
      </c>
      <c r="Y163" s="170" t="str">
        <f t="shared" si="42"/>
        <v/>
      </c>
      <c r="Z163" s="170" t="str">
        <f t="shared" si="43"/>
        <v/>
      </c>
      <c r="AA163" s="170" t="str">
        <f t="shared" si="48"/>
        <v/>
      </c>
      <c r="AB163" s="170" t="str">
        <f t="shared" si="49"/>
        <v/>
      </c>
      <c r="AC163" s="172" t="str">
        <f t="shared" si="50"/>
        <v/>
      </c>
      <c r="AE163" s="182"/>
      <c r="AF163" s="182"/>
      <c r="AG163" s="182"/>
      <c r="AH163" s="182"/>
      <c r="AI163" s="182"/>
      <c r="AJ163" s="182"/>
      <c r="AK163" s="182"/>
      <c r="AL163" s="182"/>
      <c r="AM163" s="182"/>
      <c r="AN163" s="182"/>
      <c r="AO163" s="182"/>
      <c r="AP163" s="182"/>
      <c r="AQ163" s="182"/>
      <c r="AR163" s="182"/>
      <c r="AS163" s="182"/>
    </row>
    <row r="164" spans="1:45">
      <c r="A164" s="263"/>
      <c r="B164" s="260"/>
      <c r="C164" s="244"/>
      <c r="D164" s="184"/>
      <c r="E164" s="185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70" t="str">
        <f t="shared" si="44"/>
        <v/>
      </c>
      <c r="U164" s="170" t="str">
        <f t="shared" si="45"/>
        <v/>
      </c>
      <c r="V164" s="170" t="str">
        <f t="shared" si="46"/>
        <v/>
      </c>
      <c r="W164" s="170" t="str">
        <f t="shared" si="47"/>
        <v/>
      </c>
      <c r="X164" s="170" t="str">
        <f t="shared" si="41"/>
        <v/>
      </c>
      <c r="Y164" s="170" t="str">
        <f t="shared" si="42"/>
        <v/>
      </c>
      <c r="Z164" s="170" t="str">
        <f t="shared" si="43"/>
        <v/>
      </c>
      <c r="AA164" s="170" t="str">
        <f t="shared" si="48"/>
        <v/>
      </c>
      <c r="AB164" s="170" t="str">
        <f t="shared" si="49"/>
        <v/>
      </c>
      <c r="AC164" s="172" t="str">
        <f t="shared" si="50"/>
        <v/>
      </c>
      <c r="AE164" s="182"/>
      <c r="AF164" s="182"/>
      <c r="AG164" s="182"/>
      <c r="AH164" s="182"/>
      <c r="AI164" s="182"/>
      <c r="AJ164" s="182"/>
      <c r="AK164" s="182"/>
      <c r="AL164" s="182"/>
      <c r="AM164" s="182"/>
      <c r="AN164" s="182"/>
      <c r="AO164" s="182"/>
      <c r="AP164" s="182"/>
      <c r="AQ164" s="182"/>
      <c r="AR164" s="182"/>
      <c r="AS164" s="182"/>
    </row>
    <row r="165" spans="1:45">
      <c r="A165" s="263"/>
      <c r="B165" s="261"/>
      <c r="C165" s="245"/>
      <c r="D165" s="184"/>
      <c r="E165" s="185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70" t="str">
        <f t="shared" si="44"/>
        <v/>
      </c>
      <c r="U165" s="170" t="str">
        <f t="shared" si="45"/>
        <v/>
      </c>
      <c r="V165" s="170" t="str">
        <f t="shared" si="46"/>
        <v/>
      </c>
      <c r="W165" s="170" t="str">
        <f t="shared" si="47"/>
        <v/>
      </c>
      <c r="X165" s="170" t="str">
        <f t="shared" si="41"/>
        <v/>
      </c>
      <c r="Y165" s="170" t="str">
        <f t="shared" si="42"/>
        <v/>
      </c>
      <c r="Z165" s="170"/>
      <c r="AA165" s="170" t="str">
        <f t="shared" si="48"/>
        <v/>
      </c>
      <c r="AB165" s="170" t="str">
        <f t="shared" si="49"/>
        <v/>
      </c>
      <c r="AC165" s="172" t="str">
        <f t="shared" si="50"/>
        <v/>
      </c>
      <c r="AE165" s="182"/>
      <c r="AF165" s="182"/>
      <c r="AG165" s="182"/>
      <c r="AH165" s="182"/>
      <c r="AI165" s="182"/>
      <c r="AJ165" s="182"/>
      <c r="AK165" s="182"/>
      <c r="AL165" s="182"/>
      <c r="AM165" s="182"/>
      <c r="AN165" s="182"/>
      <c r="AO165" s="182"/>
      <c r="AP165" s="182"/>
      <c r="AQ165" s="182"/>
      <c r="AR165" s="182"/>
      <c r="AS165" s="182"/>
    </row>
    <row r="166" spans="1:45" ht="15" customHeight="1">
      <c r="A166" s="263">
        <v>21</v>
      </c>
      <c r="B166" s="252"/>
      <c r="C166" s="243"/>
      <c r="D166" s="184"/>
      <c r="E166" s="185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70" t="str">
        <f t="shared" ref="T166:T229" si="51">IF(COUNT(E166:S166)=0,"",SUM(E166:S166))</f>
        <v/>
      </c>
      <c r="U166" s="170" t="str">
        <f t="shared" ref="U166:U229" si="52">IF(COUNT(E166:S166)=0,"",SUMSQ(E166:S166))</f>
        <v/>
      </c>
      <c r="V166" s="170" t="str">
        <f t="shared" ref="V166:V229" si="53">IF(COUNT(E166:S166)=0,"",AVERAGE(E166:S166))</f>
        <v/>
      </c>
      <c r="W166" s="170" t="str">
        <f t="shared" ref="W166:W229" si="54">IF(COUNT(E166:S166)=0,"",STDEVP(E166:S166))</f>
        <v/>
      </c>
      <c r="X166" s="170" t="str">
        <f t="shared" si="41"/>
        <v/>
      </c>
      <c r="Y166" s="170" t="str">
        <f t="shared" si="42"/>
        <v/>
      </c>
      <c r="Z166" s="170" t="str">
        <f t="shared" si="43"/>
        <v/>
      </c>
      <c r="AA166" s="170" t="str">
        <f t="shared" ref="AA166:AA229" si="55">IF(COUNT(E166:S166)=0,"",SUM(IF(AND(E166&gt;X166,E166&lt;Y166),E166,0),IF(AND(F166&gt;X166,F166&lt;Y166),F166,0),IF(AND(G166&gt;X166,G166&lt;Y166),G166,0),IF(AND(H166&gt;X166,H166&lt;Y166),H166,0),IF(AND(I166&gt;X166,I166&lt;Y166),I166,0),IF(AND(J166&gt;X166,J166&lt;Y166),J166,0),IF(AND(K166&gt;X166,K166&lt;Y166),K166,0),IF(AND(L166&gt;X166,L166&lt;Y166),L166,0),IF(AND(M166&gt;X166,M166&lt;Y166),M166,0),IF(AND(N166&gt;X166,N166&lt;Y166),N166,0),IF(AND(O166&gt;X166,O166&lt;Y166),O166,0),IF(AND(P166&gt;X166,P166&lt;Y166),P166,0),IF(AND(Q166&gt;X166,Q166&lt;Y166),Q166,0),IF(AND(R166&gt;X166,R166&lt;Y166),R166,0),IF(AND(S166&gt;X166,S166&lt;Y166),S166,0)))</f>
        <v/>
      </c>
      <c r="AB166" s="170" t="str">
        <f t="shared" ref="AB166:AB229" si="56">IF(COUNT(E166:S166)=0,"",SUMSQ(IF(AND(E166&gt;X166,E166&lt;Y166),E166,0),IF(AND(F166&gt;X166,F166&lt;Y166),F166,0),IF(AND(G166&gt;X166,G166&lt;Y166),G166,0),IF(AND(H166&gt;X166,H166&lt;Y166),H166,0),IF(AND(I166&gt;X166,I166&lt;Y166),I166,0),IF(AND(J166&gt;X166,J166&lt;Y166),J166,0),IF(AND(K166&gt;X166,K166&lt;Y166),K166,0),IF(AND(L166&gt;X166,L166&lt;Y166),L166,0),IF(AND(M166&gt;X166,M166&lt;Y166),M166,0),IF(AND(N166&gt;X166,N166&lt;Y166),N166,0),IF(AND(O166&gt;X166,O166&lt;Y166),O166,0),IF(AND(P166&gt;X166,P166&lt;Y166),P166,0),IF(AND(Q166&gt;X166,Q166&lt;Y166),Q166,0),IF(AND(R166&gt;X166,R166&lt;Y166),R166,0),IF(AND(S166&gt;X166,S166&lt;Y166),S166,0)))</f>
        <v/>
      </c>
      <c r="AC166" s="172" t="str">
        <f t="shared" ref="AC166:AC229" si="57">IF(COUNT(E166:S166)=0,"",POWER(40*SQRT(SUM(IF(AND(E166&gt;X166,E166&lt;Y166),1,0),IF(AND(F166&gt;X166,F166&lt;Y166),1,0),IF(AND(G166&gt;X166,G166&lt;Y166),1,0),IF(AND(H166&gt;X166,H166&lt;Y166),1,0),IF(AND(I166&gt;X166,I166&lt;Y166),1,0),IF(AND(J166&gt;X166,J166&lt;Y166),1,0),IF(AND(K166&gt;X166,K166&lt;Y166),1,0),IF(AND(L166&gt;X166,L166&lt;Y166),1,0),IF(AND(M166&gt;X166,M166&lt;Y166),1,0),IF(AND(N166&gt;X166,N166&lt;Y166),1,0),IF(AND(O166&gt;X166,O166&lt;Y166),1,0),IF(AND(P166&gt;X166,P166&lt;Y166),1,0),IF(AND(Q166&gt;X166,Q166&lt;Y166),1,0),IF(AND(R166&gt;X166,R166&lt;Y166),1,0),IF(AND(S166&gt;X166,S166&lt;Y166),1,0))*AB166-POWER(AA166,2))/AA166,2))</f>
        <v/>
      </c>
      <c r="AE166" s="182"/>
      <c r="AF166" s="182"/>
      <c r="AG166" s="182"/>
      <c r="AH166" s="182"/>
      <c r="AI166" s="182"/>
      <c r="AJ166" s="182"/>
      <c r="AK166" s="182"/>
      <c r="AL166" s="182"/>
      <c r="AM166" s="182"/>
      <c r="AN166" s="182"/>
      <c r="AO166" s="182"/>
      <c r="AP166" s="182"/>
      <c r="AQ166" s="182"/>
      <c r="AR166" s="182"/>
      <c r="AS166" s="182"/>
    </row>
    <row r="167" spans="1:45">
      <c r="A167" s="263"/>
      <c r="B167" s="260"/>
      <c r="C167" s="244"/>
      <c r="D167" s="184"/>
      <c r="E167" s="185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70" t="str">
        <f t="shared" si="51"/>
        <v/>
      </c>
      <c r="U167" s="170" t="str">
        <f t="shared" si="52"/>
        <v/>
      </c>
      <c r="V167" s="170" t="str">
        <f t="shared" si="53"/>
        <v/>
      </c>
      <c r="W167" s="170" t="str">
        <f t="shared" si="54"/>
        <v/>
      </c>
      <c r="X167" s="170" t="str">
        <f t="shared" si="41"/>
        <v/>
      </c>
      <c r="Y167" s="170" t="str">
        <f t="shared" si="42"/>
        <v/>
      </c>
      <c r="Z167" s="170" t="str">
        <f t="shared" si="43"/>
        <v/>
      </c>
      <c r="AA167" s="170" t="str">
        <f t="shared" si="55"/>
        <v/>
      </c>
      <c r="AB167" s="170" t="str">
        <f t="shared" si="56"/>
        <v/>
      </c>
      <c r="AC167" s="172" t="str">
        <f t="shared" si="57"/>
        <v/>
      </c>
      <c r="AE167" s="182"/>
      <c r="AF167" s="182"/>
      <c r="AG167" s="182"/>
      <c r="AH167" s="182"/>
      <c r="AI167" s="182"/>
      <c r="AJ167" s="182"/>
      <c r="AK167" s="182"/>
      <c r="AL167" s="182"/>
      <c r="AM167" s="182"/>
      <c r="AN167" s="182"/>
      <c r="AO167" s="182"/>
      <c r="AP167" s="182"/>
      <c r="AQ167" s="182"/>
      <c r="AR167" s="182"/>
      <c r="AS167" s="182"/>
    </row>
    <row r="168" spans="1:45">
      <c r="A168" s="263"/>
      <c r="B168" s="260"/>
      <c r="C168" s="244"/>
      <c r="D168" s="184"/>
      <c r="E168" s="185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70" t="str">
        <f t="shared" si="51"/>
        <v/>
      </c>
      <c r="U168" s="170" t="str">
        <f t="shared" si="52"/>
        <v/>
      </c>
      <c r="V168" s="170" t="str">
        <f t="shared" si="53"/>
        <v/>
      </c>
      <c r="W168" s="170" t="str">
        <f t="shared" si="54"/>
        <v/>
      </c>
      <c r="X168" s="170" t="str">
        <f t="shared" si="41"/>
        <v/>
      </c>
      <c r="Y168" s="170" t="str">
        <f t="shared" si="42"/>
        <v/>
      </c>
      <c r="Z168" s="170" t="str">
        <f t="shared" si="43"/>
        <v/>
      </c>
      <c r="AA168" s="170" t="str">
        <f t="shared" si="55"/>
        <v/>
      </c>
      <c r="AB168" s="170" t="str">
        <f t="shared" si="56"/>
        <v/>
      </c>
      <c r="AC168" s="172" t="str">
        <f t="shared" si="57"/>
        <v/>
      </c>
      <c r="AE168" s="182"/>
      <c r="AF168" s="182"/>
      <c r="AG168" s="182"/>
      <c r="AH168" s="182"/>
      <c r="AI168" s="182"/>
      <c r="AJ168" s="182"/>
      <c r="AK168" s="182"/>
      <c r="AL168" s="182"/>
      <c r="AM168" s="182"/>
      <c r="AN168" s="182"/>
      <c r="AO168" s="182"/>
      <c r="AP168" s="182"/>
      <c r="AQ168" s="182"/>
      <c r="AR168" s="182"/>
      <c r="AS168" s="182"/>
    </row>
    <row r="169" spans="1:45">
      <c r="A169" s="263"/>
      <c r="B169" s="260"/>
      <c r="C169" s="244"/>
      <c r="D169" s="184"/>
      <c r="E169" s="185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70" t="str">
        <f t="shared" si="51"/>
        <v/>
      </c>
      <c r="U169" s="170" t="str">
        <f t="shared" si="52"/>
        <v/>
      </c>
      <c r="V169" s="170" t="str">
        <f t="shared" si="53"/>
        <v/>
      </c>
      <c r="W169" s="170" t="str">
        <f t="shared" si="54"/>
        <v/>
      </c>
      <c r="X169" s="170" t="str">
        <f t="shared" si="41"/>
        <v/>
      </c>
      <c r="Y169" s="170" t="str">
        <f t="shared" si="42"/>
        <v/>
      </c>
      <c r="Z169" s="170" t="str">
        <f t="shared" si="43"/>
        <v/>
      </c>
      <c r="AA169" s="170" t="str">
        <f t="shared" si="55"/>
        <v/>
      </c>
      <c r="AB169" s="170" t="str">
        <f t="shared" si="56"/>
        <v/>
      </c>
      <c r="AC169" s="172" t="str">
        <f t="shared" si="57"/>
        <v/>
      </c>
      <c r="AE169" s="182"/>
      <c r="AF169" s="182"/>
      <c r="AG169" s="182"/>
      <c r="AH169" s="182"/>
      <c r="AI169" s="182"/>
      <c r="AJ169" s="182"/>
      <c r="AK169" s="182"/>
      <c r="AL169" s="182"/>
      <c r="AM169" s="182"/>
      <c r="AN169" s="182"/>
      <c r="AO169" s="182"/>
      <c r="AP169" s="182"/>
      <c r="AQ169" s="182"/>
      <c r="AR169" s="182"/>
      <c r="AS169" s="182"/>
    </row>
    <row r="170" spans="1:45">
      <c r="A170" s="263"/>
      <c r="B170" s="260"/>
      <c r="C170" s="244"/>
      <c r="D170" s="184"/>
      <c r="E170" s="185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70" t="str">
        <f t="shared" si="51"/>
        <v/>
      </c>
      <c r="U170" s="170" t="str">
        <f t="shared" si="52"/>
        <v/>
      </c>
      <c r="V170" s="170" t="str">
        <f t="shared" si="53"/>
        <v/>
      </c>
      <c r="W170" s="170" t="str">
        <f t="shared" si="54"/>
        <v/>
      </c>
      <c r="X170" s="170" t="str">
        <f t="shared" si="41"/>
        <v/>
      </c>
      <c r="Y170" s="170" t="str">
        <f t="shared" si="42"/>
        <v/>
      </c>
      <c r="Z170" s="170" t="str">
        <f t="shared" si="43"/>
        <v/>
      </c>
      <c r="AA170" s="170" t="str">
        <f t="shared" si="55"/>
        <v/>
      </c>
      <c r="AB170" s="170" t="str">
        <f t="shared" si="56"/>
        <v/>
      </c>
      <c r="AC170" s="172" t="str">
        <f t="shared" si="57"/>
        <v/>
      </c>
      <c r="AE170" s="182"/>
      <c r="AF170" s="182"/>
      <c r="AG170" s="182"/>
      <c r="AH170" s="182"/>
      <c r="AI170" s="182"/>
      <c r="AJ170" s="182"/>
      <c r="AK170" s="182"/>
      <c r="AL170" s="182"/>
      <c r="AM170" s="182"/>
      <c r="AN170" s="182"/>
      <c r="AO170" s="182"/>
      <c r="AP170" s="182"/>
      <c r="AQ170" s="182"/>
      <c r="AR170" s="182"/>
      <c r="AS170" s="182"/>
    </row>
    <row r="171" spans="1:45">
      <c r="A171" s="263"/>
      <c r="B171" s="260"/>
      <c r="C171" s="244"/>
      <c r="D171" s="184"/>
      <c r="E171" s="185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70" t="str">
        <f t="shared" si="51"/>
        <v/>
      </c>
      <c r="U171" s="170" t="str">
        <f t="shared" si="52"/>
        <v/>
      </c>
      <c r="V171" s="170" t="str">
        <f t="shared" si="53"/>
        <v/>
      </c>
      <c r="W171" s="170" t="str">
        <f t="shared" si="54"/>
        <v/>
      </c>
      <c r="X171" s="170" t="str">
        <f t="shared" si="41"/>
        <v/>
      </c>
      <c r="Y171" s="170" t="str">
        <f t="shared" si="42"/>
        <v/>
      </c>
      <c r="Z171" s="170" t="str">
        <f t="shared" si="43"/>
        <v/>
      </c>
      <c r="AA171" s="170" t="str">
        <f t="shared" si="55"/>
        <v/>
      </c>
      <c r="AB171" s="170" t="str">
        <f t="shared" si="56"/>
        <v/>
      </c>
      <c r="AC171" s="172" t="str">
        <f t="shared" si="57"/>
        <v/>
      </c>
      <c r="AE171" s="182"/>
      <c r="AF171" s="182"/>
      <c r="AG171" s="182"/>
      <c r="AH171" s="182"/>
      <c r="AI171" s="182"/>
      <c r="AJ171" s="182"/>
      <c r="AK171" s="182"/>
      <c r="AL171" s="182"/>
      <c r="AM171" s="182"/>
      <c r="AN171" s="182"/>
      <c r="AO171" s="182"/>
      <c r="AP171" s="182"/>
      <c r="AQ171" s="182"/>
      <c r="AR171" s="182"/>
      <c r="AS171" s="182"/>
    </row>
    <row r="172" spans="1:45">
      <c r="A172" s="263"/>
      <c r="B172" s="260"/>
      <c r="C172" s="244"/>
      <c r="D172" s="184"/>
      <c r="E172" s="185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70" t="str">
        <f t="shared" si="51"/>
        <v/>
      </c>
      <c r="U172" s="170" t="str">
        <f t="shared" si="52"/>
        <v/>
      </c>
      <c r="V172" s="170" t="str">
        <f t="shared" si="53"/>
        <v/>
      </c>
      <c r="W172" s="170" t="str">
        <f t="shared" si="54"/>
        <v/>
      </c>
      <c r="X172" s="170" t="str">
        <f t="shared" si="41"/>
        <v/>
      </c>
      <c r="Y172" s="170" t="str">
        <f t="shared" si="42"/>
        <v/>
      </c>
      <c r="Z172" s="170" t="str">
        <f t="shared" si="43"/>
        <v/>
      </c>
      <c r="AA172" s="170" t="str">
        <f t="shared" si="55"/>
        <v/>
      </c>
      <c r="AB172" s="170" t="str">
        <f t="shared" si="56"/>
        <v/>
      </c>
      <c r="AC172" s="172" t="str">
        <f t="shared" si="57"/>
        <v/>
      </c>
      <c r="AE172" s="182"/>
      <c r="AF172" s="182"/>
      <c r="AG172" s="182"/>
      <c r="AH172" s="182"/>
      <c r="AI172" s="182"/>
      <c r="AJ172" s="182"/>
      <c r="AK172" s="182"/>
      <c r="AL172" s="182"/>
      <c r="AM172" s="182"/>
      <c r="AN172" s="182"/>
      <c r="AO172" s="182"/>
      <c r="AP172" s="182"/>
      <c r="AQ172" s="182"/>
      <c r="AR172" s="182"/>
      <c r="AS172" s="182"/>
    </row>
    <row r="173" spans="1:45">
      <c r="A173" s="263"/>
      <c r="B173" s="261"/>
      <c r="C173" s="245"/>
      <c r="D173" s="184"/>
      <c r="E173" s="185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70" t="str">
        <f t="shared" si="51"/>
        <v/>
      </c>
      <c r="U173" s="170" t="str">
        <f t="shared" si="52"/>
        <v/>
      </c>
      <c r="V173" s="170" t="str">
        <f t="shared" si="53"/>
        <v/>
      </c>
      <c r="W173" s="170" t="str">
        <f t="shared" si="54"/>
        <v/>
      </c>
      <c r="X173" s="170" t="str">
        <f t="shared" si="41"/>
        <v/>
      </c>
      <c r="Y173" s="170" t="str">
        <f t="shared" si="42"/>
        <v/>
      </c>
      <c r="Z173" s="170"/>
      <c r="AA173" s="170" t="str">
        <f t="shared" si="55"/>
        <v/>
      </c>
      <c r="AB173" s="170" t="str">
        <f t="shared" si="56"/>
        <v/>
      </c>
      <c r="AC173" s="172" t="str">
        <f t="shared" si="57"/>
        <v/>
      </c>
      <c r="AE173" s="182"/>
      <c r="AF173" s="182"/>
      <c r="AG173" s="182"/>
      <c r="AH173" s="182"/>
      <c r="AI173" s="182"/>
      <c r="AJ173" s="182"/>
      <c r="AK173" s="182"/>
      <c r="AL173" s="182"/>
      <c r="AM173" s="182"/>
      <c r="AN173" s="182"/>
      <c r="AO173" s="182"/>
      <c r="AP173" s="182"/>
      <c r="AQ173" s="182"/>
      <c r="AR173" s="182"/>
      <c r="AS173" s="182"/>
    </row>
    <row r="174" spans="1:45" ht="15" customHeight="1">
      <c r="A174" s="263">
        <v>22</v>
      </c>
      <c r="B174" s="252"/>
      <c r="C174" s="243"/>
      <c r="D174" s="184"/>
      <c r="E174" s="185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70" t="str">
        <f t="shared" si="51"/>
        <v/>
      </c>
      <c r="U174" s="170" t="str">
        <f t="shared" si="52"/>
        <v/>
      </c>
      <c r="V174" s="170" t="str">
        <f t="shared" si="53"/>
        <v/>
      </c>
      <c r="W174" s="170" t="str">
        <f t="shared" si="54"/>
        <v/>
      </c>
      <c r="X174" s="170" t="str">
        <f t="shared" si="41"/>
        <v/>
      </c>
      <c r="Y174" s="170" t="str">
        <f t="shared" si="42"/>
        <v/>
      </c>
      <c r="Z174" s="170" t="str">
        <f t="shared" si="43"/>
        <v/>
      </c>
      <c r="AA174" s="170" t="str">
        <f t="shared" si="55"/>
        <v/>
      </c>
      <c r="AB174" s="170" t="str">
        <f t="shared" si="56"/>
        <v/>
      </c>
      <c r="AC174" s="172" t="str">
        <f t="shared" si="57"/>
        <v/>
      </c>
      <c r="AE174" s="182"/>
      <c r="AF174" s="182"/>
      <c r="AG174" s="182"/>
      <c r="AH174" s="182"/>
      <c r="AI174" s="182"/>
      <c r="AJ174" s="182"/>
      <c r="AK174" s="182"/>
      <c r="AL174" s="182"/>
      <c r="AM174" s="182"/>
      <c r="AN174" s="182"/>
      <c r="AO174" s="182"/>
      <c r="AP174" s="182"/>
      <c r="AQ174" s="182"/>
      <c r="AR174" s="182"/>
      <c r="AS174" s="182"/>
    </row>
    <row r="175" spans="1:45">
      <c r="A175" s="263"/>
      <c r="B175" s="260"/>
      <c r="C175" s="244"/>
      <c r="D175" s="184"/>
      <c r="E175" s="185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70" t="str">
        <f t="shared" si="51"/>
        <v/>
      </c>
      <c r="U175" s="170" t="str">
        <f t="shared" si="52"/>
        <v/>
      </c>
      <c r="V175" s="170" t="str">
        <f t="shared" si="53"/>
        <v/>
      </c>
      <c r="W175" s="170" t="str">
        <f t="shared" si="54"/>
        <v/>
      </c>
      <c r="X175" s="170" t="str">
        <f t="shared" si="41"/>
        <v/>
      </c>
      <c r="Y175" s="170" t="str">
        <f t="shared" si="42"/>
        <v/>
      </c>
      <c r="Z175" s="170" t="str">
        <f t="shared" si="43"/>
        <v/>
      </c>
      <c r="AA175" s="170" t="str">
        <f t="shared" si="55"/>
        <v/>
      </c>
      <c r="AB175" s="170" t="str">
        <f t="shared" si="56"/>
        <v/>
      </c>
      <c r="AC175" s="172" t="str">
        <f t="shared" si="57"/>
        <v/>
      </c>
      <c r="AE175" s="182"/>
      <c r="AF175" s="182"/>
      <c r="AG175" s="182"/>
      <c r="AH175" s="182"/>
      <c r="AI175" s="182"/>
      <c r="AJ175" s="182"/>
      <c r="AK175" s="182"/>
      <c r="AL175" s="182"/>
      <c r="AM175" s="182"/>
      <c r="AN175" s="182"/>
      <c r="AO175" s="182"/>
      <c r="AP175" s="182"/>
      <c r="AQ175" s="182"/>
      <c r="AR175" s="182"/>
      <c r="AS175" s="182"/>
    </row>
    <row r="176" spans="1:45">
      <c r="A176" s="263"/>
      <c r="B176" s="260"/>
      <c r="C176" s="244"/>
      <c r="D176" s="184"/>
      <c r="E176" s="185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70" t="str">
        <f t="shared" si="51"/>
        <v/>
      </c>
      <c r="U176" s="170" t="str">
        <f t="shared" si="52"/>
        <v/>
      </c>
      <c r="V176" s="170" t="str">
        <f t="shared" si="53"/>
        <v/>
      </c>
      <c r="W176" s="170" t="str">
        <f t="shared" si="54"/>
        <v/>
      </c>
      <c r="X176" s="170" t="str">
        <f t="shared" si="41"/>
        <v/>
      </c>
      <c r="Y176" s="170" t="str">
        <f t="shared" si="42"/>
        <v/>
      </c>
      <c r="Z176" s="170" t="str">
        <f t="shared" si="43"/>
        <v/>
      </c>
      <c r="AA176" s="170" t="str">
        <f t="shared" si="55"/>
        <v/>
      </c>
      <c r="AB176" s="170" t="str">
        <f t="shared" si="56"/>
        <v/>
      </c>
      <c r="AC176" s="172" t="str">
        <f t="shared" si="57"/>
        <v/>
      </c>
      <c r="AE176" s="182"/>
      <c r="AF176" s="182"/>
      <c r="AG176" s="182"/>
      <c r="AH176" s="182"/>
      <c r="AI176" s="182"/>
      <c r="AJ176" s="182"/>
      <c r="AK176" s="182"/>
      <c r="AL176" s="182"/>
      <c r="AM176" s="182"/>
      <c r="AN176" s="182"/>
      <c r="AO176" s="182"/>
      <c r="AP176" s="182"/>
      <c r="AQ176" s="182"/>
      <c r="AR176" s="182"/>
      <c r="AS176" s="182"/>
    </row>
    <row r="177" spans="1:45">
      <c r="A177" s="263"/>
      <c r="B177" s="260"/>
      <c r="C177" s="244"/>
      <c r="D177" s="184"/>
      <c r="E177" s="185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70" t="str">
        <f t="shared" si="51"/>
        <v/>
      </c>
      <c r="U177" s="170" t="str">
        <f t="shared" si="52"/>
        <v/>
      </c>
      <c r="V177" s="170" t="str">
        <f t="shared" si="53"/>
        <v/>
      </c>
      <c r="W177" s="170" t="str">
        <f t="shared" si="54"/>
        <v/>
      </c>
      <c r="X177" s="170" t="str">
        <f t="shared" si="41"/>
        <v/>
      </c>
      <c r="Y177" s="170" t="str">
        <f t="shared" si="42"/>
        <v/>
      </c>
      <c r="Z177" s="170" t="str">
        <f t="shared" si="43"/>
        <v/>
      </c>
      <c r="AA177" s="170" t="str">
        <f t="shared" si="55"/>
        <v/>
      </c>
      <c r="AB177" s="170" t="str">
        <f t="shared" si="56"/>
        <v/>
      </c>
      <c r="AC177" s="172" t="str">
        <f t="shared" si="57"/>
        <v/>
      </c>
      <c r="AE177" s="182"/>
      <c r="AF177" s="182"/>
      <c r="AG177" s="182"/>
      <c r="AH177" s="182"/>
      <c r="AI177" s="182"/>
      <c r="AJ177" s="182"/>
      <c r="AK177" s="182"/>
      <c r="AL177" s="182"/>
      <c r="AM177" s="182"/>
      <c r="AN177" s="182"/>
      <c r="AO177" s="182"/>
      <c r="AP177" s="182"/>
      <c r="AQ177" s="182"/>
      <c r="AR177" s="182"/>
      <c r="AS177" s="182"/>
    </row>
    <row r="178" spans="1:45">
      <c r="A178" s="263"/>
      <c r="B178" s="260"/>
      <c r="C178" s="244"/>
      <c r="D178" s="184"/>
      <c r="E178" s="185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70" t="str">
        <f t="shared" si="51"/>
        <v/>
      </c>
      <c r="U178" s="170" t="str">
        <f t="shared" si="52"/>
        <v/>
      </c>
      <c r="V178" s="170" t="str">
        <f t="shared" si="53"/>
        <v/>
      </c>
      <c r="W178" s="170" t="str">
        <f t="shared" si="54"/>
        <v/>
      </c>
      <c r="X178" s="170" t="str">
        <f t="shared" si="41"/>
        <v/>
      </c>
      <c r="Y178" s="170" t="str">
        <f t="shared" si="42"/>
        <v/>
      </c>
      <c r="Z178" s="170" t="str">
        <f t="shared" si="43"/>
        <v/>
      </c>
      <c r="AA178" s="170" t="str">
        <f t="shared" si="55"/>
        <v/>
      </c>
      <c r="AB178" s="170" t="str">
        <f t="shared" si="56"/>
        <v/>
      </c>
      <c r="AC178" s="172" t="str">
        <f t="shared" si="57"/>
        <v/>
      </c>
      <c r="AE178" s="182"/>
      <c r="AF178" s="182"/>
      <c r="AG178" s="182"/>
      <c r="AH178" s="182"/>
      <c r="AI178" s="182"/>
      <c r="AJ178" s="182"/>
      <c r="AK178" s="182"/>
      <c r="AL178" s="182"/>
      <c r="AM178" s="182"/>
      <c r="AN178" s="182"/>
      <c r="AO178" s="182"/>
      <c r="AP178" s="182"/>
      <c r="AQ178" s="182"/>
      <c r="AR178" s="182"/>
      <c r="AS178" s="182"/>
    </row>
    <row r="179" spans="1:45">
      <c r="A179" s="263"/>
      <c r="B179" s="260"/>
      <c r="C179" s="244"/>
      <c r="D179" s="184"/>
      <c r="E179" s="185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70" t="str">
        <f t="shared" si="51"/>
        <v/>
      </c>
      <c r="U179" s="170" t="str">
        <f t="shared" si="52"/>
        <v/>
      </c>
      <c r="V179" s="170" t="str">
        <f t="shared" si="53"/>
        <v/>
      </c>
      <c r="W179" s="170" t="str">
        <f t="shared" si="54"/>
        <v/>
      </c>
      <c r="X179" s="170" t="str">
        <f t="shared" si="41"/>
        <v/>
      </c>
      <c r="Y179" s="170" t="str">
        <f t="shared" si="42"/>
        <v/>
      </c>
      <c r="Z179" s="170" t="str">
        <f t="shared" si="43"/>
        <v/>
      </c>
      <c r="AA179" s="170" t="str">
        <f t="shared" si="55"/>
        <v/>
      </c>
      <c r="AB179" s="170" t="str">
        <f t="shared" si="56"/>
        <v/>
      </c>
      <c r="AC179" s="172" t="str">
        <f t="shared" si="57"/>
        <v/>
      </c>
      <c r="AE179" s="182"/>
      <c r="AF179" s="182"/>
      <c r="AG179" s="182"/>
      <c r="AH179" s="182"/>
      <c r="AI179" s="182"/>
      <c r="AJ179" s="182"/>
      <c r="AK179" s="182"/>
      <c r="AL179" s="182"/>
      <c r="AM179" s="182"/>
      <c r="AN179" s="182"/>
      <c r="AO179" s="182"/>
      <c r="AP179" s="182"/>
      <c r="AQ179" s="182"/>
      <c r="AR179" s="182"/>
      <c r="AS179" s="182"/>
    </row>
    <row r="180" spans="1:45">
      <c r="A180" s="263"/>
      <c r="B180" s="260"/>
      <c r="C180" s="244"/>
      <c r="D180" s="184"/>
      <c r="E180" s="185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70" t="str">
        <f t="shared" si="51"/>
        <v/>
      </c>
      <c r="U180" s="170" t="str">
        <f t="shared" si="52"/>
        <v/>
      </c>
      <c r="V180" s="170" t="str">
        <f t="shared" si="53"/>
        <v/>
      </c>
      <c r="W180" s="170" t="str">
        <f t="shared" si="54"/>
        <v/>
      </c>
      <c r="X180" s="170" t="str">
        <f t="shared" si="41"/>
        <v/>
      </c>
      <c r="Y180" s="170" t="str">
        <f t="shared" si="42"/>
        <v/>
      </c>
      <c r="Z180" s="170" t="str">
        <f t="shared" si="43"/>
        <v/>
      </c>
      <c r="AA180" s="170" t="str">
        <f t="shared" si="55"/>
        <v/>
      </c>
      <c r="AB180" s="170" t="str">
        <f t="shared" si="56"/>
        <v/>
      </c>
      <c r="AC180" s="172" t="str">
        <f t="shared" si="57"/>
        <v/>
      </c>
      <c r="AE180" s="182"/>
      <c r="AF180" s="182"/>
      <c r="AG180" s="182"/>
      <c r="AH180" s="182"/>
      <c r="AI180" s="182"/>
      <c r="AJ180" s="182"/>
      <c r="AK180" s="182"/>
      <c r="AL180" s="182"/>
      <c r="AM180" s="182"/>
      <c r="AN180" s="182"/>
      <c r="AO180" s="182"/>
      <c r="AP180" s="182"/>
      <c r="AQ180" s="182"/>
      <c r="AR180" s="182"/>
      <c r="AS180" s="182"/>
    </row>
    <row r="181" spans="1:45">
      <c r="A181" s="263"/>
      <c r="B181" s="261"/>
      <c r="C181" s="245"/>
      <c r="D181" s="184"/>
      <c r="E181" s="185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70" t="str">
        <f t="shared" si="51"/>
        <v/>
      </c>
      <c r="U181" s="170" t="str">
        <f t="shared" si="52"/>
        <v/>
      </c>
      <c r="V181" s="170" t="str">
        <f t="shared" si="53"/>
        <v/>
      </c>
      <c r="W181" s="170" t="str">
        <f t="shared" si="54"/>
        <v/>
      </c>
      <c r="X181" s="170" t="str">
        <f t="shared" si="41"/>
        <v/>
      </c>
      <c r="Y181" s="170" t="str">
        <f t="shared" si="42"/>
        <v/>
      </c>
      <c r="Z181" s="170"/>
      <c r="AA181" s="170" t="str">
        <f t="shared" si="55"/>
        <v/>
      </c>
      <c r="AB181" s="170" t="str">
        <f t="shared" si="56"/>
        <v/>
      </c>
      <c r="AC181" s="172" t="str">
        <f t="shared" si="57"/>
        <v/>
      </c>
      <c r="AE181" s="182"/>
      <c r="AF181" s="182"/>
      <c r="AG181" s="182"/>
      <c r="AH181" s="182"/>
      <c r="AI181" s="182"/>
      <c r="AJ181" s="182"/>
      <c r="AK181" s="182"/>
      <c r="AL181" s="182"/>
      <c r="AM181" s="182"/>
      <c r="AN181" s="182"/>
      <c r="AO181" s="182"/>
      <c r="AP181" s="182"/>
      <c r="AQ181" s="182"/>
      <c r="AR181" s="182"/>
      <c r="AS181" s="182"/>
    </row>
    <row r="182" spans="1:45" ht="18" customHeight="1">
      <c r="A182" s="263">
        <v>23</v>
      </c>
      <c r="B182" s="252"/>
      <c r="C182" s="243"/>
      <c r="D182" s="184"/>
      <c r="E182" s="185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70" t="str">
        <f t="shared" si="51"/>
        <v/>
      </c>
      <c r="U182" s="170" t="str">
        <f t="shared" si="52"/>
        <v/>
      </c>
      <c r="V182" s="170" t="str">
        <f t="shared" si="53"/>
        <v/>
      </c>
      <c r="W182" s="170" t="str">
        <f t="shared" si="54"/>
        <v/>
      </c>
      <c r="X182" s="170" t="str">
        <f t="shared" si="41"/>
        <v/>
      </c>
      <c r="Y182" s="170" t="str">
        <f t="shared" si="42"/>
        <v/>
      </c>
      <c r="Z182" s="170" t="str">
        <f t="shared" si="43"/>
        <v/>
      </c>
      <c r="AA182" s="170" t="str">
        <f t="shared" si="55"/>
        <v/>
      </c>
      <c r="AB182" s="170" t="str">
        <f t="shared" si="56"/>
        <v/>
      </c>
      <c r="AC182" s="172" t="str">
        <f t="shared" si="57"/>
        <v/>
      </c>
      <c r="AE182" s="182"/>
      <c r="AF182" s="182"/>
      <c r="AG182" s="182"/>
      <c r="AH182" s="182"/>
      <c r="AI182" s="182"/>
      <c r="AJ182" s="182"/>
      <c r="AK182" s="182"/>
      <c r="AL182" s="182"/>
      <c r="AM182" s="182"/>
      <c r="AN182" s="182"/>
      <c r="AO182" s="182"/>
      <c r="AP182" s="182"/>
      <c r="AQ182" s="182"/>
      <c r="AR182" s="182"/>
      <c r="AS182" s="182"/>
    </row>
    <row r="183" spans="1:45">
      <c r="A183" s="263"/>
      <c r="B183" s="260"/>
      <c r="C183" s="244"/>
      <c r="D183" s="184"/>
      <c r="E183" s="185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70" t="str">
        <f t="shared" si="51"/>
        <v/>
      </c>
      <c r="U183" s="170" t="str">
        <f t="shared" si="52"/>
        <v/>
      </c>
      <c r="V183" s="170" t="str">
        <f t="shared" si="53"/>
        <v/>
      </c>
      <c r="W183" s="170" t="str">
        <f t="shared" si="54"/>
        <v/>
      </c>
      <c r="X183" s="170" t="str">
        <f t="shared" si="41"/>
        <v/>
      </c>
      <c r="Y183" s="170" t="str">
        <f t="shared" si="42"/>
        <v/>
      </c>
      <c r="Z183" s="170" t="str">
        <f t="shared" si="43"/>
        <v/>
      </c>
      <c r="AA183" s="170" t="str">
        <f t="shared" si="55"/>
        <v/>
      </c>
      <c r="AB183" s="170" t="str">
        <f t="shared" si="56"/>
        <v/>
      </c>
      <c r="AC183" s="172" t="str">
        <f t="shared" si="57"/>
        <v/>
      </c>
      <c r="AE183" s="182"/>
      <c r="AF183" s="182"/>
      <c r="AG183" s="182"/>
      <c r="AH183" s="182"/>
      <c r="AI183" s="182"/>
      <c r="AJ183" s="182"/>
      <c r="AK183" s="182"/>
      <c r="AL183" s="182"/>
      <c r="AM183" s="182"/>
      <c r="AN183" s="182"/>
      <c r="AO183" s="182"/>
      <c r="AP183" s="182"/>
      <c r="AQ183" s="182"/>
      <c r="AR183" s="182"/>
      <c r="AS183" s="182"/>
    </row>
    <row r="184" spans="1:45">
      <c r="A184" s="263"/>
      <c r="B184" s="260"/>
      <c r="C184" s="244"/>
      <c r="D184" s="184"/>
      <c r="E184" s="185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70" t="str">
        <f t="shared" si="51"/>
        <v/>
      </c>
      <c r="U184" s="170" t="str">
        <f t="shared" si="52"/>
        <v/>
      </c>
      <c r="V184" s="170" t="str">
        <f t="shared" si="53"/>
        <v/>
      </c>
      <c r="W184" s="170" t="str">
        <f t="shared" si="54"/>
        <v/>
      </c>
      <c r="X184" s="170" t="str">
        <f t="shared" si="41"/>
        <v/>
      </c>
      <c r="Y184" s="170" t="str">
        <f t="shared" si="42"/>
        <v/>
      </c>
      <c r="Z184" s="170" t="str">
        <f t="shared" si="43"/>
        <v/>
      </c>
      <c r="AA184" s="170" t="str">
        <f t="shared" si="55"/>
        <v/>
      </c>
      <c r="AB184" s="170" t="str">
        <f t="shared" si="56"/>
        <v/>
      </c>
      <c r="AC184" s="172" t="str">
        <f t="shared" si="57"/>
        <v/>
      </c>
      <c r="AE184" s="182"/>
      <c r="AF184" s="182"/>
      <c r="AG184" s="182"/>
      <c r="AH184" s="182"/>
      <c r="AI184" s="182"/>
      <c r="AJ184" s="182"/>
      <c r="AK184" s="182"/>
      <c r="AL184" s="182"/>
      <c r="AM184" s="182"/>
      <c r="AN184" s="182"/>
      <c r="AO184" s="182"/>
      <c r="AP184" s="182"/>
      <c r="AQ184" s="182"/>
      <c r="AR184" s="182"/>
      <c r="AS184" s="182"/>
    </row>
    <row r="185" spans="1:45">
      <c r="A185" s="263"/>
      <c r="B185" s="260"/>
      <c r="C185" s="244"/>
      <c r="D185" s="184"/>
      <c r="E185" s="185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70" t="str">
        <f t="shared" si="51"/>
        <v/>
      </c>
      <c r="U185" s="170" t="str">
        <f t="shared" si="52"/>
        <v/>
      </c>
      <c r="V185" s="170" t="str">
        <f t="shared" si="53"/>
        <v/>
      </c>
      <c r="W185" s="170" t="str">
        <f t="shared" si="54"/>
        <v/>
      </c>
      <c r="X185" s="170" t="str">
        <f t="shared" si="41"/>
        <v/>
      </c>
      <c r="Y185" s="170" t="str">
        <f t="shared" si="42"/>
        <v/>
      </c>
      <c r="Z185" s="170" t="str">
        <f t="shared" si="43"/>
        <v/>
      </c>
      <c r="AA185" s="170" t="str">
        <f t="shared" si="55"/>
        <v/>
      </c>
      <c r="AB185" s="170" t="str">
        <f t="shared" si="56"/>
        <v/>
      </c>
      <c r="AC185" s="172" t="str">
        <f t="shared" si="57"/>
        <v/>
      </c>
      <c r="AE185" s="182"/>
      <c r="AF185" s="182"/>
      <c r="AG185" s="182"/>
      <c r="AH185" s="182"/>
      <c r="AI185" s="182"/>
      <c r="AJ185" s="182"/>
      <c r="AK185" s="182"/>
      <c r="AL185" s="182"/>
      <c r="AM185" s="182"/>
      <c r="AN185" s="182"/>
      <c r="AO185" s="182"/>
      <c r="AP185" s="182"/>
      <c r="AQ185" s="182"/>
      <c r="AR185" s="182"/>
      <c r="AS185" s="182"/>
    </row>
    <row r="186" spans="1:45">
      <c r="A186" s="263"/>
      <c r="B186" s="260"/>
      <c r="C186" s="244"/>
      <c r="D186" s="184"/>
      <c r="E186" s="185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70" t="str">
        <f t="shared" si="51"/>
        <v/>
      </c>
      <c r="U186" s="170" t="str">
        <f t="shared" si="52"/>
        <v/>
      </c>
      <c r="V186" s="170" t="str">
        <f t="shared" si="53"/>
        <v/>
      </c>
      <c r="W186" s="170" t="str">
        <f t="shared" si="54"/>
        <v/>
      </c>
      <c r="X186" s="170" t="str">
        <f t="shared" si="41"/>
        <v/>
      </c>
      <c r="Y186" s="170" t="str">
        <f t="shared" si="42"/>
        <v/>
      </c>
      <c r="Z186" s="170" t="str">
        <f t="shared" si="43"/>
        <v/>
      </c>
      <c r="AA186" s="170" t="str">
        <f t="shared" si="55"/>
        <v/>
      </c>
      <c r="AB186" s="170" t="str">
        <f t="shared" si="56"/>
        <v/>
      </c>
      <c r="AC186" s="172" t="str">
        <f t="shared" si="57"/>
        <v/>
      </c>
      <c r="AE186" s="182"/>
      <c r="AF186" s="182"/>
      <c r="AG186" s="182"/>
      <c r="AH186" s="182"/>
      <c r="AI186" s="182"/>
      <c r="AJ186" s="182"/>
      <c r="AK186" s="182"/>
      <c r="AL186" s="182"/>
      <c r="AM186" s="182"/>
      <c r="AN186" s="182"/>
      <c r="AO186" s="182"/>
      <c r="AP186" s="182"/>
      <c r="AQ186" s="182"/>
      <c r="AR186" s="182"/>
      <c r="AS186" s="182"/>
    </row>
    <row r="187" spans="1:45">
      <c r="A187" s="263"/>
      <c r="B187" s="260"/>
      <c r="C187" s="244"/>
      <c r="D187" s="184"/>
      <c r="E187" s="185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70" t="str">
        <f t="shared" si="51"/>
        <v/>
      </c>
      <c r="U187" s="170" t="str">
        <f t="shared" si="52"/>
        <v/>
      </c>
      <c r="V187" s="170" t="str">
        <f t="shared" si="53"/>
        <v/>
      </c>
      <c r="W187" s="170" t="str">
        <f t="shared" si="54"/>
        <v/>
      </c>
      <c r="X187" s="170" t="str">
        <f t="shared" si="41"/>
        <v/>
      </c>
      <c r="Y187" s="170" t="str">
        <f t="shared" si="42"/>
        <v/>
      </c>
      <c r="Z187" s="170" t="str">
        <f t="shared" si="43"/>
        <v/>
      </c>
      <c r="AA187" s="170" t="str">
        <f t="shared" si="55"/>
        <v/>
      </c>
      <c r="AB187" s="170" t="str">
        <f t="shared" si="56"/>
        <v/>
      </c>
      <c r="AC187" s="172" t="str">
        <f t="shared" si="57"/>
        <v/>
      </c>
      <c r="AE187" s="182"/>
      <c r="AF187" s="182"/>
      <c r="AG187" s="182"/>
      <c r="AH187" s="182"/>
      <c r="AI187" s="182"/>
      <c r="AJ187" s="182"/>
      <c r="AK187" s="182"/>
      <c r="AL187" s="182"/>
      <c r="AM187" s="182"/>
      <c r="AN187" s="182"/>
      <c r="AO187" s="182"/>
      <c r="AP187" s="182"/>
      <c r="AQ187" s="182"/>
      <c r="AR187" s="182"/>
      <c r="AS187" s="182"/>
    </row>
    <row r="188" spans="1:45">
      <c r="A188" s="263"/>
      <c r="B188" s="260"/>
      <c r="C188" s="244"/>
      <c r="D188" s="184"/>
      <c r="E188" s="185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70" t="str">
        <f t="shared" si="51"/>
        <v/>
      </c>
      <c r="U188" s="170" t="str">
        <f t="shared" si="52"/>
        <v/>
      </c>
      <c r="V188" s="170" t="str">
        <f t="shared" si="53"/>
        <v/>
      </c>
      <c r="W188" s="170" t="str">
        <f t="shared" si="54"/>
        <v/>
      </c>
      <c r="X188" s="170" t="str">
        <f t="shared" si="41"/>
        <v/>
      </c>
      <c r="Y188" s="170" t="str">
        <f t="shared" si="42"/>
        <v/>
      </c>
      <c r="Z188" s="170" t="str">
        <f t="shared" si="43"/>
        <v/>
      </c>
      <c r="AA188" s="170" t="str">
        <f t="shared" si="55"/>
        <v/>
      </c>
      <c r="AB188" s="170" t="str">
        <f t="shared" si="56"/>
        <v/>
      </c>
      <c r="AC188" s="172" t="str">
        <f t="shared" si="57"/>
        <v/>
      </c>
      <c r="AE188" s="182"/>
      <c r="AF188" s="182"/>
      <c r="AG188" s="182"/>
      <c r="AH188" s="182"/>
      <c r="AI188" s="182"/>
      <c r="AJ188" s="182"/>
      <c r="AK188" s="182"/>
      <c r="AL188" s="182"/>
      <c r="AM188" s="182"/>
      <c r="AN188" s="182"/>
      <c r="AO188" s="182"/>
      <c r="AP188" s="182"/>
      <c r="AQ188" s="182"/>
      <c r="AR188" s="182"/>
      <c r="AS188" s="182"/>
    </row>
    <row r="189" spans="1:45">
      <c r="A189" s="263"/>
      <c r="B189" s="261"/>
      <c r="C189" s="245"/>
      <c r="D189" s="184"/>
      <c r="E189" s="185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70" t="str">
        <f t="shared" si="51"/>
        <v/>
      </c>
      <c r="U189" s="170" t="str">
        <f t="shared" si="52"/>
        <v/>
      </c>
      <c r="V189" s="170" t="str">
        <f t="shared" si="53"/>
        <v/>
      </c>
      <c r="W189" s="170" t="str">
        <f t="shared" si="54"/>
        <v/>
      </c>
      <c r="X189" s="170" t="str">
        <f t="shared" si="41"/>
        <v/>
      </c>
      <c r="Y189" s="170" t="str">
        <f t="shared" si="42"/>
        <v/>
      </c>
      <c r="Z189" s="170"/>
      <c r="AA189" s="170" t="str">
        <f t="shared" si="55"/>
        <v/>
      </c>
      <c r="AB189" s="170" t="str">
        <f t="shared" si="56"/>
        <v/>
      </c>
      <c r="AC189" s="172" t="str">
        <f t="shared" si="57"/>
        <v/>
      </c>
      <c r="AE189" s="182"/>
      <c r="AF189" s="182"/>
      <c r="AG189" s="182"/>
      <c r="AH189" s="182"/>
      <c r="AI189" s="182"/>
      <c r="AJ189" s="182"/>
      <c r="AK189" s="182"/>
      <c r="AL189" s="182"/>
      <c r="AM189" s="182"/>
      <c r="AN189" s="182"/>
      <c r="AO189" s="182"/>
      <c r="AP189" s="182"/>
      <c r="AQ189" s="182"/>
      <c r="AR189" s="182"/>
      <c r="AS189" s="182"/>
    </row>
    <row r="190" spans="1:45" ht="15" customHeight="1">
      <c r="A190" s="263">
        <v>24</v>
      </c>
      <c r="B190" s="252"/>
      <c r="C190" s="243"/>
      <c r="D190" s="184"/>
      <c r="E190" s="185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70" t="str">
        <f t="shared" si="51"/>
        <v/>
      </c>
      <c r="U190" s="170" t="str">
        <f t="shared" si="52"/>
        <v/>
      </c>
      <c r="V190" s="170" t="str">
        <f t="shared" si="53"/>
        <v/>
      </c>
      <c r="W190" s="170" t="str">
        <f t="shared" si="54"/>
        <v/>
      </c>
      <c r="X190" s="170" t="str">
        <f t="shared" si="41"/>
        <v/>
      </c>
      <c r="Y190" s="170" t="str">
        <f t="shared" si="42"/>
        <v/>
      </c>
      <c r="Z190" s="170" t="str">
        <f t="shared" si="43"/>
        <v/>
      </c>
      <c r="AA190" s="170" t="str">
        <f t="shared" si="55"/>
        <v/>
      </c>
      <c r="AB190" s="170" t="str">
        <f t="shared" si="56"/>
        <v/>
      </c>
      <c r="AC190" s="172" t="str">
        <f t="shared" si="57"/>
        <v/>
      </c>
      <c r="AE190" s="182"/>
      <c r="AF190" s="182"/>
      <c r="AG190" s="182"/>
      <c r="AH190" s="182"/>
      <c r="AI190" s="182"/>
      <c r="AJ190" s="182"/>
      <c r="AK190" s="182"/>
      <c r="AL190" s="182"/>
      <c r="AM190" s="182"/>
      <c r="AN190" s="182"/>
      <c r="AO190" s="182"/>
      <c r="AP190" s="182"/>
      <c r="AQ190" s="182"/>
      <c r="AR190" s="182"/>
      <c r="AS190" s="182"/>
    </row>
    <row r="191" spans="1:45">
      <c r="A191" s="263"/>
      <c r="B191" s="260"/>
      <c r="C191" s="244"/>
      <c r="D191" s="184"/>
      <c r="E191" s="185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70" t="str">
        <f t="shared" si="51"/>
        <v/>
      </c>
      <c r="U191" s="170" t="str">
        <f t="shared" si="52"/>
        <v/>
      </c>
      <c r="V191" s="170" t="str">
        <f t="shared" si="53"/>
        <v/>
      </c>
      <c r="W191" s="170" t="str">
        <f t="shared" si="54"/>
        <v/>
      </c>
      <c r="X191" s="170" t="str">
        <f t="shared" si="41"/>
        <v/>
      </c>
      <c r="Y191" s="170" t="str">
        <f t="shared" si="42"/>
        <v/>
      </c>
      <c r="Z191" s="170" t="str">
        <f t="shared" si="43"/>
        <v/>
      </c>
      <c r="AA191" s="170" t="str">
        <f t="shared" si="55"/>
        <v/>
      </c>
      <c r="AB191" s="170" t="str">
        <f t="shared" si="56"/>
        <v/>
      </c>
      <c r="AC191" s="172" t="str">
        <f t="shared" si="57"/>
        <v/>
      </c>
      <c r="AE191" s="182"/>
      <c r="AF191" s="182"/>
      <c r="AG191" s="182"/>
      <c r="AH191" s="182"/>
      <c r="AI191" s="182"/>
      <c r="AJ191" s="182"/>
      <c r="AK191" s="182"/>
      <c r="AL191" s="182"/>
      <c r="AM191" s="182"/>
      <c r="AN191" s="182"/>
      <c r="AO191" s="182"/>
      <c r="AP191" s="182"/>
      <c r="AQ191" s="182"/>
      <c r="AR191" s="182"/>
      <c r="AS191" s="182"/>
    </row>
    <row r="192" spans="1:45">
      <c r="A192" s="263"/>
      <c r="B192" s="260"/>
      <c r="C192" s="244"/>
      <c r="D192" s="184"/>
      <c r="E192" s="185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70" t="str">
        <f t="shared" si="51"/>
        <v/>
      </c>
      <c r="U192" s="170" t="str">
        <f t="shared" si="52"/>
        <v/>
      </c>
      <c r="V192" s="170" t="str">
        <f t="shared" si="53"/>
        <v/>
      </c>
      <c r="W192" s="170" t="str">
        <f t="shared" si="54"/>
        <v/>
      </c>
      <c r="X192" s="170" t="str">
        <f t="shared" si="41"/>
        <v/>
      </c>
      <c r="Y192" s="170" t="str">
        <f t="shared" si="42"/>
        <v/>
      </c>
      <c r="Z192" s="170" t="str">
        <f t="shared" si="43"/>
        <v/>
      </c>
      <c r="AA192" s="170" t="str">
        <f t="shared" si="55"/>
        <v/>
      </c>
      <c r="AB192" s="170" t="str">
        <f t="shared" si="56"/>
        <v/>
      </c>
      <c r="AC192" s="172" t="str">
        <f t="shared" si="57"/>
        <v/>
      </c>
      <c r="AE192" s="182"/>
      <c r="AF192" s="182"/>
      <c r="AG192" s="182"/>
      <c r="AH192" s="182"/>
      <c r="AI192" s="182"/>
      <c r="AJ192" s="182"/>
      <c r="AK192" s="182"/>
      <c r="AL192" s="182"/>
      <c r="AM192" s="182"/>
      <c r="AN192" s="182"/>
      <c r="AO192" s="182"/>
      <c r="AP192" s="182"/>
      <c r="AQ192" s="182"/>
      <c r="AR192" s="182"/>
      <c r="AS192" s="182"/>
    </row>
    <row r="193" spans="1:45">
      <c r="A193" s="263"/>
      <c r="B193" s="260"/>
      <c r="C193" s="244"/>
      <c r="D193" s="184"/>
      <c r="E193" s="185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70" t="str">
        <f t="shared" si="51"/>
        <v/>
      </c>
      <c r="U193" s="170" t="str">
        <f t="shared" si="52"/>
        <v/>
      </c>
      <c r="V193" s="170" t="str">
        <f t="shared" si="53"/>
        <v/>
      </c>
      <c r="W193" s="170" t="str">
        <f t="shared" si="54"/>
        <v/>
      </c>
      <c r="X193" s="170" t="str">
        <f t="shared" si="41"/>
        <v/>
      </c>
      <c r="Y193" s="170" t="str">
        <f t="shared" si="42"/>
        <v/>
      </c>
      <c r="Z193" s="170" t="str">
        <f t="shared" si="43"/>
        <v/>
      </c>
      <c r="AA193" s="170" t="str">
        <f t="shared" si="55"/>
        <v/>
      </c>
      <c r="AB193" s="170" t="str">
        <f t="shared" si="56"/>
        <v/>
      </c>
      <c r="AC193" s="172" t="str">
        <f t="shared" si="57"/>
        <v/>
      </c>
      <c r="AE193" s="182"/>
      <c r="AF193" s="182"/>
      <c r="AG193" s="182"/>
      <c r="AH193" s="182"/>
      <c r="AI193" s="182"/>
      <c r="AJ193" s="182"/>
      <c r="AK193" s="182"/>
      <c r="AL193" s="182"/>
      <c r="AM193" s="182"/>
      <c r="AN193" s="182"/>
      <c r="AO193" s="182"/>
      <c r="AP193" s="182"/>
      <c r="AQ193" s="182"/>
      <c r="AR193" s="182"/>
      <c r="AS193" s="182"/>
    </row>
    <row r="194" spans="1:45">
      <c r="A194" s="263"/>
      <c r="B194" s="260"/>
      <c r="C194" s="244"/>
      <c r="D194" s="184"/>
      <c r="E194" s="185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70" t="str">
        <f t="shared" si="51"/>
        <v/>
      </c>
      <c r="U194" s="170" t="str">
        <f t="shared" si="52"/>
        <v/>
      </c>
      <c r="V194" s="170" t="str">
        <f t="shared" si="53"/>
        <v/>
      </c>
      <c r="W194" s="170" t="str">
        <f t="shared" si="54"/>
        <v/>
      </c>
      <c r="X194" s="170" t="str">
        <f t="shared" si="41"/>
        <v/>
      </c>
      <c r="Y194" s="170" t="str">
        <f t="shared" si="42"/>
        <v/>
      </c>
      <c r="Z194" s="170" t="str">
        <f t="shared" si="43"/>
        <v/>
      </c>
      <c r="AA194" s="170" t="str">
        <f t="shared" si="55"/>
        <v/>
      </c>
      <c r="AB194" s="170" t="str">
        <f t="shared" si="56"/>
        <v/>
      </c>
      <c r="AC194" s="172" t="str">
        <f t="shared" si="57"/>
        <v/>
      </c>
      <c r="AE194" s="182"/>
      <c r="AF194" s="182"/>
      <c r="AG194" s="182"/>
      <c r="AH194" s="182"/>
      <c r="AI194" s="182"/>
      <c r="AJ194" s="182"/>
      <c r="AK194" s="182"/>
      <c r="AL194" s="182"/>
      <c r="AM194" s="182"/>
      <c r="AN194" s="182"/>
      <c r="AO194" s="182"/>
      <c r="AP194" s="182"/>
      <c r="AQ194" s="182"/>
      <c r="AR194" s="182"/>
      <c r="AS194" s="182"/>
    </row>
    <row r="195" spans="1:45">
      <c r="A195" s="263"/>
      <c r="B195" s="260"/>
      <c r="C195" s="244"/>
      <c r="D195" s="184"/>
      <c r="E195" s="185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70" t="str">
        <f t="shared" si="51"/>
        <v/>
      </c>
      <c r="U195" s="170" t="str">
        <f t="shared" si="52"/>
        <v/>
      </c>
      <c r="V195" s="170" t="str">
        <f t="shared" si="53"/>
        <v/>
      </c>
      <c r="W195" s="170" t="str">
        <f t="shared" si="54"/>
        <v/>
      </c>
      <c r="X195" s="170" t="str">
        <f t="shared" si="41"/>
        <v/>
      </c>
      <c r="Y195" s="170" t="str">
        <f t="shared" si="42"/>
        <v/>
      </c>
      <c r="Z195" s="170" t="str">
        <f t="shared" si="43"/>
        <v/>
      </c>
      <c r="AA195" s="170" t="str">
        <f t="shared" si="55"/>
        <v/>
      </c>
      <c r="AB195" s="170" t="str">
        <f t="shared" si="56"/>
        <v/>
      </c>
      <c r="AC195" s="172" t="str">
        <f t="shared" si="57"/>
        <v/>
      </c>
      <c r="AE195" s="182"/>
      <c r="AF195" s="182"/>
      <c r="AG195" s="182"/>
      <c r="AH195" s="182"/>
      <c r="AI195" s="182"/>
      <c r="AJ195" s="182"/>
      <c r="AK195" s="182"/>
      <c r="AL195" s="182"/>
      <c r="AM195" s="182"/>
      <c r="AN195" s="182"/>
      <c r="AO195" s="182"/>
      <c r="AP195" s="182"/>
      <c r="AQ195" s="182"/>
      <c r="AR195" s="182"/>
      <c r="AS195" s="182"/>
    </row>
    <row r="196" spans="1:45">
      <c r="A196" s="263"/>
      <c r="B196" s="260"/>
      <c r="C196" s="244"/>
      <c r="D196" s="184"/>
      <c r="E196" s="185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70" t="str">
        <f t="shared" si="51"/>
        <v/>
      </c>
      <c r="U196" s="170" t="str">
        <f t="shared" si="52"/>
        <v/>
      </c>
      <c r="V196" s="170" t="str">
        <f t="shared" si="53"/>
        <v/>
      </c>
      <c r="W196" s="170" t="str">
        <f t="shared" si="54"/>
        <v/>
      </c>
      <c r="X196" s="170" t="str">
        <f t="shared" si="41"/>
        <v/>
      </c>
      <c r="Y196" s="170" t="str">
        <f t="shared" si="42"/>
        <v/>
      </c>
      <c r="Z196" s="170" t="str">
        <f t="shared" si="43"/>
        <v/>
      </c>
      <c r="AA196" s="170" t="str">
        <f t="shared" si="55"/>
        <v/>
      </c>
      <c r="AB196" s="170" t="str">
        <f t="shared" si="56"/>
        <v/>
      </c>
      <c r="AC196" s="172" t="str">
        <f t="shared" si="57"/>
        <v/>
      </c>
      <c r="AE196" s="182"/>
      <c r="AF196" s="182"/>
      <c r="AG196" s="182"/>
      <c r="AH196" s="182"/>
      <c r="AI196" s="182"/>
      <c r="AJ196" s="182"/>
      <c r="AK196" s="182"/>
      <c r="AL196" s="182"/>
      <c r="AM196" s="182"/>
      <c r="AN196" s="182"/>
      <c r="AO196" s="182"/>
      <c r="AP196" s="182"/>
      <c r="AQ196" s="182"/>
      <c r="AR196" s="182"/>
      <c r="AS196" s="182"/>
    </row>
    <row r="197" spans="1:45">
      <c r="A197" s="263"/>
      <c r="B197" s="261"/>
      <c r="C197" s="245"/>
      <c r="D197" s="184"/>
      <c r="E197" s="185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70" t="str">
        <f t="shared" si="51"/>
        <v/>
      </c>
      <c r="U197" s="170" t="str">
        <f t="shared" si="52"/>
        <v/>
      </c>
      <c r="V197" s="170" t="str">
        <f t="shared" si="53"/>
        <v/>
      </c>
      <c r="W197" s="170" t="str">
        <f t="shared" si="54"/>
        <v/>
      </c>
      <c r="X197" s="170" t="str">
        <f t="shared" si="41"/>
        <v/>
      </c>
      <c r="Y197" s="170" t="str">
        <f t="shared" si="42"/>
        <v/>
      </c>
      <c r="Z197" s="170"/>
      <c r="AA197" s="170" t="str">
        <f t="shared" si="55"/>
        <v/>
      </c>
      <c r="AB197" s="170" t="str">
        <f t="shared" si="56"/>
        <v/>
      </c>
      <c r="AC197" s="172" t="str">
        <f t="shared" si="57"/>
        <v/>
      </c>
      <c r="AE197" s="182"/>
      <c r="AF197" s="182"/>
      <c r="AG197" s="182"/>
      <c r="AH197" s="182"/>
      <c r="AI197" s="182"/>
      <c r="AJ197" s="182"/>
      <c r="AK197" s="182"/>
      <c r="AL197" s="182"/>
      <c r="AM197" s="182"/>
      <c r="AN197" s="182"/>
      <c r="AO197" s="182"/>
      <c r="AP197" s="182"/>
      <c r="AQ197" s="182"/>
      <c r="AR197" s="182"/>
      <c r="AS197" s="182"/>
    </row>
    <row r="198" spans="1:45" ht="15" customHeight="1">
      <c r="A198" s="263">
        <v>25</v>
      </c>
      <c r="B198" s="252"/>
      <c r="C198" s="243"/>
      <c r="D198" s="184"/>
      <c r="E198" s="189"/>
      <c r="F198" s="186"/>
      <c r="G198" s="186"/>
      <c r="H198" s="186"/>
      <c r="I198" s="186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70" t="str">
        <f t="shared" si="51"/>
        <v/>
      </c>
      <c r="U198" s="170" t="str">
        <f t="shared" si="52"/>
        <v/>
      </c>
      <c r="V198" s="170" t="str">
        <f t="shared" si="53"/>
        <v/>
      </c>
      <c r="W198" s="170" t="str">
        <f t="shared" si="54"/>
        <v/>
      </c>
      <c r="X198" s="170" t="str">
        <f t="shared" si="41"/>
        <v/>
      </c>
      <c r="Y198" s="170" t="str">
        <f t="shared" si="42"/>
        <v/>
      </c>
      <c r="Z198" s="170" t="str">
        <f t="shared" si="43"/>
        <v/>
      </c>
      <c r="AA198" s="170" t="str">
        <f t="shared" si="55"/>
        <v/>
      </c>
      <c r="AB198" s="170" t="str">
        <f t="shared" si="56"/>
        <v/>
      </c>
      <c r="AC198" s="172" t="str">
        <f t="shared" si="57"/>
        <v/>
      </c>
      <c r="AE198" s="182"/>
      <c r="AF198" s="182"/>
      <c r="AG198" s="182"/>
      <c r="AH198" s="182"/>
      <c r="AI198" s="182"/>
      <c r="AJ198" s="182"/>
      <c r="AK198" s="182"/>
      <c r="AL198" s="182"/>
      <c r="AM198" s="182"/>
      <c r="AN198" s="182"/>
      <c r="AO198" s="182"/>
      <c r="AP198" s="182"/>
      <c r="AQ198" s="182"/>
      <c r="AR198" s="182"/>
      <c r="AS198" s="182"/>
    </row>
    <row r="199" spans="1:45">
      <c r="A199" s="263"/>
      <c r="B199" s="260"/>
      <c r="C199" s="244"/>
      <c r="D199" s="184"/>
      <c r="E199" s="190"/>
      <c r="F199" s="191"/>
      <c r="G199" s="191"/>
      <c r="H199" s="191"/>
      <c r="I199" s="191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70" t="str">
        <f t="shared" si="51"/>
        <v/>
      </c>
      <c r="U199" s="170" t="str">
        <f t="shared" si="52"/>
        <v/>
      </c>
      <c r="V199" s="170" t="str">
        <f t="shared" si="53"/>
        <v/>
      </c>
      <c r="W199" s="170" t="str">
        <f t="shared" si="54"/>
        <v/>
      </c>
      <c r="X199" s="170" t="str">
        <f t="shared" ref="X199:X262" si="58">IF(COUNT(E199:S199)=0,"",V199-1*W199)</f>
        <v/>
      </c>
      <c r="Y199" s="170" t="str">
        <f t="shared" ref="Y199:Y262" si="59">IF(COUNT(E199:S199)=0,"",V199+1*W199)</f>
        <v/>
      </c>
      <c r="Z199" s="170" t="str">
        <f t="shared" ref="Z199:Z262" si="60">IF(COUNT(E199:S199)=0,"",SUM(IF(AND(E199&gt;X199,E199&lt;Y199),E199,0),IF(AND(F199&gt;X199,F199&lt;Y199),F199,0),IF(AND(G199&gt;X199,G199&lt;Y199),G199,0),IF(AND(H199&gt;X199,H199&lt;Y199),H199,0),IF(AND(I199&gt;X199,I199&lt;Y199),I199,0),IF(AND(J199&gt;X199,J199&lt;Y199),J199,0),IF(AND(K199&gt;X199,K199&lt;Y199),K199,0),IF(AND(L199&gt;X199,L199&lt;Y199),L199,0),IF(AND(M199&gt;X199,M199&lt;Y199),M199,0),IF(AND(N199&gt;X199,N199&lt;Y199),N199,0),IF(AND(O199&gt;X199,O199&lt;Y199),O199,0),IF(AND(P199&gt;X199,P199&lt;Y199),P199,0),IF(AND(Q199&gt;X199,Q199&lt;Y199),Q199,0),IF(AND(R199&gt;X199,R199&lt;Y199),R199,0),IF(AND(S199&gt;X199,S199&lt;Y199),S199,0))/SUM(IF(AND(E199&gt;X199,E199&lt;Y199,E199&lt;&gt;0),1,0),IF(AND(F199&gt;X199,F199&lt;Y199,F199&lt;&gt;0),1,0),IF(AND(G199&gt;X199,G199&lt;Y199,G199&lt;&gt;0),1,0),IF(AND(H199&gt;X199,H199&lt;Y199,H199&lt;&gt;0),1,0),IF(AND(I199&gt;X199,I199&lt;Y199,I199&lt;&gt;0),1,0),IF(AND(J199&gt;X199,J199&lt;Y199,J199&lt;&gt;0),1,0),IF(AND(K199&gt;X199,K199&lt;Y199,K199&lt;&gt;0),1,0),IF(AND(L199&gt;X199,L199&lt;Y199,L199&lt;&gt;0),1,0),IF(AND(M199&gt;X199,M199&lt;Y199,M199&lt;&gt;0),1,0),IF(AND(N199&gt;X199,N199&lt;Y199,N199&lt;&gt;0),1,0),IF(AND(O199&gt;X199,O199&lt;Y199,O199&lt;&gt;0),1,0),IF(AND(P199&gt;X199,P199&lt;Y199,P199&lt;&gt;0),1,0),IF(AND(Q199&gt;X199,Q199&lt;Y199,Q199&lt;&gt;0),1,0),IF(AND(R199&gt;X199,R199&lt;Y199,R199&lt;&gt;0),1,0),IF(AND(S199&gt;X199,S199&lt;Y199,S199&lt;&gt;0),1,0)))</f>
        <v/>
      </c>
      <c r="AA199" s="170" t="str">
        <f t="shared" si="55"/>
        <v/>
      </c>
      <c r="AB199" s="170" t="str">
        <f t="shared" si="56"/>
        <v/>
      </c>
      <c r="AC199" s="172" t="str">
        <f t="shared" si="57"/>
        <v/>
      </c>
      <c r="AE199" s="182"/>
      <c r="AF199" s="182"/>
      <c r="AG199" s="182"/>
      <c r="AH199" s="182"/>
      <c r="AI199" s="182"/>
      <c r="AJ199" s="182"/>
      <c r="AK199" s="182"/>
      <c r="AL199" s="182"/>
      <c r="AM199" s="182"/>
      <c r="AN199" s="182"/>
      <c r="AO199" s="182"/>
      <c r="AP199" s="182"/>
      <c r="AQ199" s="182"/>
      <c r="AR199" s="182"/>
      <c r="AS199" s="182"/>
    </row>
    <row r="200" spans="1:45">
      <c r="A200" s="263"/>
      <c r="B200" s="260"/>
      <c r="C200" s="244"/>
      <c r="D200" s="184"/>
      <c r="E200" s="185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70" t="str">
        <f t="shared" si="51"/>
        <v/>
      </c>
      <c r="U200" s="170" t="str">
        <f t="shared" si="52"/>
        <v/>
      </c>
      <c r="V200" s="170" t="str">
        <f t="shared" si="53"/>
        <v/>
      </c>
      <c r="W200" s="170" t="str">
        <f t="shared" si="54"/>
        <v/>
      </c>
      <c r="X200" s="170" t="str">
        <f t="shared" si="58"/>
        <v/>
      </c>
      <c r="Y200" s="170" t="str">
        <f t="shared" si="59"/>
        <v/>
      </c>
      <c r="Z200" s="170" t="str">
        <f t="shared" si="60"/>
        <v/>
      </c>
      <c r="AA200" s="170" t="str">
        <f t="shared" si="55"/>
        <v/>
      </c>
      <c r="AB200" s="170" t="str">
        <f t="shared" si="56"/>
        <v/>
      </c>
      <c r="AC200" s="172" t="str">
        <f t="shared" si="57"/>
        <v/>
      </c>
      <c r="AE200" s="182"/>
      <c r="AF200" s="182"/>
      <c r="AG200" s="182"/>
      <c r="AH200" s="182"/>
      <c r="AI200" s="182"/>
      <c r="AJ200" s="182"/>
      <c r="AK200" s="182"/>
      <c r="AL200" s="182"/>
      <c r="AM200" s="182"/>
      <c r="AN200" s="182"/>
      <c r="AO200" s="182"/>
      <c r="AP200" s="182"/>
      <c r="AQ200" s="182"/>
      <c r="AR200" s="182"/>
      <c r="AS200" s="182"/>
    </row>
    <row r="201" spans="1:45">
      <c r="A201" s="263"/>
      <c r="B201" s="260"/>
      <c r="C201" s="244"/>
      <c r="D201" s="184"/>
      <c r="E201" s="185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70" t="str">
        <f t="shared" si="51"/>
        <v/>
      </c>
      <c r="U201" s="170" t="str">
        <f t="shared" si="52"/>
        <v/>
      </c>
      <c r="V201" s="170" t="str">
        <f t="shared" si="53"/>
        <v/>
      </c>
      <c r="W201" s="170" t="str">
        <f t="shared" si="54"/>
        <v/>
      </c>
      <c r="X201" s="170" t="str">
        <f t="shared" si="58"/>
        <v/>
      </c>
      <c r="Y201" s="170" t="str">
        <f t="shared" si="59"/>
        <v/>
      </c>
      <c r="Z201" s="170" t="str">
        <f t="shared" si="60"/>
        <v/>
      </c>
      <c r="AA201" s="170" t="str">
        <f t="shared" si="55"/>
        <v/>
      </c>
      <c r="AB201" s="170" t="str">
        <f t="shared" si="56"/>
        <v/>
      </c>
      <c r="AC201" s="172" t="str">
        <f t="shared" si="57"/>
        <v/>
      </c>
      <c r="AE201" s="182"/>
      <c r="AF201" s="182"/>
      <c r="AG201" s="182"/>
      <c r="AH201" s="182"/>
      <c r="AI201" s="182"/>
      <c r="AJ201" s="182"/>
      <c r="AK201" s="182"/>
      <c r="AL201" s="182"/>
      <c r="AM201" s="182"/>
      <c r="AN201" s="182"/>
      <c r="AO201" s="182"/>
      <c r="AP201" s="182"/>
      <c r="AQ201" s="182"/>
      <c r="AR201" s="182"/>
      <c r="AS201" s="182"/>
    </row>
    <row r="202" spans="1:45">
      <c r="A202" s="263"/>
      <c r="B202" s="260"/>
      <c r="C202" s="244"/>
      <c r="D202" s="184"/>
      <c r="E202" s="185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70" t="str">
        <f t="shared" si="51"/>
        <v/>
      </c>
      <c r="U202" s="170" t="str">
        <f t="shared" si="52"/>
        <v/>
      </c>
      <c r="V202" s="170" t="str">
        <f t="shared" si="53"/>
        <v/>
      </c>
      <c r="W202" s="170" t="str">
        <f t="shared" si="54"/>
        <v/>
      </c>
      <c r="X202" s="170" t="str">
        <f t="shared" si="58"/>
        <v/>
      </c>
      <c r="Y202" s="170" t="str">
        <f t="shared" si="59"/>
        <v/>
      </c>
      <c r="Z202" s="170" t="str">
        <f t="shared" si="60"/>
        <v/>
      </c>
      <c r="AA202" s="170" t="str">
        <f t="shared" si="55"/>
        <v/>
      </c>
      <c r="AB202" s="170" t="str">
        <f t="shared" si="56"/>
        <v/>
      </c>
      <c r="AC202" s="172" t="str">
        <f t="shared" si="57"/>
        <v/>
      </c>
      <c r="AE202" s="182"/>
      <c r="AF202" s="182"/>
      <c r="AG202" s="182"/>
      <c r="AH202" s="182"/>
      <c r="AI202" s="182"/>
      <c r="AJ202" s="182"/>
      <c r="AK202" s="182"/>
      <c r="AL202" s="182"/>
      <c r="AM202" s="182"/>
      <c r="AN202" s="182"/>
      <c r="AO202" s="182"/>
      <c r="AP202" s="182"/>
      <c r="AQ202" s="182"/>
      <c r="AR202" s="182"/>
      <c r="AS202" s="182"/>
    </row>
    <row r="203" spans="1:45">
      <c r="A203" s="263"/>
      <c r="B203" s="260"/>
      <c r="C203" s="244"/>
      <c r="D203" s="184"/>
      <c r="E203" s="185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70" t="str">
        <f t="shared" si="51"/>
        <v/>
      </c>
      <c r="U203" s="170" t="str">
        <f t="shared" si="52"/>
        <v/>
      </c>
      <c r="V203" s="170" t="str">
        <f t="shared" si="53"/>
        <v/>
      </c>
      <c r="W203" s="170" t="str">
        <f t="shared" si="54"/>
        <v/>
      </c>
      <c r="X203" s="170" t="str">
        <f t="shared" si="58"/>
        <v/>
      </c>
      <c r="Y203" s="170" t="str">
        <f t="shared" si="59"/>
        <v/>
      </c>
      <c r="Z203" s="170" t="str">
        <f t="shared" si="60"/>
        <v/>
      </c>
      <c r="AA203" s="170" t="str">
        <f t="shared" si="55"/>
        <v/>
      </c>
      <c r="AB203" s="170" t="str">
        <f t="shared" si="56"/>
        <v/>
      </c>
      <c r="AC203" s="172" t="str">
        <f t="shared" si="57"/>
        <v/>
      </c>
      <c r="AE203" s="182"/>
      <c r="AF203" s="182"/>
      <c r="AG203" s="182"/>
      <c r="AH203" s="182"/>
      <c r="AI203" s="182"/>
      <c r="AJ203" s="182"/>
      <c r="AK203" s="182"/>
      <c r="AL203" s="182"/>
      <c r="AM203" s="182"/>
      <c r="AN203" s="182"/>
      <c r="AO203" s="182"/>
      <c r="AP203" s="182"/>
      <c r="AQ203" s="182"/>
      <c r="AR203" s="182"/>
      <c r="AS203" s="182"/>
    </row>
    <row r="204" spans="1:45">
      <c r="A204" s="263"/>
      <c r="B204" s="260"/>
      <c r="C204" s="244"/>
      <c r="D204" s="184"/>
      <c r="E204" s="185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70" t="str">
        <f t="shared" si="51"/>
        <v/>
      </c>
      <c r="U204" s="170" t="str">
        <f t="shared" si="52"/>
        <v/>
      </c>
      <c r="V204" s="170" t="str">
        <f t="shared" si="53"/>
        <v/>
      </c>
      <c r="W204" s="170" t="str">
        <f t="shared" si="54"/>
        <v/>
      </c>
      <c r="X204" s="170" t="str">
        <f t="shared" si="58"/>
        <v/>
      </c>
      <c r="Y204" s="170" t="str">
        <f t="shared" si="59"/>
        <v/>
      </c>
      <c r="Z204" s="170" t="str">
        <f t="shared" si="60"/>
        <v/>
      </c>
      <c r="AA204" s="170" t="str">
        <f t="shared" si="55"/>
        <v/>
      </c>
      <c r="AB204" s="170" t="str">
        <f t="shared" si="56"/>
        <v/>
      </c>
      <c r="AC204" s="172" t="str">
        <f t="shared" si="57"/>
        <v/>
      </c>
      <c r="AE204" s="182"/>
      <c r="AF204" s="182"/>
      <c r="AG204" s="182"/>
      <c r="AH204" s="182"/>
      <c r="AI204" s="182"/>
      <c r="AJ204" s="182"/>
      <c r="AK204" s="182"/>
      <c r="AL204" s="182"/>
      <c r="AM204" s="182"/>
      <c r="AN204" s="182"/>
      <c r="AO204" s="182"/>
      <c r="AP204" s="182"/>
      <c r="AQ204" s="182"/>
      <c r="AR204" s="182"/>
      <c r="AS204" s="182"/>
    </row>
    <row r="205" spans="1:45">
      <c r="A205" s="263"/>
      <c r="B205" s="261"/>
      <c r="C205" s="245"/>
      <c r="D205" s="184"/>
      <c r="E205" s="185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70" t="str">
        <f t="shared" si="51"/>
        <v/>
      </c>
      <c r="U205" s="170" t="str">
        <f t="shared" si="52"/>
        <v/>
      </c>
      <c r="V205" s="170" t="str">
        <f t="shared" si="53"/>
        <v/>
      </c>
      <c r="W205" s="170" t="str">
        <f t="shared" si="54"/>
        <v/>
      </c>
      <c r="X205" s="170" t="str">
        <f t="shared" si="58"/>
        <v/>
      </c>
      <c r="Y205" s="170" t="str">
        <f t="shared" si="59"/>
        <v/>
      </c>
      <c r="Z205" s="170"/>
      <c r="AA205" s="170" t="str">
        <f t="shared" si="55"/>
        <v/>
      </c>
      <c r="AB205" s="170" t="str">
        <f t="shared" si="56"/>
        <v/>
      </c>
      <c r="AC205" s="172" t="str">
        <f t="shared" si="57"/>
        <v/>
      </c>
      <c r="AE205" s="182"/>
      <c r="AF205" s="182"/>
      <c r="AG205" s="182"/>
      <c r="AH205" s="182"/>
      <c r="AI205" s="182"/>
      <c r="AJ205" s="182"/>
      <c r="AK205" s="182"/>
      <c r="AL205" s="182"/>
      <c r="AM205" s="182"/>
      <c r="AN205" s="182"/>
      <c r="AO205" s="182"/>
      <c r="AP205" s="182"/>
      <c r="AQ205" s="182"/>
      <c r="AR205" s="182"/>
      <c r="AS205" s="182"/>
    </row>
    <row r="206" spans="1:45" ht="15" customHeight="1">
      <c r="A206" s="263">
        <v>26</v>
      </c>
      <c r="B206" s="252"/>
      <c r="C206" s="243"/>
      <c r="D206" s="184"/>
      <c r="E206" s="189"/>
      <c r="F206" s="186"/>
      <c r="G206" s="186"/>
      <c r="H206" s="186"/>
      <c r="I206" s="191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70" t="str">
        <f t="shared" si="51"/>
        <v/>
      </c>
      <c r="U206" s="170" t="str">
        <f t="shared" si="52"/>
        <v/>
      </c>
      <c r="V206" s="170" t="str">
        <f t="shared" si="53"/>
        <v/>
      </c>
      <c r="W206" s="170" t="str">
        <f t="shared" si="54"/>
        <v/>
      </c>
      <c r="X206" s="170" t="str">
        <f t="shared" si="58"/>
        <v/>
      </c>
      <c r="Y206" s="170" t="str">
        <f t="shared" si="59"/>
        <v/>
      </c>
      <c r="Z206" s="170" t="str">
        <f t="shared" si="60"/>
        <v/>
      </c>
      <c r="AA206" s="170" t="str">
        <f t="shared" si="55"/>
        <v/>
      </c>
      <c r="AB206" s="170" t="str">
        <f t="shared" si="56"/>
        <v/>
      </c>
      <c r="AC206" s="172" t="str">
        <f t="shared" si="57"/>
        <v/>
      </c>
      <c r="AE206" s="182"/>
      <c r="AF206" s="182"/>
      <c r="AG206" s="182"/>
      <c r="AH206" s="182"/>
      <c r="AI206" s="182"/>
      <c r="AJ206" s="182"/>
      <c r="AK206" s="182"/>
      <c r="AL206" s="182"/>
      <c r="AM206" s="182"/>
      <c r="AN206" s="182"/>
      <c r="AO206" s="182"/>
      <c r="AP206" s="182"/>
      <c r="AQ206" s="182"/>
      <c r="AR206" s="182"/>
      <c r="AS206" s="182"/>
    </row>
    <row r="207" spans="1:45">
      <c r="A207" s="263"/>
      <c r="B207" s="260"/>
      <c r="C207" s="244"/>
      <c r="D207" s="184"/>
      <c r="E207" s="185"/>
      <c r="F207" s="169"/>
      <c r="G207" s="169"/>
      <c r="H207" s="169"/>
      <c r="I207" s="192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70" t="str">
        <f t="shared" si="51"/>
        <v/>
      </c>
      <c r="U207" s="170" t="str">
        <f t="shared" si="52"/>
        <v/>
      </c>
      <c r="V207" s="170" t="str">
        <f t="shared" si="53"/>
        <v/>
      </c>
      <c r="W207" s="170" t="str">
        <f t="shared" si="54"/>
        <v/>
      </c>
      <c r="X207" s="170" t="str">
        <f t="shared" si="58"/>
        <v/>
      </c>
      <c r="Y207" s="170" t="str">
        <f t="shared" si="59"/>
        <v/>
      </c>
      <c r="Z207" s="170" t="str">
        <f t="shared" si="60"/>
        <v/>
      </c>
      <c r="AA207" s="170" t="str">
        <f t="shared" si="55"/>
        <v/>
      </c>
      <c r="AB207" s="170" t="str">
        <f t="shared" si="56"/>
        <v/>
      </c>
      <c r="AC207" s="172" t="str">
        <f t="shared" si="57"/>
        <v/>
      </c>
      <c r="AE207" s="182"/>
      <c r="AF207" s="182"/>
      <c r="AG207" s="182"/>
      <c r="AH207" s="182"/>
      <c r="AI207" s="182"/>
      <c r="AJ207" s="182"/>
      <c r="AK207" s="182"/>
      <c r="AL207" s="182"/>
      <c r="AM207" s="182"/>
      <c r="AN207" s="182"/>
      <c r="AO207" s="182"/>
      <c r="AP207" s="182"/>
      <c r="AQ207" s="182"/>
      <c r="AR207" s="182"/>
      <c r="AS207" s="182"/>
    </row>
    <row r="208" spans="1:45">
      <c r="A208" s="263"/>
      <c r="B208" s="260"/>
      <c r="C208" s="244"/>
      <c r="D208" s="184"/>
      <c r="E208" s="185"/>
      <c r="F208" s="169"/>
      <c r="G208" s="169"/>
      <c r="H208" s="169"/>
      <c r="I208" s="192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70" t="str">
        <f t="shared" si="51"/>
        <v/>
      </c>
      <c r="U208" s="170" t="str">
        <f t="shared" si="52"/>
        <v/>
      </c>
      <c r="V208" s="170" t="str">
        <f t="shared" si="53"/>
        <v/>
      </c>
      <c r="W208" s="170" t="str">
        <f t="shared" si="54"/>
        <v/>
      </c>
      <c r="X208" s="170" t="str">
        <f t="shared" si="58"/>
        <v/>
      </c>
      <c r="Y208" s="170" t="str">
        <f t="shared" si="59"/>
        <v/>
      </c>
      <c r="Z208" s="170" t="str">
        <f t="shared" si="60"/>
        <v/>
      </c>
      <c r="AA208" s="170" t="str">
        <f t="shared" si="55"/>
        <v/>
      </c>
      <c r="AB208" s="170" t="str">
        <f t="shared" si="56"/>
        <v/>
      </c>
      <c r="AC208" s="172" t="str">
        <f t="shared" si="57"/>
        <v/>
      </c>
      <c r="AE208" s="182"/>
      <c r="AF208" s="182"/>
      <c r="AG208" s="182"/>
      <c r="AH208" s="182"/>
      <c r="AI208" s="182"/>
      <c r="AJ208" s="182"/>
      <c r="AK208" s="182"/>
      <c r="AL208" s="182"/>
      <c r="AM208" s="182"/>
      <c r="AN208" s="182"/>
      <c r="AO208" s="182"/>
      <c r="AP208" s="182"/>
      <c r="AQ208" s="182"/>
      <c r="AR208" s="182"/>
      <c r="AS208" s="182"/>
    </row>
    <row r="209" spans="1:45">
      <c r="A209" s="263"/>
      <c r="B209" s="260"/>
      <c r="C209" s="244"/>
      <c r="D209" s="184"/>
      <c r="E209" s="185"/>
      <c r="F209" s="169"/>
      <c r="G209" s="169"/>
      <c r="H209" s="169"/>
      <c r="I209" s="192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70" t="str">
        <f t="shared" si="51"/>
        <v/>
      </c>
      <c r="U209" s="170" t="str">
        <f t="shared" si="52"/>
        <v/>
      </c>
      <c r="V209" s="170" t="str">
        <f t="shared" si="53"/>
        <v/>
      </c>
      <c r="W209" s="170" t="str">
        <f t="shared" si="54"/>
        <v/>
      </c>
      <c r="X209" s="170" t="str">
        <f t="shared" si="58"/>
        <v/>
      </c>
      <c r="Y209" s="170" t="str">
        <f t="shared" si="59"/>
        <v/>
      </c>
      <c r="Z209" s="170" t="str">
        <f t="shared" si="60"/>
        <v/>
      </c>
      <c r="AA209" s="170" t="str">
        <f t="shared" si="55"/>
        <v/>
      </c>
      <c r="AB209" s="170" t="str">
        <f t="shared" si="56"/>
        <v/>
      </c>
      <c r="AC209" s="172" t="str">
        <f t="shared" si="57"/>
        <v/>
      </c>
      <c r="AE209" s="182"/>
      <c r="AF209" s="182"/>
      <c r="AG209" s="182"/>
      <c r="AH209" s="182"/>
      <c r="AI209" s="182"/>
      <c r="AJ209" s="182"/>
      <c r="AK209" s="182"/>
      <c r="AL209" s="182"/>
      <c r="AM209" s="182"/>
      <c r="AN209" s="182"/>
      <c r="AO209" s="182"/>
      <c r="AP209" s="182"/>
      <c r="AQ209" s="182"/>
      <c r="AR209" s="182"/>
      <c r="AS209" s="182"/>
    </row>
    <row r="210" spans="1:45">
      <c r="A210" s="263"/>
      <c r="B210" s="260"/>
      <c r="C210" s="244"/>
      <c r="D210" s="184"/>
      <c r="E210" s="185"/>
      <c r="F210" s="169"/>
      <c r="G210" s="169"/>
      <c r="H210" s="169"/>
      <c r="I210" s="192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70" t="str">
        <f t="shared" si="51"/>
        <v/>
      </c>
      <c r="U210" s="170" t="str">
        <f t="shared" si="52"/>
        <v/>
      </c>
      <c r="V210" s="170" t="str">
        <f t="shared" si="53"/>
        <v/>
      </c>
      <c r="W210" s="170" t="str">
        <f t="shared" si="54"/>
        <v/>
      </c>
      <c r="X210" s="170" t="str">
        <f t="shared" si="58"/>
        <v/>
      </c>
      <c r="Y210" s="170" t="str">
        <f t="shared" si="59"/>
        <v/>
      </c>
      <c r="Z210" s="170" t="str">
        <f t="shared" si="60"/>
        <v/>
      </c>
      <c r="AA210" s="170" t="str">
        <f t="shared" si="55"/>
        <v/>
      </c>
      <c r="AB210" s="170" t="str">
        <f t="shared" si="56"/>
        <v/>
      </c>
      <c r="AC210" s="172" t="str">
        <f t="shared" si="57"/>
        <v/>
      </c>
      <c r="AE210" s="182"/>
      <c r="AF210" s="182"/>
      <c r="AG210" s="182"/>
      <c r="AH210" s="182"/>
      <c r="AI210" s="182"/>
      <c r="AJ210" s="182"/>
      <c r="AK210" s="182"/>
      <c r="AL210" s="182"/>
      <c r="AM210" s="182"/>
      <c r="AN210" s="182"/>
      <c r="AO210" s="182"/>
      <c r="AP210" s="182"/>
      <c r="AQ210" s="182"/>
      <c r="AR210" s="182"/>
      <c r="AS210" s="182"/>
    </row>
    <row r="211" spans="1:45">
      <c r="A211" s="263"/>
      <c r="B211" s="260"/>
      <c r="C211" s="244"/>
      <c r="D211" s="184"/>
      <c r="E211" s="185"/>
      <c r="F211" s="169"/>
      <c r="G211" s="169"/>
      <c r="H211" s="169"/>
      <c r="I211" s="192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70" t="str">
        <f t="shared" si="51"/>
        <v/>
      </c>
      <c r="U211" s="170" t="str">
        <f t="shared" si="52"/>
        <v/>
      </c>
      <c r="V211" s="170" t="str">
        <f t="shared" si="53"/>
        <v/>
      </c>
      <c r="W211" s="170" t="str">
        <f t="shared" si="54"/>
        <v/>
      </c>
      <c r="X211" s="170" t="str">
        <f t="shared" si="58"/>
        <v/>
      </c>
      <c r="Y211" s="170" t="str">
        <f t="shared" si="59"/>
        <v/>
      </c>
      <c r="Z211" s="170" t="str">
        <f t="shared" si="60"/>
        <v/>
      </c>
      <c r="AA211" s="170" t="str">
        <f t="shared" si="55"/>
        <v/>
      </c>
      <c r="AB211" s="170" t="str">
        <f t="shared" si="56"/>
        <v/>
      </c>
      <c r="AC211" s="172" t="str">
        <f t="shared" si="57"/>
        <v/>
      </c>
      <c r="AE211" s="182"/>
      <c r="AF211" s="182"/>
      <c r="AG211" s="182"/>
      <c r="AH211" s="182"/>
      <c r="AI211" s="182"/>
      <c r="AJ211" s="182"/>
      <c r="AK211" s="182"/>
      <c r="AL211" s="182"/>
      <c r="AM211" s="182"/>
      <c r="AN211" s="182"/>
      <c r="AO211" s="182"/>
      <c r="AP211" s="182"/>
      <c r="AQ211" s="182"/>
      <c r="AR211" s="182"/>
      <c r="AS211" s="182"/>
    </row>
    <row r="212" spans="1:45">
      <c r="A212" s="263"/>
      <c r="B212" s="260"/>
      <c r="C212" s="244"/>
      <c r="D212" s="184"/>
      <c r="E212" s="185"/>
      <c r="F212" s="169"/>
      <c r="G212" s="169"/>
      <c r="H212" s="169"/>
      <c r="I212" s="192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70" t="str">
        <f t="shared" si="51"/>
        <v/>
      </c>
      <c r="U212" s="170" t="str">
        <f t="shared" si="52"/>
        <v/>
      </c>
      <c r="V212" s="170" t="str">
        <f t="shared" si="53"/>
        <v/>
      </c>
      <c r="W212" s="170" t="str">
        <f t="shared" si="54"/>
        <v/>
      </c>
      <c r="X212" s="170" t="str">
        <f t="shared" si="58"/>
        <v/>
      </c>
      <c r="Y212" s="170" t="str">
        <f t="shared" si="59"/>
        <v/>
      </c>
      <c r="Z212" s="170" t="str">
        <f t="shared" si="60"/>
        <v/>
      </c>
      <c r="AA212" s="170" t="str">
        <f t="shared" si="55"/>
        <v/>
      </c>
      <c r="AB212" s="170" t="str">
        <f t="shared" si="56"/>
        <v/>
      </c>
      <c r="AC212" s="172" t="str">
        <f t="shared" si="57"/>
        <v/>
      </c>
      <c r="AE212" s="182"/>
      <c r="AF212" s="182"/>
      <c r="AG212" s="182"/>
      <c r="AH212" s="182"/>
      <c r="AI212" s="182"/>
      <c r="AJ212" s="182"/>
      <c r="AK212" s="182"/>
      <c r="AL212" s="182"/>
      <c r="AM212" s="182"/>
      <c r="AN212" s="182"/>
      <c r="AO212" s="182"/>
      <c r="AP212" s="182"/>
      <c r="AQ212" s="182"/>
      <c r="AR212" s="182"/>
      <c r="AS212" s="182"/>
    </row>
    <row r="213" spans="1:45">
      <c r="A213" s="263"/>
      <c r="B213" s="261"/>
      <c r="C213" s="245"/>
      <c r="D213" s="184"/>
      <c r="E213" s="185"/>
      <c r="F213" s="169"/>
      <c r="G213" s="169"/>
      <c r="H213" s="169"/>
      <c r="I213" s="192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70" t="str">
        <f t="shared" si="51"/>
        <v/>
      </c>
      <c r="U213" s="170" t="str">
        <f t="shared" si="52"/>
        <v/>
      </c>
      <c r="V213" s="170" t="str">
        <f t="shared" si="53"/>
        <v/>
      </c>
      <c r="W213" s="170" t="str">
        <f t="shared" si="54"/>
        <v/>
      </c>
      <c r="X213" s="170" t="str">
        <f t="shared" si="58"/>
        <v/>
      </c>
      <c r="Y213" s="170" t="str">
        <f t="shared" si="59"/>
        <v/>
      </c>
      <c r="Z213" s="170"/>
      <c r="AA213" s="170" t="str">
        <f t="shared" si="55"/>
        <v/>
      </c>
      <c r="AB213" s="170" t="str">
        <f t="shared" si="56"/>
        <v/>
      </c>
      <c r="AC213" s="172" t="str">
        <f t="shared" si="57"/>
        <v/>
      </c>
      <c r="AE213" s="182"/>
      <c r="AF213" s="182"/>
      <c r="AG213" s="182"/>
      <c r="AH213" s="182"/>
      <c r="AI213" s="182"/>
      <c r="AJ213" s="182"/>
      <c r="AK213" s="182"/>
      <c r="AL213" s="182"/>
      <c r="AM213" s="182"/>
      <c r="AN213" s="182"/>
      <c r="AO213" s="182"/>
      <c r="AP213" s="182"/>
      <c r="AQ213" s="182"/>
      <c r="AR213" s="182"/>
      <c r="AS213" s="182"/>
    </row>
    <row r="214" spans="1:45" ht="16.5" customHeight="1">
      <c r="A214" s="263">
        <v>27</v>
      </c>
      <c r="B214" s="252"/>
      <c r="C214" s="243"/>
      <c r="D214" s="184"/>
      <c r="E214" s="185"/>
      <c r="F214" s="169"/>
      <c r="G214" s="169"/>
      <c r="H214" s="169"/>
      <c r="I214" s="169"/>
      <c r="J214" s="186"/>
      <c r="K214" s="169"/>
      <c r="L214" s="169"/>
      <c r="M214" s="169"/>
      <c r="N214" s="169"/>
      <c r="O214" s="169"/>
      <c r="P214" s="169"/>
      <c r="Q214" s="169"/>
      <c r="R214" s="169"/>
      <c r="S214" s="169"/>
      <c r="T214" s="170" t="str">
        <f t="shared" si="51"/>
        <v/>
      </c>
      <c r="U214" s="170" t="str">
        <f t="shared" si="52"/>
        <v/>
      </c>
      <c r="V214" s="170" t="str">
        <f t="shared" si="53"/>
        <v/>
      </c>
      <c r="W214" s="170" t="str">
        <f t="shared" si="54"/>
        <v/>
      </c>
      <c r="X214" s="170" t="str">
        <f t="shared" si="58"/>
        <v/>
      </c>
      <c r="Y214" s="170" t="str">
        <f t="shared" si="59"/>
        <v/>
      </c>
      <c r="Z214" s="170" t="str">
        <f t="shared" si="60"/>
        <v/>
      </c>
      <c r="AA214" s="170" t="str">
        <f t="shared" si="55"/>
        <v/>
      </c>
      <c r="AB214" s="170" t="str">
        <f t="shared" si="56"/>
        <v/>
      </c>
      <c r="AC214" s="172" t="str">
        <f t="shared" si="57"/>
        <v/>
      </c>
      <c r="AE214" s="182"/>
      <c r="AF214" s="182"/>
      <c r="AG214" s="182"/>
      <c r="AH214" s="182"/>
      <c r="AI214" s="182"/>
      <c r="AJ214" s="182"/>
      <c r="AK214" s="182"/>
      <c r="AL214" s="182"/>
      <c r="AM214" s="182"/>
      <c r="AN214" s="182"/>
      <c r="AO214" s="182"/>
      <c r="AP214" s="182"/>
      <c r="AQ214" s="182"/>
      <c r="AR214" s="182"/>
      <c r="AS214" s="182"/>
    </row>
    <row r="215" spans="1:45">
      <c r="A215" s="263"/>
      <c r="B215" s="260"/>
      <c r="C215" s="244"/>
      <c r="D215" s="184"/>
      <c r="E215" s="185"/>
      <c r="F215" s="169"/>
      <c r="G215" s="169"/>
      <c r="H215" s="169"/>
      <c r="I215" s="169"/>
      <c r="J215" s="191"/>
      <c r="K215" s="169"/>
      <c r="L215" s="169"/>
      <c r="M215" s="169"/>
      <c r="N215" s="169"/>
      <c r="O215" s="169"/>
      <c r="P215" s="169"/>
      <c r="Q215" s="169"/>
      <c r="R215" s="169"/>
      <c r="S215" s="169"/>
      <c r="T215" s="170" t="str">
        <f t="shared" si="51"/>
        <v/>
      </c>
      <c r="U215" s="170" t="str">
        <f t="shared" si="52"/>
        <v/>
      </c>
      <c r="V215" s="170" t="str">
        <f t="shared" si="53"/>
        <v/>
      </c>
      <c r="W215" s="170" t="str">
        <f t="shared" si="54"/>
        <v/>
      </c>
      <c r="X215" s="170" t="str">
        <f t="shared" si="58"/>
        <v/>
      </c>
      <c r="Y215" s="170" t="str">
        <f t="shared" si="59"/>
        <v/>
      </c>
      <c r="Z215" s="170" t="str">
        <f t="shared" si="60"/>
        <v/>
      </c>
      <c r="AA215" s="170" t="str">
        <f t="shared" si="55"/>
        <v/>
      </c>
      <c r="AB215" s="170" t="str">
        <f t="shared" si="56"/>
        <v/>
      </c>
      <c r="AC215" s="172" t="str">
        <f t="shared" si="57"/>
        <v/>
      </c>
      <c r="AE215" s="182"/>
      <c r="AF215" s="182"/>
      <c r="AG215" s="182"/>
      <c r="AH215" s="182"/>
      <c r="AI215" s="182"/>
      <c r="AJ215" s="182"/>
      <c r="AK215" s="182"/>
      <c r="AL215" s="182"/>
      <c r="AM215" s="182"/>
      <c r="AN215" s="182"/>
      <c r="AO215" s="182"/>
      <c r="AP215" s="182"/>
      <c r="AQ215" s="182"/>
      <c r="AR215" s="182"/>
      <c r="AS215" s="182"/>
    </row>
    <row r="216" spans="1:45">
      <c r="A216" s="263"/>
      <c r="B216" s="260"/>
      <c r="C216" s="244"/>
      <c r="D216" s="184"/>
      <c r="E216" s="185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70" t="str">
        <f t="shared" si="51"/>
        <v/>
      </c>
      <c r="U216" s="170" t="str">
        <f t="shared" si="52"/>
        <v/>
      </c>
      <c r="V216" s="170" t="str">
        <f t="shared" si="53"/>
        <v/>
      </c>
      <c r="W216" s="170" t="str">
        <f t="shared" si="54"/>
        <v/>
      </c>
      <c r="X216" s="170" t="str">
        <f t="shared" si="58"/>
        <v/>
      </c>
      <c r="Y216" s="170" t="str">
        <f t="shared" si="59"/>
        <v/>
      </c>
      <c r="Z216" s="170" t="str">
        <f t="shared" si="60"/>
        <v/>
      </c>
      <c r="AA216" s="170" t="str">
        <f t="shared" si="55"/>
        <v/>
      </c>
      <c r="AB216" s="170" t="str">
        <f t="shared" si="56"/>
        <v/>
      </c>
      <c r="AC216" s="172" t="str">
        <f t="shared" si="57"/>
        <v/>
      </c>
      <c r="AE216" s="182"/>
      <c r="AF216" s="182"/>
      <c r="AG216" s="182"/>
      <c r="AH216" s="182"/>
      <c r="AI216" s="182"/>
      <c r="AJ216" s="182"/>
      <c r="AK216" s="182"/>
      <c r="AL216" s="182"/>
      <c r="AM216" s="182"/>
      <c r="AN216" s="182"/>
      <c r="AO216" s="182"/>
      <c r="AP216" s="182"/>
      <c r="AQ216" s="182"/>
      <c r="AR216" s="182"/>
      <c r="AS216" s="182"/>
    </row>
    <row r="217" spans="1:45">
      <c r="A217" s="263"/>
      <c r="B217" s="260"/>
      <c r="C217" s="244"/>
      <c r="D217" s="184"/>
      <c r="E217" s="185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70" t="str">
        <f t="shared" si="51"/>
        <v/>
      </c>
      <c r="U217" s="170" t="str">
        <f t="shared" si="52"/>
        <v/>
      </c>
      <c r="V217" s="170" t="str">
        <f t="shared" si="53"/>
        <v/>
      </c>
      <c r="W217" s="170" t="str">
        <f t="shared" si="54"/>
        <v/>
      </c>
      <c r="X217" s="170" t="str">
        <f t="shared" si="58"/>
        <v/>
      </c>
      <c r="Y217" s="170" t="str">
        <f t="shared" si="59"/>
        <v/>
      </c>
      <c r="Z217" s="170" t="str">
        <f t="shared" si="60"/>
        <v/>
      </c>
      <c r="AA217" s="170" t="str">
        <f t="shared" si="55"/>
        <v/>
      </c>
      <c r="AB217" s="170" t="str">
        <f t="shared" si="56"/>
        <v/>
      </c>
      <c r="AC217" s="172" t="str">
        <f t="shared" si="57"/>
        <v/>
      </c>
      <c r="AE217" s="182"/>
      <c r="AF217" s="182"/>
      <c r="AG217" s="182"/>
      <c r="AH217" s="182"/>
      <c r="AI217" s="182"/>
      <c r="AJ217" s="182"/>
      <c r="AK217" s="182"/>
      <c r="AL217" s="182"/>
      <c r="AM217" s="182"/>
      <c r="AN217" s="182"/>
      <c r="AO217" s="182"/>
      <c r="AP217" s="182"/>
      <c r="AQ217" s="182"/>
      <c r="AR217" s="182"/>
      <c r="AS217" s="182"/>
    </row>
    <row r="218" spans="1:45">
      <c r="A218" s="263"/>
      <c r="B218" s="260"/>
      <c r="C218" s="244"/>
      <c r="D218" s="184"/>
      <c r="E218" s="185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70" t="str">
        <f t="shared" si="51"/>
        <v/>
      </c>
      <c r="U218" s="170" t="str">
        <f t="shared" si="52"/>
        <v/>
      </c>
      <c r="V218" s="170" t="str">
        <f t="shared" si="53"/>
        <v/>
      </c>
      <c r="W218" s="170" t="str">
        <f t="shared" si="54"/>
        <v/>
      </c>
      <c r="X218" s="170" t="str">
        <f t="shared" si="58"/>
        <v/>
      </c>
      <c r="Y218" s="170" t="str">
        <f t="shared" si="59"/>
        <v/>
      </c>
      <c r="Z218" s="170" t="str">
        <f t="shared" si="60"/>
        <v/>
      </c>
      <c r="AA218" s="170" t="str">
        <f t="shared" si="55"/>
        <v/>
      </c>
      <c r="AB218" s="170" t="str">
        <f t="shared" si="56"/>
        <v/>
      </c>
      <c r="AC218" s="172" t="str">
        <f t="shared" si="57"/>
        <v/>
      </c>
      <c r="AE218" s="182"/>
      <c r="AF218" s="182"/>
      <c r="AG218" s="182"/>
      <c r="AH218" s="182"/>
      <c r="AI218" s="182"/>
      <c r="AJ218" s="182"/>
      <c r="AK218" s="182"/>
      <c r="AL218" s="182"/>
      <c r="AM218" s="182"/>
      <c r="AN218" s="182"/>
      <c r="AO218" s="182"/>
      <c r="AP218" s="182"/>
      <c r="AQ218" s="182"/>
      <c r="AR218" s="182"/>
      <c r="AS218" s="182"/>
    </row>
    <row r="219" spans="1:45">
      <c r="A219" s="263"/>
      <c r="B219" s="260"/>
      <c r="C219" s="244"/>
      <c r="D219" s="184"/>
      <c r="E219" s="185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70" t="str">
        <f t="shared" si="51"/>
        <v/>
      </c>
      <c r="U219" s="170" t="str">
        <f t="shared" si="52"/>
        <v/>
      </c>
      <c r="V219" s="170" t="str">
        <f t="shared" si="53"/>
        <v/>
      </c>
      <c r="W219" s="170" t="str">
        <f t="shared" si="54"/>
        <v/>
      </c>
      <c r="X219" s="170" t="str">
        <f t="shared" si="58"/>
        <v/>
      </c>
      <c r="Y219" s="170" t="str">
        <f t="shared" si="59"/>
        <v/>
      </c>
      <c r="Z219" s="170" t="str">
        <f t="shared" si="60"/>
        <v/>
      </c>
      <c r="AA219" s="170" t="str">
        <f t="shared" si="55"/>
        <v/>
      </c>
      <c r="AB219" s="170" t="str">
        <f t="shared" si="56"/>
        <v/>
      </c>
      <c r="AC219" s="172" t="str">
        <f t="shared" si="57"/>
        <v/>
      </c>
      <c r="AE219" s="182"/>
      <c r="AF219" s="182"/>
      <c r="AG219" s="182"/>
      <c r="AH219" s="182"/>
      <c r="AI219" s="182"/>
      <c r="AJ219" s="182"/>
      <c r="AK219" s="182"/>
      <c r="AL219" s="182"/>
      <c r="AM219" s="182"/>
      <c r="AN219" s="182"/>
      <c r="AO219" s="182"/>
      <c r="AP219" s="182"/>
      <c r="AQ219" s="182"/>
      <c r="AR219" s="182"/>
      <c r="AS219" s="182"/>
    </row>
    <row r="220" spans="1:45">
      <c r="A220" s="263"/>
      <c r="B220" s="260"/>
      <c r="C220" s="244"/>
      <c r="D220" s="184"/>
      <c r="E220" s="185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70" t="str">
        <f t="shared" si="51"/>
        <v/>
      </c>
      <c r="U220" s="170" t="str">
        <f t="shared" si="52"/>
        <v/>
      </c>
      <c r="V220" s="170" t="str">
        <f t="shared" si="53"/>
        <v/>
      </c>
      <c r="W220" s="170" t="str">
        <f t="shared" si="54"/>
        <v/>
      </c>
      <c r="X220" s="170" t="str">
        <f t="shared" si="58"/>
        <v/>
      </c>
      <c r="Y220" s="170" t="str">
        <f t="shared" si="59"/>
        <v/>
      </c>
      <c r="Z220" s="170" t="str">
        <f t="shared" si="60"/>
        <v/>
      </c>
      <c r="AA220" s="170" t="str">
        <f t="shared" si="55"/>
        <v/>
      </c>
      <c r="AB220" s="170" t="str">
        <f t="shared" si="56"/>
        <v/>
      </c>
      <c r="AC220" s="172" t="str">
        <f t="shared" si="57"/>
        <v/>
      </c>
      <c r="AE220" s="182"/>
      <c r="AF220" s="182"/>
      <c r="AG220" s="182"/>
      <c r="AH220" s="182"/>
      <c r="AI220" s="182"/>
      <c r="AJ220" s="182"/>
      <c r="AK220" s="182"/>
      <c r="AL220" s="182"/>
      <c r="AM220" s="182"/>
      <c r="AN220" s="182"/>
      <c r="AO220" s="182"/>
      <c r="AP220" s="182"/>
      <c r="AQ220" s="182"/>
      <c r="AR220" s="182"/>
      <c r="AS220" s="182"/>
    </row>
    <row r="221" spans="1:45">
      <c r="A221" s="263"/>
      <c r="B221" s="261"/>
      <c r="C221" s="245"/>
      <c r="D221" s="184"/>
      <c r="E221" s="185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70" t="str">
        <f t="shared" si="51"/>
        <v/>
      </c>
      <c r="U221" s="170" t="str">
        <f t="shared" si="52"/>
        <v/>
      </c>
      <c r="V221" s="170" t="str">
        <f t="shared" si="53"/>
        <v/>
      </c>
      <c r="W221" s="170" t="str">
        <f t="shared" si="54"/>
        <v/>
      </c>
      <c r="X221" s="170" t="str">
        <f t="shared" si="58"/>
        <v/>
      </c>
      <c r="Y221" s="170" t="str">
        <f t="shared" si="59"/>
        <v/>
      </c>
      <c r="Z221" s="170"/>
      <c r="AA221" s="170" t="str">
        <f t="shared" si="55"/>
        <v/>
      </c>
      <c r="AB221" s="170" t="str">
        <f t="shared" si="56"/>
        <v/>
      </c>
      <c r="AC221" s="172" t="str">
        <f t="shared" si="57"/>
        <v/>
      </c>
      <c r="AE221" s="182"/>
      <c r="AF221" s="182"/>
      <c r="AG221" s="182"/>
      <c r="AH221" s="182"/>
      <c r="AI221" s="182"/>
      <c r="AJ221" s="182"/>
      <c r="AK221" s="182"/>
      <c r="AL221" s="182"/>
      <c r="AM221" s="182"/>
      <c r="AN221" s="182"/>
      <c r="AO221" s="182"/>
      <c r="AP221" s="182"/>
      <c r="AQ221" s="182"/>
      <c r="AR221" s="182"/>
      <c r="AS221" s="182"/>
    </row>
    <row r="222" spans="1:45">
      <c r="A222" s="263">
        <v>28</v>
      </c>
      <c r="B222" s="252"/>
      <c r="C222" s="243"/>
      <c r="D222" s="184"/>
      <c r="E222" s="189"/>
      <c r="F222" s="186"/>
      <c r="G222" s="186"/>
      <c r="H222" s="186"/>
      <c r="I222" s="186"/>
      <c r="J222" s="186"/>
      <c r="K222" s="169"/>
      <c r="L222" s="169"/>
      <c r="M222" s="169"/>
      <c r="N222" s="169"/>
      <c r="O222" s="169"/>
      <c r="P222" s="169"/>
      <c r="Q222" s="169"/>
      <c r="R222" s="169"/>
      <c r="S222" s="169"/>
      <c r="T222" s="170" t="str">
        <f t="shared" si="51"/>
        <v/>
      </c>
      <c r="U222" s="170" t="str">
        <f t="shared" si="52"/>
        <v/>
      </c>
      <c r="V222" s="170" t="str">
        <f t="shared" si="53"/>
        <v/>
      </c>
      <c r="W222" s="170" t="str">
        <f t="shared" si="54"/>
        <v/>
      </c>
      <c r="X222" s="170" t="str">
        <f t="shared" si="58"/>
        <v/>
      </c>
      <c r="Y222" s="170" t="str">
        <f t="shared" si="59"/>
        <v/>
      </c>
      <c r="Z222" s="170" t="str">
        <f t="shared" si="60"/>
        <v/>
      </c>
      <c r="AA222" s="170" t="str">
        <f t="shared" si="55"/>
        <v/>
      </c>
      <c r="AB222" s="170" t="str">
        <f t="shared" si="56"/>
        <v/>
      </c>
      <c r="AC222" s="172" t="str">
        <f t="shared" si="57"/>
        <v/>
      </c>
      <c r="AE222" s="182"/>
      <c r="AF222" s="182"/>
      <c r="AG222" s="182"/>
      <c r="AH222" s="182"/>
      <c r="AI222" s="182"/>
      <c r="AJ222" s="182"/>
      <c r="AK222" s="182"/>
      <c r="AL222" s="182"/>
      <c r="AM222" s="182"/>
      <c r="AN222" s="182"/>
      <c r="AO222" s="182"/>
      <c r="AP222" s="182"/>
      <c r="AQ222" s="182"/>
      <c r="AR222" s="182"/>
      <c r="AS222" s="182"/>
    </row>
    <row r="223" spans="1:45">
      <c r="A223" s="263"/>
      <c r="B223" s="260"/>
      <c r="C223" s="244"/>
      <c r="D223" s="184"/>
      <c r="E223" s="189"/>
      <c r="F223" s="186"/>
      <c r="G223" s="186"/>
      <c r="H223" s="186"/>
      <c r="I223" s="186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70" t="str">
        <f t="shared" si="51"/>
        <v/>
      </c>
      <c r="U223" s="170" t="str">
        <f t="shared" si="52"/>
        <v/>
      </c>
      <c r="V223" s="170" t="str">
        <f t="shared" si="53"/>
        <v/>
      </c>
      <c r="W223" s="170" t="str">
        <f t="shared" si="54"/>
        <v/>
      </c>
      <c r="X223" s="170" t="str">
        <f t="shared" si="58"/>
        <v/>
      </c>
      <c r="Y223" s="170" t="str">
        <f t="shared" si="59"/>
        <v/>
      </c>
      <c r="Z223" s="170" t="str">
        <f t="shared" si="60"/>
        <v/>
      </c>
      <c r="AA223" s="170" t="str">
        <f t="shared" si="55"/>
        <v/>
      </c>
      <c r="AB223" s="170" t="str">
        <f t="shared" si="56"/>
        <v/>
      </c>
      <c r="AC223" s="172" t="str">
        <f t="shared" si="57"/>
        <v/>
      </c>
      <c r="AE223" s="182"/>
      <c r="AF223" s="182"/>
      <c r="AG223" s="182"/>
      <c r="AH223" s="182"/>
      <c r="AI223" s="182"/>
      <c r="AJ223" s="182"/>
      <c r="AK223" s="182"/>
      <c r="AL223" s="182"/>
      <c r="AM223" s="182"/>
      <c r="AN223" s="182"/>
      <c r="AO223" s="182"/>
      <c r="AP223" s="182"/>
      <c r="AQ223" s="182"/>
      <c r="AR223" s="182"/>
      <c r="AS223" s="182"/>
    </row>
    <row r="224" spans="1:45">
      <c r="A224" s="263"/>
      <c r="B224" s="260"/>
      <c r="C224" s="244"/>
      <c r="D224" s="184"/>
      <c r="E224" s="189"/>
      <c r="F224" s="186"/>
      <c r="G224" s="186"/>
      <c r="H224" s="186"/>
      <c r="I224" s="186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70" t="str">
        <f t="shared" si="51"/>
        <v/>
      </c>
      <c r="U224" s="170" t="str">
        <f t="shared" si="52"/>
        <v/>
      </c>
      <c r="V224" s="170" t="str">
        <f t="shared" si="53"/>
        <v/>
      </c>
      <c r="W224" s="170" t="str">
        <f t="shared" si="54"/>
        <v/>
      </c>
      <c r="X224" s="170" t="str">
        <f t="shared" si="58"/>
        <v/>
      </c>
      <c r="Y224" s="170" t="str">
        <f t="shared" si="59"/>
        <v/>
      </c>
      <c r="Z224" s="170" t="str">
        <f t="shared" si="60"/>
        <v/>
      </c>
      <c r="AA224" s="170" t="str">
        <f t="shared" si="55"/>
        <v/>
      </c>
      <c r="AB224" s="170" t="str">
        <f t="shared" si="56"/>
        <v/>
      </c>
      <c r="AC224" s="172" t="str">
        <f t="shared" si="57"/>
        <v/>
      </c>
      <c r="AE224" s="182"/>
      <c r="AF224" s="182"/>
      <c r="AG224" s="182"/>
      <c r="AH224" s="182"/>
      <c r="AI224" s="182"/>
      <c r="AJ224" s="182"/>
      <c r="AK224" s="182"/>
      <c r="AL224" s="182"/>
      <c r="AM224" s="182"/>
      <c r="AN224" s="182"/>
      <c r="AO224" s="182"/>
      <c r="AP224" s="182"/>
      <c r="AQ224" s="182"/>
      <c r="AR224" s="182"/>
      <c r="AS224" s="182"/>
    </row>
    <row r="225" spans="1:45">
      <c r="A225" s="263"/>
      <c r="B225" s="260"/>
      <c r="C225" s="244"/>
      <c r="D225" s="184"/>
      <c r="E225" s="185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70" t="str">
        <f t="shared" si="51"/>
        <v/>
      </c>
      <c r="U225" s="170" t="str">
        <f t="shared" si="52"/>
        <v/>
      </c>
      <c r="V225" s="170" t="str">
        <f t="shared" si="53"/>
        <v/>
      </c>
      <c r="W225" s="170" t="str">
        <f t="shared" si="54"/>
        <v/>
      </c>
      <c r="X225" s="170" t="str">
        <f t="shared" si="58"/>
        <v/>
      </c>
      <c r="Y225" s="170" t="str">
        <f t="shared" si="59"/>
        <v/>
      </c>
      <c r="Z225" s="170" t="str">
        <f t="shared" si="60"/>
        <v/>
      </c>
      <c r="AA225" s="170" t="str">
        <f t="shared" si="55"/>
        <v/>
      </c>
      <c r="AB225" s="170" t="str">
        <f t="shared" si="56"/>
        <v/>
      </c>
      <c r="AC225" s="172" t="str">
        <f t="shared" si="57"/>
        <v/>
      </c>
      <c r="AE225" s="182"/>
      <c r="AF225" s="182"/>
      <c r="AG225" s="182"/>
      <c r="AH225" s="182"/>
      <c r="AI225" s="182"/>
      <c r="AJ225" s="182"/>
      <c r="AK225" s="182"/>
      <c r="AL225" s="182"/>
      <c r="AM225" s="182"/>
      <c r="AN225" s="182"/>
      <c r="AO225" s="182"/>
      <c r="AP225" s="182"/>
      <c r="AQ225" s="182"/>
      <c r="AR225" s="182"/>
      <c r="AS225" s="182"/>
    </row>
    <row r="226" spans="1:45">
      <c r="A226" s="263"/>
      <c r="B226" s="260"/>
      <c r="C226" s="244"/>
      <c r="D226" s="184"/>
      <c r="E226" s="185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70" t="str">
        <f t="shared" si="51"/>
        <v/>
      </c>
      <c r="U226" s="170" t="str">
        <f t="shared" si="52"/>
        <v/>
      </c>
      <c r="V226" s="170" t="str">
        <f t="shared" si="53"/>
        <v/>
      </c>
      <c r="W226" s="170" t="str">
        <f t="shared" si="54"/>
        <v/>
      </c>
      <c r="X226" s="170" t="str">
        <f t="shared" si="58"/>
        <v/>
      </c>
      <c r="Y226" s="170" t="str">
        <f t="shared" si="59"/>
        <v/>
      </c>
      <c r="Z226" s="170" t="str">
        <f t="shared" si="60"/>
        <v/>
      </c>
      <c r="AA226" s="170" t="str">
        <f t="shared" si="55"/>
        <v/>
      </c>
      <c r="AB226" s="170" t="str">
        <f t="shared" si="56"/>
        <v/>
      </c>
      <c r="AC226" s="172" t="str">
        <f t="shared" si="57"/>
        <v/>
      </c>
      <c r="AE226" s="182"/>
      <c r="AF226" s="182"/>
      <c r="AG226" s="182"/>
      <c r="AH226" s="182"/>
      <c r="AI226" s="182"/>
      <c r="AJ226" s="182"/>
      <c r="AK226" s="182"/>
      <c r="AL226" s="182"/>
      <c r="AM226" s="182"/>
      <c r="AN226" s="182"/>
      <c r="AO226" s="182"/>
      <c r="AP226" s="182"/>
      <c r="AQ226" s="182"/>
      <c r="AR226" s="182"/>
      <c r="AS226" s="182"/>
    </row>
    <row r="227" spans="1:45">
      <c r="A227" s="263"/>
      <c r="B227" s="260"/>
      <c r="C227" s="244"/>
      <c r="D227" s="184"/>
      <c r="E227" s="185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70" t="str">
        <f t="shared" si="51"/>
        <v/>
      </c>
      <c r="U227" s="170" t="str">
        <f t="shared" si="52"/>
        <v/>
      </c>
      <c r="V227" s="170" t="str">
        <f t="shared" si="53"/>
        <v/>
      </c>
      <c r="W227" s="170" t="str">
        <f t="shared" si="54"/>
        <v/>
      </c>
      <c r="X227" s="170" t="str">
        <f t="shared" si="58"/>
        <v/>
      </c>
      <c r="Y227" s="170" t="str">
        <f t="shared" si="59"/>
        <v/>
      </c>
      <c r="Z227" s="170" t="str">
        <f t="shared" si="60"/>
        <v/>
      </c>
      <c r="AA227" s="170" t="str">
        <f t="shared" si="55"/>
        <v/>
      </c>
      <c r="AB227" s="170" t="str">
        <f t="shared" si="56"/>
        <v/>
      </c>
      <c r="AC227" s="172" t="str">
        <f t="shared" si="57"/>
        <v/>
      </c>
      <c r="AE227" s="182"/>
      <c r="AF227" s="182"/>
      <c r="AG227" s="182"/>
      <c r="AH227" s="182"/>
      <c r="AI227" s="182"/>
      <c r="AJ227" s="182"/>
      <c r="AK227" s="182"/>
      <c r="AL227" s="182"/>
      <c r="AM227" s="182"/>
      <c r="AN227" s="182"/>
      <c r="AO227" s="182"/>
      <c r="AP227" s="182"/>
      <c r="AQ227" s="182"/>
      <c r="AR227" s="182"/>
      <c r="AS227" s="182"/>
    </row>
    <row r="228" spans="1:45">
      <c r="A228" s="263"/>
      <c r="B228" s="260"/>
      <c r="C228" s="244"/>
      <c r="D228" s="184"/>
      <c r="E228" s="185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70" t="str">
        <f t="shared" si="51"/>
        <v/>
      </c>
      <c r="U228" s="170" t="str">
        <f t="shared" si="52"/>
        <v/>
      </c>
      <c r="V228" s="170" t="str">
        <f t="shared" si="53"/>
        <v/>
      </c>
      <c r="W228" s="170" t="str">
        <f t="shared" si="54"/>
        <v/>
      </c>
      <c r="X228" s="170" t="str">
        <f t="shared" si="58"/>
        <v/>
      </c>
      <c r="Y228" s="170" t="str">
        <f t="shared" si="59"/>
        <v/>
      </c>
      <c r="Z228" s="170" t="str">
        <f t="shared" si="60"/>
        <v/>
      </c>
      <c r="AA228" s="170" t="str">
        <f t="shared" si="55"/>
        <v/>
      </c>
      <c r="AB228" s="170" t="str">
        <f t="shared" si="56"/>
        <v/>
      </c>
      <c r="AC228" s="172" t="str">
        <f t="shared" si="57"/>
        <v/>
      </c>
      <c r="AE228" s="182"/>
      <c r="AF228" s="182"/>
      <c r="AG228" s="182"/>
      <c r="AH228" s="182"/>
      <c r="AI228" s="182"/>
      <c r="AJ228" s="182"/>
      <c r="AK228" s="182"/>
      <c r="AL228" s="182"/>
      <c r="AM228" s="182"/>
      <c r="AN228" s="182"/>
      <c r="AO228" s="182"/>
      <c r="AP228" s="182"/>
      <c r="AQ228" s="182"/>
      <c r="AR228" s="182"/>
      <c r="AS228" s="182"/>
    </row>
    <row r="229" spans="1:45">
      <c r="A229" s="263"/>
      <c r="B229" s="261"/>
      <c r="C229" s="245"/>
      <c r="D229" s="184"/>
      <c r="E229" s="185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70" t="str">
        <f t="shared" si="51"/>
        <v/>
      </c>
      <c r="U229" s="170" t="str">
        <f t="shared" si="52"/>
        <v/>
      </c>
      <c r="V229" s="170" t="str">
        <f t="shared" si="53"/>
        <v/>
      </c>
      <c r="W229" s="170" t="str">
        <f t="shared" si="54"/>
        <v/>
      </c>
      <c r="X229" s="170" t="str">
        <f t="shared" si="58"/>
        <v/>
      </c>
      <c r="Y229" s="170" t="str">
        <f t="shared" si="59"/>
        <v/>
      </c>
      <c r="Z229" s="170"/>
      <c r="AA229" s="170" t="str">
        <f t="shared" si="55"/>
        <v/>
      </c>
      <c r="AB229" s="170" t="str">
        <f t="shared" si="56"/>
        <v/>
      </c>
      <c r="AC229" s="172" t="str">
        <f t="shared" si="57"/>
        <v/>
      </c>
      <c r="AE229" s="182"/>
      <c r="AF229" s="182"/>
      <c r="AG229" s="182"/>
      <c r="AH229" s="182"/>
      <c r="AI229" s="182"/>
      <c r="AJ229" s="182"/>
      <c r="AK229" s="182"/>
      <c r="AL229" s="182"/>
      <c r="AM229" s="182"/>
      <c r="AN229" s="182"/>
      <c r="AO229" s="182"/>
      <c r="AP229" s="182"/>
      <c r="AQ229" s="182"/>
      <c r="AR229" s="182"/>
      <c r="AS229" s="182"/>
    </row>
    <row r="230" spans="1:45">
      <c r="A230" s="263">
        <v>29</v>
      </c>
      <c r="B230" s="252"/>
      <c r="C230" s="243"/>
      <c r="D230" s="184"/>
      <c r="E230" s="185"/>
      <c r="F230" s="169"/>
      <c r="G230" s="169"/>
      <c r="H230" s="169"/>
      <c r="I230" s="169"/>
      <c r="J230" s="169"/>
      <c r="K230" s="186"/>
      <c r="L230" s="169"/>
      <c r="M230" s="169"/>
      <c r="N230" s="169"/>
      <c r="O230" s="169"/>
      <c r="P230" s="169"/>
      <c r="Q230" s="169"/>
      <c r="R230" s="169"/>
      <c r="S230" s="169"/>
      <c r="T230" s="170" t="str">
        <f t="shared" ref="T230:T293" si="61">IF(COUNT(E230:S230)=0,"",SUM(E230:S230))</f>
        <v/>
      </c>
      <c r="U230" s="170" t="str">
        <f t="shared" ref="U230:U293" si="62">IF(COUNT(E230:S230)=0,"",SUMSQ(E230:S230))</f>
        <v/>
      </c>
      <c r="V230" s="170" t="str">
        <f t="shared" ref="V230:V293" si="63">IF(COUNT(E230:S230)=0,"",AVERAGE(E230:S230))</f>
        <v/>
      </c>
      <c r="W230" s="170" t="str">
        <f t="shared" ref="W230:W293" si="64">IF(COUNT(E230:S230)=0,"",STDEVP(E230:S230))</f>
        <v/>
      </c>
      <c r="X230" s="170" t="str">
        <f t="shared" si="58"/>
        <v/>
      </c>
      <c r="Y230" s="170" t="str">
        <f t="shared" si="59"/>
        <v/>
      </c>
      <c r="Z230" s="170" t="str">
        <f t="shared" si="60"/>
        <v/>
      </c>
      <c r="AA230" s="170" t="str">
        <f t="shared" ref="AA230:AA293" si="65">IF(COUNT(E230:S230)=0,"",SUM(IF(AND(E230&gt;X230,E230&lt;Y230),E230,0),IF(AND(F230&gt;X230,F230&lt;Y230),F230,0),IF(AND(G230&gt;X230,G230&lt;Y230),G230,0),IF(AND(H230&gt;X230,H230&lt;Y230),H230,0),IF(AND(I230&gt;X230,I230&lt;Y230),I230,0),IF(AND(J230&gt;X230,J230&lt;Y230),J230,0),IF(AND(K230&gt;X230,K230&lt;Y230),K230,0),IF(AND(L230&gt;X230,L230&lt;Y230),L230,0),IF(AND(M230&gt;X230,M230&lt;Y230),M230,0),IF(AND(N230&gt;X230,N230&lt;Y230),N230,0),IF(AND(O230&gt;X230,O230&lt;Y230),O230,0),IF(AND(P230&gt;X230,P230&lt;Y230),P230,0),IF(AND(Q230&gt;X230,Q230&lt;Y230),Q230,0),IF(AND(R230&gt;X230,R230&lt;Y230),R230,0),IF(AND(S230&gt;X230,S230&lt;Y230),S230,0)))</f>
        <v/>
      </c>
      <c r="AB230" s="170" t="str">
        <f t="shared" ref="AB230:AB293" si="66">IF(COUNT(E230:S230)=0,"",SUMSQ(IF(AND(E230&gt;X230,E230&lt;Y230),E230,0),IF(AND(F230&gt;X230,F230&lt;Y230),F230,0),IF(AND(G230&gt;X230,G230&lt;Y230),G230,0),IF(AND(H230&gt;X230,H230&lt;Y230),H230,0),IF(AND(I230&gt;X230,I230&lt;Y230),I230,0),IF(AND(J230&gt;X230,J230&lt;Y230),J230,0),IF(AND(K230&gt;X230,K230&lt;Y230),K230,0),IF(AND(L230&gt;X230,L230&lt;Y230),L230,0),IF(AND(M230&gt;X230,M230&lt;Y230),M230,0),IF(AND(N230&gt;X230,N230&lt;Y230),N230,0),IF(AND(O230&gt;X230,O230&lt;Y230),O230,0),IF(AND(P230&gt;X230,P230&lt;Y230),P230,0),IF(AND(Q230&gt;X230,Q230&lt;Y230),Q230,0),IF(AND(R230&gt;X230,R230&lt;Y230),R230,0),IF(AND(S230&gt;X230,S230&lt;Y230),S230,0)))</f>
        <v/>
      </c>
      <c r="AC230" s="172" t="str">
        <f t="shared" ref="AC230:AC293" si="67">IF(COUNT(E230:S230)=0,"",POWER(40*SQRT(SUM(IF(AND(E230&gt;X230,E230&lt;Y230),1,0),IF(AND(F230&gt;X230,F230&lt;Y230),1,0),IF(AND(G230&gt;X230,G230&lt;Y230),1,0),IF(AND(H230&gt;X230,H230&lt;Y230),1,0),IF(AND(I230&gt;X230,I230&lt;Y230),1,0),IF(AND(J230&gt;X230,J230&lt;Y230),1,0),IF(AND(K230&gt;X230,K230&lt;Y230),1,0),IF(AND(L230&gt;X230,L230&lt;Y230),1,0),IF(AND(M230&gt;X230,M230&lt;Y230),1,0),IF(AND(N230&gt;X230,N230&lt;Y230),1,0),IF(AND(O230&gt;X230,O230&lt;Y230),1,0),IF(AND(P230&gt;X230,P230&lt;Y230),1,0),IF(AND(Q230&gt;X230,Q230&lt;Y230),1,0),IF(AND(R230&gt;X230,R230&lt;Y230),1,0),IF(AND(S230&gt;X230,S230&lt;Y230),1,0))*AB230-POWER(AA230,2))/AA230,2))</f>
        <v/>
      </c>
      <c r="AE230" s="182"/>
      <c r="AF230" s="182"/>
      <c r="AG230" s="182"/>
      <c r="AH230" s="182"/>
      <c r="AI230" s="182"/>
      <c r="AJ230" s="182"/>
      <c r="AK230" s="182"/>
      <c r="AL230" s="182"/>
      <c r="AM230" s="182"/>
      <c r="AN230" s="182"/>
      <c r="AO230" s="182"/>
      <c r="AP230" s="182"/>
      <c r="AQ230" s="182"/>
      <c r="AR230" s="182"/>
      <c r="AS230" s="182"/>
    </row>
    <row r="231" spans="1:45">
      <c r="A231" s="263"/>
      <c r="B231" s="260"/>
      <c r="C231" s="244"/>
      <c r="D231" s="184"/>
      <c r="E231" s="185"/>
      <c r="F231" s="169"/>
      <c r="G231" s="169"/>
      <c r="H231" s="169"/>
      <c r="I231" s="169"/>
      <c r="J231" s="169"/>
      <c r="K231" s="186"/>
      <c r="L231" s="169"/>
      <c r="M231" s="169"/>
      <c r="N231" s="169"/>
      <c r="O231" s="169"/>
      <c r="P231" s="169"/>
      <c r="Q231" s="169"/>
      <c r="R231" s="169"/>
      <c r="S231" s="169"/>
      <c r="T231" s="170" t="str">
        <f t="shared" si="61"/>
        <v/>
      </c>
      <c r="U231" s="170" t="str">
        <f t="shared" si="62"/>
        <v/>
      </c>
      <c r="V231" s="170" t="str">
        <f t="shared" si="63"/>
        <v/>
      </c>
      <c r="W231" s="170" t="str">
        <f t="shared" si="64"/>
        <v/>
      </c>
      <c r="X231" s="170" t="str">
        <f t="shared" si="58"/>
        <v/>
      </c>
      <c r="Y231" s="170" t="str">
        <f t="shared" si="59"/>
        <v/>
      </c>
      <c r="Z231" s="170" t="str">
        <f t="shared" si="60"/>
        <v/>
      </c>
      <c r="AA231" s="170" t="str">
        <f t="shared" si="65"/>
        <v/>
      </c>
      <c r="AB231" s="170" t="str">
        <f t="shared" si="66"/>
        <v/>
      </c>
      <c r="AC231" s="172" t="str">
        <f t="shared" si="67"/>
        <v/>
      </c>
      <c r="AE231" s="182"/>
      <c r="AF231" s="182"/>
      <c r="AG231" s="182"/>
      <c r="AH231" s="182"/>
      <c r="AI231" s="182"/>
      <c r="AJ231" s="182"/>
      <c r="AK231" s="182"/>
      <c r="AL231" s="182"/>
      <c r="AM231" s="182"/>
      <c r="AN231" s="182"/>
      <c r="AO231" s="182"/>
      <c r="AP231" s="182"/>
      <c r="AQ231" s="182"/>
      <c r="AR231" s="182"/>
      <c r="AS231" s="182"/>
    </row>
    <row r="232" spans="1:45">
      <c r="A232" s="263"/>
      <c r="B232" s="260"/>
      <c r="C232" s="244"/>
      <c r="D232" s="184"/>
      <c r="E232" s="185"/>
      <c r="F232" s="169"/>
      <c r="G232" s="169"/>
      <c r="H232" s="169"/>
      <c r="I232" s="169"/>
      <c r="J232" s="169"/>
      <c r="K232" s="186"/>
      <c r="L232" s="169"/>
      <c r="M232" s="169"/>
      <c r="N232" s="169"/>
      <c r="O232" s="169"/>
      <c r="P232" s="169"/>
      <c r="Q232" s="169"/>
      <c r="R232" s="169"/>
      <c r="S232" s="169"/>
      <c r="T232" s="170" t="str">
        <f t="shared" si="61"/>
        <v/>
      </c>
      <c r="U232" s="170" t="str">
        <f t="shared" si="62"/>
        <v/>
      </c>
      <c r="V232" s="170" t="str">
        <f t="shared" si="63"/>
        <v/>
      </c>
      <c r="W232" s="170" t="str">
        <f t="shared" si="64"/>
        <v/>
      </c>
      <c r="X232" s="170" t="str">
        <f t="shared" si="58"/>
        <v/>
      </c>
      <c r="Y232" s="170" t="str">
        <f t="shared" si="59"/>
        <v/>
      </c>
      <c r="Z232" s="170" t="str">
        <f t="shared" si="60"/>
        <v/>
      </c>
      <c r="AA232" s="170" t="str">
        <f t="shared" si="65"/>
        <v/>
      </c>
      <c r="AB232" s="170" t="str">
        <f t="shared" si="66"/>
        <v/>
      </c>
      <c r="AC232" s="172" t="str">
        <f t="shared" si="67"/>
        <v/>
      </c>
      <c r="AE232" s="182"/>
      <c r="AF232" s="182"/>
      <c r="AG232" s="182"/>
      <c r="AH232" s="182"/>
      <c r="AI232" s="182"/>
      <c r="AJ232" s="182"/>
      <c r="AK232" s="182"/>
      <c r="AL232" s="182"/>
      <c r="AM232" s="182"/>
      <c r="AN232" s="182"/>
      <c r="AO232" s="182"/>
      <c r="AP232" s="182"/>
      <c r="AQ232" s="182"/>
      <c r="AR232" s="182"/>
      <c r="AS232" s="182"/>
    </row>
    <row r="233" spans="1:45">
      <c r="A233" s="263"/>
      <c r="B233" s="260"/>
      <c r="C233" s="244"/>
      <c r="D233" s="184"/>
      <c r="E233" s="185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70" t="str">
        <f t="shared" si="61"/>
        <v/>
      </c>
      <c r="U233" s="170" t="str">
        <f t="shared" si="62"/>
        <v/>
      </c>
      <c r="V233" s="170" t="str">
        <f t="shared" si="63"/>
        <v/>
      </c>
      <c r="W233" s="170" t="str">
        <f t="shared" si="64"/>
        <v/>
      </c>
      <c r="X233" s="170" t="str">
        <f t="shared" si="58"/>
        <v/>
      </c>
      <c r="Y233" s="170" t="str">
        <f t="shared" si="59"/>
        <v/>
      </c>
      <c r="Z233" s="170" t="str">
        <f t="shared" si="60"/>
        <v/>
      </c>
      <c r="AA233" s="170" t="str">
        <f t="shared" si="65"/>
        <v/>
      </c>
      <c r="AB233" s="170" t="str">
        <f t="shared" si="66"/>
        <v/>
      </c>
      <c r="AC233" s="172" t="str">
        <f t="shared" si="67"/>
        <v/>
      </c>
      <c r="AE233" s="182"/>
      <c r="AF233" s="182"/>
      <c r="AG233" s="182"/>
      <c r="AH233" s="182"/>
      <c r="AI233" s="182"/>
      <c r="AJ233" s="182"/>
      <c r="AK233" s="182"/>
      <c r="AL233" s="182"/>
      <c r="AM233" s="182"/>
      <c r="AN233" s="182"/>
      <c r="AO233" s="182"/>
      <c r="AP233" s="182"/>
      <c r="AQ233" s="182"/>
      <c r="AR233" s="182"/>
      <c r="AS233" s="182"/>
    </row>
    <row r="234" spans="1:45">
      <c r="A234" s="263"/>
      <c r="B234" s="260"/>
      <c r="C234" s="244"/>
      <c r="D234" s="184"/>
      <c r="E234" s="185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70" t="str">
        <f t="shared" si="61"/>
        <v/>
      </c>
      <c r="U234" s="170" t="str">
        <f t="shared" si="62"/>
        <v/>
      </c>
      <c r="V234" s="170" t="str">
        <f t="shared" si="63"/>
        <v/>
      </c>
      <c r="W234" s="170" t="str">
        <f t="shared" si="64"/>
        <v/>
      </c>
      <c r="X234" s="170" t="str">
        <f t="shared" si="58"/>
        <v/>
      </c>
      <c r="Y234" s="170" t="str">
        <f t="shared" si="59"/>
        <v/>
      </c>
      <c r="Z234" s="170" t="str">
        <f t="shared" si="60"/>
        <v/>
      </c>
      <c r="AA234" s="170" t="str">
        <f t="shared" si="65"/>
        <v/>
      </c>
      <c r="AB234" s="170" t="str">
        <f t="shared" si="66"/>
        <v/>
      </c>
      <c r="AC234" s="172" t="str">
        <f t="shared" si="67"/>
        <v/>
      </c>
      <c r="AE234" s="182"/>
      <c r="AF234" s="182"/>
      <c r="AG234" s="182"/>
      <c r="AH234" s="182"/>
      <c r="AI234" s="182"/>
      <c r="AJ234" s="182"/>
      <c r="AK234" s="182"/>
      <c r="AL234" s="182"/>
      <c r="AM234" s="182"/>
      <c r="AN234" s="182"/>
      <c r="AO234" s="182"/>
      <c r="AP234" s="182"/>
      <c r="AQ234" s="182"/>
      <c r="AR234" s="182"/>
      <c r="AS234" s="182"/>
    </row>
    <row r="235" spans="1:45">
      <c r="A235" s="263"/>
      <c r="B235" s="260"/>
      <c r="C235" s="244"/>
      <c r="D235" s="184"/>
      <c r="E235" s="185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70" t="str">
        <f t="shared" si="61"/>
        <v/>
      </c>
      <c r="U235" s="170" t="str">
        <f t="shared" si="62"/>
        <v/>
      </c>
      <c r="V235" s="170" t="str">
        <f t="shared" si="63"/>
        <v/>
      </c>
      <c r="W235" s="170" t="str">
        <f t="shared" si="64"/>
        <v/>
      </c>
      <c r="X235" s="170" t="str">
        <f t="shared" si="58"/>
        <v/>
      </c>
      <c r="Y235" s="170" t="str">
        <f t="shared" si="59"/>
        <v/>
      </c>
      <c r="Z235" s="170" t="str">
        <f t="shared" si="60"/>
        <v/>
      </c>
      <c r="AA235" s="170" t="str">
        <f t="shared" si="65"/>
        <v/>
      </c>
      <c r="AB235" s="170" t="str">
        <f t="shared" si="66"/>
        <v/>
      </c>
      <c r="AC235" s="172" t="str">
        <f t="shared" si="67"/>
        <v/>
      </c>
      <c r="AE235" s="182"/>
      <c r="AF235" s="182"/>
      <c r="AG235" s="182"/>
      <c r="AH235" s="182"/>
      <c r="AI235" s="182"/>
      <c r="AJ235" s="182"/>
      <c r="AK235" s="182"/>
      <c r="AL235" s="182"/>
      <c r="AM235" s="182"/>
      <c r="AN235" s="182"/>
      <c r="AO235" s="182"/>
      <c r="AP235" s="182"/>
      <c r="AQ235" s="182"/>
      <c r="AR235" s="182"/>
      <c r="AS235" s="182"/>
    </row>
    <row r="236" spans="1:45">
      <c r="A236" s="263"/>
      <c r="B236" s="260"/>
      <c r="C236" s="244"/>
      <c r="D236" s="184"/>
      <c r="E236" s="185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70" t="str">
        <f t="shared" si="61"/>
        <v/>
      </c>
      <c r="U236" s="170" t="str">
        <f t="shared" si="62"/>
        <v/>
      </c>
      <c r="V236" s="170" t="str">
        <f t="shared" si="63"/>
        <v/>
      </c>
      <c r="W236" s="170" t="str">
        <f t="shared" si="64"/>
        <v/>
      </c>
      <c r="X236" s="170" t="str">
        <f t="shared" si="58"/>
        <v/>
      </c>
      <c r="Y236" s="170" t="str">
        <f t="shared" si="59"/>
        <v/>
      </c>
      <c r="Z236" s="170" t="str">
        <f t="shared" si="60"/>
        <v/>
      </c>
      <c r="AA236" s="170" t="str">
        <f t="shared" si="65"/>
        <v/>
      </c>
      <c r="AB236" s="170" t="str">
        <f t="shared" si="66"/>
        <v/>
      </c>
      <c r="AC236" s="172" t="str">
        <f t="shared" si="67"/>
        <v/>
      </c>
      <c r="AE236" s="182"/>
      <c r="AF236" s="182"/>
      <c r="AG236" s="182"/>
      <c r="AH236" s="182"/>
      <c r="AI236" s="182"/>
      <c r="AJ236" s="182"/>
      <c r="AK236" s="182"/>
      <c r="AL236" s="182"/>
      <c r="AM236" s="182"/>
      <c r="AN236" s="182"/>
      <c r="AO236" s="182"/>
      <c r="AP236" s="182"/>
      <c r="AQ236" s="182"/>
      <c r="AR236" s="182"/>
      <c r="AS236" s="182"/>
    </row>
    <row r="237" spans="1:45">
      <c r="A237" s="263"/>
      <c r="B237" s="261"/>
      <c r="C237" s="245"/>
      <c r="D237" s="184"/>
      <c r="E237" s="185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70" t="str">
        <f t="shared" si="61"/>
        <v/>
      </c>
      <c r="U237" s="170" t="str">
        <f t="shared" si="62"/>
        <v/>
      </c>
      <c r="V237" s="170" t="str">
        <f t="shared" si="63"/>
        <v/>
      </c>
      <c r="W237" s="170" t="str">
        <f t="shared" si="64"/>
        <v/>
      </c>
      <c r="X237" s="170" t="str">
        <f t="shared" si="58"/>
        <v/>
      </c>
      <c r="Y237" s="170" t="str">
        <f t="shared" si="59"/>
        <v/>
      </c>
      <c r="Z237" s="170"/>
      <c r="AA237" s="170" t="str">
        <f t="shared" si="65"/>
        <v/>
      </c>
      <c r="AB237" s="170" t="str">
        <f t="shared" si="66"/>
        <v/>
      </c>
      <c r="AC237" s="172" t="str">
        <f t="shared" si="67"/>
        <v/>
      </c>
      <c r="AE237" s="182"/>
      <c r="AF237" s="182"/>
      <c r="AG237" s="182"/>
      <c r="AH237" s="182"/>
      <c r="AI237" s="182"/>
      <c r="AJ237" s="182"/>
      <c r="AK237" s="182"/>
      <c r="AL237" s="182"/>
      <c r="AM237" s="182"/>
      <c r="AN237" s="182"/>
      <c r="AO237" s="182"/>
      <c r="AP237" s="182"/>
      <c r="AQ237" s="182"/>
      <c r="AR237" s="182"/>
      <c r="AS237" s="182"/>
    </row>
    <row r="238" spans="1:45" ht="15" customHeight="1">
      <c r="A238" s="263">
        <v>30</v>
      </c>
      <c r="B238" s="252"/>
      <c r="C238" s="243"/>
      <c r="D238" s="184"/>
      <c r="E238" s="189"/>
      <c r="F238" s="186"/>
      <c r="G238" s="186"/>
      <c r="H238" s="186"/>
      <c r="I238" s="186"/>
      <c r="J238" s="186"/>
      <c r="K238" s="169"/>
      <c r="L238" s="169"/>
      <c r="M238" s="169"/>
      <c r="N238" s="169"/>
      <c r="O238" s="169"/>
      <c r="P238" s="169"/>
      <c r="Q238" s="169"/>
      <c r="R238" s="169"/>
      <c r="S238" s="169"/>
      <c r="T238" s="170" t="str">
        <f t="shared" si="61"/>
        <v/>
      </c>
      <c r="U238" s="170" t="str">
        <f t="shared" si="62"/>
        <v/>
      </c>
      <c r="V238" s="170" t="str">
        <f t="shared" si="63"/>
        <v/>
      </c>
      <c r="W238" s="170" t="str">
        <f t="shared" si="64"/>
        <v/>
      </c>
      <c r="X238" s="170" t="str">
        <f t="shared" si="58"/>
        <v/>
      </c>
      <c r="Y238" s="170" t="str">
        <f t="shared" si="59"/>
        <v/>
      </c>
      <c r="Z238" s="170" t="str">
        <f t="shared" si="60"/>
        <v/>
      </c>
      <c r="AA238" s="170" t="str">
        <f t="shared" si="65"/>
        <v/>
      </c>
      <c r="AB238" s="170" t="str">
        <f t="shared" si="66"/>
        <v/>
      </c>
      <c r="AC238" s="172" t="str">
        <f t="shared" si="67"/>
        <v/>
      </c>
      <c r="AE238" s="182"/>
      <c r="AF238" s="182"/>
      <c r="AG238" s="182"/>
      <c r="AH238" s="182"/>
      <c r="AI238" s="182"/>
      <c r="AJ238" s="182"/>
      <c r="AK238" s="182"/>
      <c r="AL238" s="182"/>
      <c r="AM238" s="182"/>
      <c r="AN238" s="182"/>
      <c r="AO238" s="182"/>
      <c r="AP238" s="182"/>
      <c r="AQ238" s="182"/>
      <c r="AR238" s="182"/>
      <c r="AS238" s="182"/>
    </row>
    <row r="239" spans="1:45">
      <c r="A239" s="263"/>
      <c r="B239" s="260"/>
      <c r="C239" s="244"/>
      <c r="D239" s="184"/>
      <c r="E239" s="189"/>
      <c r="F239" s="186"/>
      <c r="G239" s="186"/>
      <c r="H239" s="186"/>
      <c r="I239" s="186"/>
      <c r="J239" s="186"/>
      <c r="K239" s="169"/>
      <c r="L239" s="169"/>
      <c r="M239" s="169"/>
      <c r="N239" s="169"/>
      <c r="O239" s="169"/>
      <c r="P239" s="169"/>
      <c r="Q239" s="169"/>
      <c r="R239" s="169"/>
      <c r="S239" s="169"/>
      <c r="T239" s="170" t="str">
        <f t="shared" si="61"/>
        <v/>
      </c>
      <c r="U239" s="170" t="str">
        <f t="shared" si="62"/>
        <v/>
      </c>
      <c r="V239" s="170" t="str">
        <f t="shared" si="63"/>
        <v/>
      </c>
      <c r="W239" s="170" t="str">
        <f t="shared" si="64"/>
        <v/>
      </c>
      <c r="X239" s="170" t="str">
        <f t="shared" si="58"/>
        <v/>
      </c>
      <c r="Y239" s="170" t="str">
        <f t="shared" si="59"/>
        <v/>
      </c>
      <c r="Z239" s="170" t="str">
        <f t="shared" si="60"/>
        <v/>
      </c>
      <c r="AA239" s="170" t="str">
        <f t="shared" si="65"/>
        <v/>
      </c>
      <c r="AB239" s="170" t="str">
        <f t="shared" si="66"/>
        <v/>
      </c>
      <c r="AC239" s="172" t="str">
        <f t="shared" si="67"/>
        <v/>
      </c>
      <c r="AE239" s="182"/>
      <c r="AF239" s="182"/>
      <c r="AG239" s="182"/>
      <c r="AH239" s="182"/>
      <c r="AI239" s="182"/>
      <c r="AJ239" s="182"/>
      <c r="AK239" s="182"/>
      <c r="AL239" s="182"/>
      <c r="AM239" s="182"/>
      <c r="AN239" s="182"/>
      <c r="AO239" s="182"/>
      <c r="AP239" s="182"/>
      <c r="AQ239" s="182"/>
      <c r="AR239" s="182"/>
      <c r="AS239" s="182"/>
    </row>
    <row r="240" spans="1:45">
      <c r="A240" s="263"/>
      <c r="B240" s="260"/>
      <c r="C240" s="244"/>
      <c r="D240" s="184"/>
      <c r="E240" s="189"/>
      <c r="F240" s="186"/>
      <c r="G240" s="186"/>
      <c r="H240" s="186"/>
      <c r="I240" s="186"/>
      <c r="J240" s="186"/>
      <c r="K240" s="169"/>
      <c r="L240" s="169"/>
      <c r="M240" s="169"/>
      <c r="N240" s="169"/>
      <c r="O240" s="169"/>
      <c r="P240" s="169"/>
      <c r="Q240" s="169"/>
      <c r="R240" s="169"/>
      <c r="S240" s="169"/>
      <c r="T240" s="170" t="str">
        <f t="shared" si="61"/>
        <v/>
      </c>
      <c r="U240" s="170" t="str">
        <f t="shared" si="62"/>
        <v/>
      </c>
      <c r="V240" s="170" t="str">
        <f t="shared" si="63"/>
        <v/>
      </c>
      <c r="W240" s="170" t="str">
        <f t="shared" si="64"/>
        <v/>
      </c>
      <c r="X240" s="170" t="str">
        <f t="shared" si="58"/>
        <v/>
      </c>
      <c r="Y240" s="170" t="str">
        <f t="shared" si="59"/>
        <v/>
      </c>
      <c r="Z240" s="170" t="str">
        <f t="shared" si="60"/>
        <v/>
      </c>
      <c r="AA240" s="170" t="str">
        <f t="shared" si="65"/>
        <v/>
      </c>
      <c r="AB240" s="170" t="str">
        <f t="shared" si="66"/>
        <v/>
      </c>
      <c r="AC240" s="172" t="str">
        <f t="shared" si="67"/>
        <v/>
      </c>
      <c r="AE240" s="182"/>
      <c r="AF240" s="182"/>
      <c r="AG240" s="182"/>
      <c r="AH240" s="182"/>
      <c r="AI240" s="182"/>
      <c r="AJ240" s="182"/>
      <c r="AK240" s="182"/>
      <c r="AL240" s="182"/>
      <c r="AM240" s="182"/>
      <c r="AN240" s="182"/>
      <c r="AO240" s="182"/>
      <c r="AP240" s="182"/>
      <c r="AQ240" s="182"/>
      <c r="AR240" s="182"/>
      <c r="AS240" s="182"/>
    </row>
    <row r="241" spans="1:45">
      <c r="A241" s="263"/>
      <c r="B241" s="260"/>
      <c r="C241" s="244"/>
      <c r="D241" s="184"/>
      <c r="E241" s="185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70" t="str">
        <f t="shared" si="61"/>
        <v/>
      </c>
      <c r="U241" s="170" t="str">
        <f t="shared" si="62"/>
        <v/>
      </c>
      <c r="V241" s="170" t="str">
        <f t="shared" si="63"/>
        <v/>
      </c>
      <c r="W241" s="170" t="str">
        <f t="shared" si="64"/>
        <v/>
      </c>
      <c r="X241" s="170" t="str">
        <f t="shared" si="58"/>
        <v/>
      </c>
      <c r="Y241" s="170" t="str">
        <f t="shared" si="59"/>
        <v/>
      </c>
      <c r="Z241" s="170" t="str">
        <f t="shared" si="60"/>
        <v/>
      </c>
      <c r="AA241" s="170" t="str">
        <f t="shared" si="65"/>
        <v/>
      </c>
      <c r="AB241" s="170" t="str">
        <f t="shared" si="66"/>
        <v/>
      </c>
      <c r="AC241" s="172" t="str">
        <f t="shared" si="67"/>
        <v/>
      </c>
      <c r="AE241" s="182"/>
      <c r="AF241" s="182"/>
      <c r="AG241" s="182"/>
      <c r="AH241" s="182"/>
      <c r="AI241" s="182"/>
      <c r="AJ241" s="182"/>
      <c r="AK241" s="182"/>
      <c r="AL241" s="182"/>
      <c r="AM241" s="182"/>
      <c r="AN241" s="182"/>
      <c r="AO241" s="182"/>
      <c r="AP241" s="182"/>
      <c r="AQ241" s="182"/>
      <c r="AR241" s="182"/>
      <c r="AS241" s="182"/>
    </row>
    <row r="242" spans="1:45">
      <c r="A242" s="263"/>
      <c r="B242" s="260"/>
      <c r="C242" s="244"/>
      <c r="D242" s="184"/>
      <c r="E242" s="185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70" t="str">
        <f t="shared" si="61"/>
        <v/>
      </c>
      <c r="U242" s="170" t="str">
        <f t="shared" si="62"/>
        <v/>
      </c>
      <c r="V242" s="170" t="str">
        <f t="shared" si="63"/>
        <v/>
      </c>
      <c r="W242" s="170" t="str">
        <f t="shared" si="64"/>
        <v/>
      </c>
      <c r="X242" s="170" t="str">
        <f t="shared" si="58"/>
        <v/>
      </c>
      <c r="Y242" s="170" t="str">
        <f t="shared" si="59"/>
        <v/>
      </c>
      <c r="Z242" s="170" t="str">
        <f t="shared" si="60"/>
        <v/>
      </c>
      <c r="AA242" s="170" t="str">
        <f t="shared" si="65"/>
        <v/>
      </c>
      <c r="AB242" s="170" t="str">
        <f t="shared" si="66"/>
        <v/>
      </c>
      <c r="AC242" s="172" t="str">
        <f t="shared" si="67"/>
        <v/>
      </c>
      <c r="AE242" s="182"/>
      <c r="AF242" s="182"/>
      <c r="AG242" s="182"/>
      <c r="AH242" s="182"/>
      <c r="AI242" s="182"/>
      <c r="AJ242" s="182"/>
      <c r="AK242" s="182"/>
      <c r="AL242" s="182"/>
      <c r="AM242" s="182"/>
      <c r="AN242" s="182"/>
      <c r="AO242" s="182"/>
      <c r="AP242" s="182"/>
      <c r="AQ242" s="182"/>
      <c r="AR242" s="182"/>
      <c r="AS242" s="182"/>
    </row>
    <row r="243" spans="1:45">
      <c r="A243" s="263"/>
      <c r="B243" s="260"/>
      <c r="C243" s="244"/>
      <c r="D243" s="184"/>
      <c r="E243" s="185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70" t="str">
        <f t="shared" si="61"/>
        <v/>
      </c>
      <c r="U243" s="170" t="str">
        <f t="shared" si="62"/>
        <v/>
      </c>
      <c r="V243" s="170" t="str">
        <f t="shared" si="63"/>
        <v/>
      </c>
      <c r="W243" s="170" t="str">
        <f t="shared" si="64"/>
        <v/>
      </c>
      <c r="X243" s="170" t="str">
        <f t="shared" si="58"/>
        <v/>
      </c>
      <c r="Y243" s="170" t="str">
        <f t="shared" si="59"/>
        <v/>
      </c>
      <c r="Z243" s="170" t="str">
        <f t="shared" si="60"/>
        <v/>
      </c>
      <c r="AA243" s="170" t="str">
        <f t="shared" si="65"/>
        <v/>
      </c>
      <c r="AB243" s="170" t="str">
        <f t="shared" si="66"/>
        <v/>
      </c>
      <c r="AC243" s="172" t="str">
        <f t="shared" si="67"/>
        <v/>
      </c>
      <c r="AE243" s="182"/>
      <c r="AF243" s="182"/>
      <c r="AG243" s="182"/>
      <c r="AH243" s="182"/>
      <c r="AI243" s="182"/>
      <c r="AJ243" s="182"/>
      <c r="AK243" s="182"/>
      <c r="AL243" s="182"/>
      <c r="AM243" s="182"/>
      <c r="AN243" s="182"/>
      <c r="AO243" s="182"/>
      <c r="AP243" s="182"/>
      <c r="AQ243" s="182"/>
      <c r="AR243" s="182"/>
      <c r="AS243" s="182"/>
    </row>
    <row r="244" spans="1:45">
      <c r="A244" s="263"/>
      <c r="B244" s="260"/>
      <c r="C244" s="244"/>
      <c r="D244" s="184"/>
      <c r="E244" s="185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70" t="str">
        <f t="shared" si="61"/>
        <v/>
      </c>
      <c r="U244" s="170" t="str">
        <f t="shared" si="62"/>
        <v/>
      </c>
      <c r="V244" s="170" t="str">
        <f t="shared" si="63"/>
        <v/>
      </c>
      <c r="W244" s="170" t="str">
        <f t="shared" si="64"/>
        <v/>
      </c>
      <c r="X244" s="170" t="str">
        <f t="shared" si="58"/>
        <v/>
      </c>
      <c r="Y244" s="170" t="str">
        <f t="shared" si="59"/>
        <v/>
      </c>
      <c r="Z244" s="170" t="str">
        <f t="shared" si="60"/>
        <v/>
      </c>
      <c r="AA244" s="170" t="str">
        <f t="shared" si="65"/>
        <v/>
      </c>
      <c r="AB244" s="170" t="str">
        <f t="shared" si="66"/>
        <v/>
      </c>
      <c r="AC244" s="172" t="str">
        <f t="shared" si="67"/>
        <v/>
      </c>
      <c r="AE244" s="182"/>
      <c r="AF244" s="182"/>
      <c r="AG244" s="182"/>
      <c r="AH244" s="182"/>
      <c r="AI244" s="182"/>
      <c r="AJ244" s="182"/>
      <c r="AK244" s="182"/>
      <c r="AL244" s="182"/>
      <c r="AM244" s="182"/>
      <c r="AN244" s="182"/>
      <c r="AO244" s="182"/>
      <c r="AP244" s="182"/>
      <c r="AQ244" s="182"/>
      <c r="AR244" s="182"/>
      <c r="AS244" s="182"/>
    </row>
    <row r="245" spans="1:45">
      <c r="A245" s="263"/>
      <c r="B245" s="261"/>
      <c r="C245" s="245"/>
      <c r="D245" s="184"/>
      <c r="E245" s="185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70" t="str">
        <f t="shared" si="61"/>
        <v/>
      </c>
      <c r="U245" s="170" t="str">
        <f t="shared" si="62"/>
        <v/>
      </c>
      <c r="V245" s="170" t="str">
        <f t="shared" si="63"/>
        <v/>
      </c>
      <c r="W245" s="170" t="str">
        <f t="shared" si="64"/>
        <v/>
      </c>
      <c r="X245" s="170" t="str">
        <f t="shared" si="58"/>
        <v/>
      </c>
      <c r="Y245" s="170" t="str">
        <f t="shared" si="59"/>
        <v/>
      </c>
      <c r="Z245" s="170"/>
      <c r="AA245" s="170" t="str">
        <f t="shared" si="65"/>
        <v/>
      </c>
      <c r="AB245" s="170" t="str">
        <f t="shared" si="66"/>
        <v/>
      </c>
      <c r="AC245" s="172" t="str">
        <f t="shared" si="67"/>
        <v/>
      </c>
      <c r="AE245" s="182"/>
      <c r="AF245" s="182"/>
      <c r="AG245" s="182"/>
      <c r="AH245" s="182"/>
      <c r="AI245" s="182"/>
      <c r="AJ245" s="182"/>
      <c r="AK245" s="182"/>
      <c r="AL245" s="182"/>
      <c r="AM245" s="182"/>
      <c r="AN245" s="182"/>
      <c r="AO245" s="182"/>
      <c r="AP245" s="182"/>
      <c r="AQ245" s="182"/>
      <c r="AR245" s="182"/>
      <c r="AS245" s="182"/>
    </row>
    <row r="246" spans="1:45" ht="15" customHeight="1">
      <c r="A246" s="263">
        <v>31</v>
      </c>
      <c r="B246" s="252"/>
      <c r="C246" s="243"/>
      <c r="D246" s="184"/>
      <c r="E246" s="189"/>
      <c r="F246" s="186"/>
      <c r="G246" s="186"/>
      <c r="H246" s="186"/>
      <c r="I246" s="186"/>
      <c r="J246" s="186"/>
      <c r="K246" s="186"/>
      <c r="L246" s="169"/>
      <c r="M246" s="169"/>
      <c r="N246" s="169"/>
      <c r="O246" s="169"/>
      <c r="P246" s="169"/>
      <c r="Q246" s="169"/>
      <c r="R246" s="169"/>
      <c r="S246" s="169"/>
      <c r="T246" s="170" t="str">
        <f t="shared" si="61"/>
        <v/>
      </c>
      <c r="U246" s="170" t="str">
        <f t="shared" si="62"/>
        <v/>
      </c>
      <c r="V246" s="170" t="str">
        <f t="shared" si="63"/>
        <v/>
      </c>
      <c r="W246" s="170" t="str">
        <f t="shared" si="64"/>
        <v/>
      </c>
      <c r="X246" s="170" t="str">
        <f t="shared" si="58"/>
        <v/>
      </c>
      <c r="Y246" s="170" t="str">
        <f t="shared" si="59"/>
        <v/>
      </c>
      <c r="Z246" s="170" t="str">
        <f t="shared" si="60"/>
        <v/>
      </c>
      <c r="AA246" s="170" t="str">
        <f t="shared" si="65"/>
        <v/>
      </c>
      <c r="AB246" s="170" t="str">
        <f t="shared" si="66"/>
        <v/>
      </c>
      <c r="AC246" s="172" t="str">
        <f t="shared" si="67"/>
        <v/>
      </c>
      <c r="AE246" s="182"/>
      <c r="AF246" s="182"/>
      <c r="AG246" s="182"/>
      <c r="AH246" s="182"/>
      <c r="AI246" s="182"/>
      <c r="AJ246" s="182"/>
      <c r="AK246" s="182"/>
      <c r="AL246" s="182"/>
      <c r="AM246" s="182"/>
      <c r="AN246" s="182"/>
      <c r="AO246" s="182"/>
      <c r="AP246" s="182"/>
      <c r="AQ246" s="182"/>
      <c r="AR246" s="182"/>
      <c r="AS246" s="182"/>
    </row>
    <row r="247" spans="1:45">
      <c r="A247" s="263"/>
      <c r="B247" s="260"/>
      <c r="C247" s="244"/>
      <c r="D247" s="184"/>
      <c r="E247" s="189"/>
      <c r="F247" s="186"/>
      <c r="G247" s="186"/>
      <c r="H247" s="186"/>
      <c r="I247" s="186"/>
      <c r="J247" s="186"/>
      <c r="K247" s="186"/>
      <c r="L247" s="169"/>
      <c r="M247" s="169"/>
      <c r="N247" s="169"/>
      <c r="O247" s="169"/>
      <c r="P247" s="169"/>
      <c r="Q247" s="169"/>
      <c r="R247" s="169"/>
      <c r="S247" s="169"/>
      <c r="T247" s="170" t="str">
        <f t="shared" si="61"/>
        <v/>
      </c>
      <c r="U247" s="170" t="str">
        <f t="shared" si="62"/>
        <v/>
      </c>
      <c r="V247" s="170" t="str">
        <f t="shared" si="63"/>
        <v/>
      </c>
      <c r="W247" s="170" t="str">
        <f t="shared" si="64"/>
        <v/>
      </c>
      <c r="X247" s="170" t="str">
        <f t="shared" si="58"/>
        <v/>
      </c>
      <c r="Y247" s="170" t="str">
        <f t="shared" si="59"/>
        <v/>
      </c>
      <c r="Z247" s="170" t="str">
        <f t="shared" si="60"/>
        <v/>
      </c>
      <c r="AA247" s="170" t="str">
        <f t="shared" si="65"/>
        <v/>
      </c>
      <c r="AB247" s="170" t="str">
        <f t="shared" si="66"/>
        <v/>
      </c>
      <c r="AC247" s="172" t="str">
        <f t="shared" si="67"/>
        <v/>
      </c>
      <c r="AE247" s="182"/>
      <c r="AF247" s="182"/>
      <c r="AG247" s="182"/>
      <c r="AH247" s="182"/>
      <c r="AI247" s="182"/>
      <c r="AJ247" s="182"/>
      <c r="AK247" s="182"/>
      <c r="AL247" s="182"/>
      <c r="AM247" s="182"/>
      <c r="AN247" s="182"/>
      <c r="AO247" s="182"/>
      <c r="AP247" s="182"/>
      <c r="AQ247" s="182"/>
      <c r="AR247" s="182"/>
      <c r="AS247" s="182"/>
    </row>
    <row r="248" spans="1:45">
      <c r="A248" s="263"/>
      <c r="B248" s="260"/>
      <c r="C248" s="244"/>
      <c r="D248" s="184"/>
      <c r="E248" s="189"/>
      <c r="F248" s="186"/>
      <c r="G248" s="186"/>
      <c r="H248" s="186"/>
      <c r="I248" s="186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70" t="str">
        <f t="shared" si="61"/>
        <v/>
      </c>
      <c r="U248" s="170" t="str">
        <f t="shared" si="62"/>
        <v/>
      </c>
      <c r="V248" s="170" t="str">
        <f t="shared" si="63"/>
        <v/>
      </c>
      <c r="W248" s="170" t="str">
        <f t="shared" si="64"/>
        <v/>
      </c>
      <c r="X248" s="170" t="str">
        <f t="shared" si="58"/>
        <v/>
      </c>
      <c r="Y248" s="170" t="str">
        <f t="shared" si="59"/>
        <v/>
      </c>
      <c r="Z248" s="170" t="str">
        <f t="shared" si="60"/>
        <v/>
      </c>
      <c r="AA248" s="170" t="str">
        <f t="shared" si="65"/>
        <v/>
      </c>
      <c r="AB248" s="170" t="str">
        <f t="shared" si="66"/>
        <v/>
      </c>
      <c r="AC248" s="172" t="str">
        <f t="shared" si="67"/>
        <v/>
      </c>
      <c r="AE248" s="182"/>
      <c r="AF248" s="182"/>
      <c r="AG248" s="182"/>
      <c r="AH248" s="182"/>
      <c r="AI248" s="182"/>
      <c r="AJ248" s="182"/>
      <c r="AK248" s="182"/>
      <c r="AL248" s="182"/>
      <c r="AM248" s="182"/>
      <c r="AN248" s="182"/>
      <c r="AO248" s="182"/>
      <c r="AP248" s="182"/>
      <c r="AQ248" s="182"/>
      <c r="AR248" s="182"/>
      <c r="AS248" s="182"/>
    </row>
    <row r="249" spans="1:45">
      <c r="A249" s="263"/>
      <c r="B249" s="260"/>
      <c r="C249" s="244"/>
      <c r="D249" s="184"/>
      <c r="E249" s="185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70" t="str">
        <f t="shared" si="61"/>
        <v/>
      </c>
      <c r="U249" s="170" t="str">
        <f t="shared" si="62"/>
        <v/>
      </c>
      <c r="V249" s="170" t="str">
        <f t="shared" si="63"/>
        <v/>
      </c>
      <c r="W249" s="170" t="str">
        <f t="shared" si="64"/>
        <v/>
      </c>
      <c r="X249" s="170" t="str">
        <f t="shared" si="58"/>
        <v/>
      </c>
      <c r="Y249" s="170" t="str">
        <f t="shared" si="59"/>
        <v/>
      </c>
      <c r="Z249" s="170" t="str">
        <f t="shared" si="60"/>
        <v/>
      </c>
      <c r="AA249" s="170" t="str">
        <f t="shared" si="65"/>
        <v/>
      </c>
      <c r="AB249" s="170" t="str">
        <f t="shared" si="66"/>
        <v/>
      </c>
      <c r="AC249" s="172" t="str">
        <f t="shared" si="67"/>
        <v/>
      </c>
      <c r="AE249" s="182"/>
      <c r="AF249" s="182"/>
      <c r="AG249" s="182"/>
      <c r="AH249" s="182"/>
      <c r="AI249" s="182"/>
      <c r="AJ249" s="182"/>
      <c r="AK249" s="182"/>
      <c r="AL249" s="182"/>
      <c r="AM249" s="182"/>
      <c r="AN249" s="182"/>
      <c r="AO249" s="182"/>
      <c r="AP249" s="182"/>
      <c r="AQ249" s="182"/>
      <c r="AR249" s="182"/>
      <c r="AS249" s="182"/>
    </row>
    <row r="250" spans="1:45">
      <c r="A250" s="263"/>
      <c r="B250" s="260"/>
      <c r="C250" s="244"/>
      <c r="D250" s="184"/>
      <c r="E250" s="185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70" t="str">
        <f t="shared" si="61"/>
        <v/>
      </c>
      <c r="U250" s="170" t="str">
        <f t="shared" si="62"/>
        <v/>
      </c>
      <c r="V250" s="170" t="str">
        <f t="shared" si="63"/>
        <v/>
      </c>
      <c r="W250" s="170" t="str">
        <f t="shared" si="64"/>
        <v/>
      </c>
      <c r="X250" s="170" t="str">
        <f t="shared" si="58"/>
        <v/>
      </c>
      <c r="Y250" s="170" t="str">
        <f t="shared" si="59"/>
        <v/>
      </c>
      <c r="Z250" s="170" t="str">
        <f t="shared" si="60"/>
        <v/>
      </c>
      <c r="AA250" s="170" t="str">
        <f t="shared" si="65"/>
        <v/>
      </c>
      <c r="AB250" s="170" t="str">
        <f t="shared" si="66"/>
        <v/>
      </c>
      <c r="AC250" s="172" t="str">
        <f t="shared" si="67"/>
        <v/>
      </c>
      <c r="AE250" s="182"/>
      <c r="AF250" s="182"/>
      <c r="AG250" s="182"/>
      <c r="AH250" s="182"/>
      <c r="AI250" s="182"/>
      <c r="AJ250" s="182"/>
      <c r="AK250" s="182"/>
      <c r="AL250" s="182"/>
      <c r="AM250" s="182"/>
      <c r="AN250" s="182"/>
      <c r="AO250" s="182"/>
      <c r="AP250" s="182"/>
      <c r="AQ250" s="182"/>
      <c r="AR250" s="182"/>
      <c r="AS250" s="182"/>
    </row>
    <row r="251" spans="1:45">
      <c r="A251" s="263"/>
      <c r="B251" s="260"/>
      <c r="C251" s="244"/>
      <c r="D251" s="184"/>
      <c r="E251" s="185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70" t="str">
        <f t="shared" si="61"/>
        <v/>
      </c>
      <c r="U251" s="170" t="str">
        <f t="shared" si="62"/>
        <v/>
      </c>
      <c r="V251" s="170" t="str">
        <f t="shared" si="63"/>
        <v/>
      </c>
      <c r="W251" s="170" t="str">
        <f t="shared" si="64"/>
        <v/>
      </c>
      <c r="X251" s="170" t="str">
        <f t="shared" si="58"/>
        <v/>
      </c>
      <c r="Y251" s="170" t="str">
        <f t="shared" si="59"/>
        <v/>
      </c>
      <c r="Z251" s="170" t="str">
        <f t="shared" si="60"/>
        <v/>
      </c>
      <c r="AA251" s="170" t="str">
        <f t="shared" si="65"/>
        <v/>
      </c>
      <c r="AB251" s="170" t="str">
        <f t="shared" si="66"/>
        <v/>
      </c>
      <c r="AC251" s="172" t="str">
        <f t="shared" si="67"/>
        <v/>
      </c>
      <c r="AE251" s="182"/>
      <c r="AF251" s="182"/>
      <c r="AG251" s="182"/>
      <c r="AH251" s="182"/>
      <c r="AI251" s="182"/>
      <c r="AJ251" s="182"/>
      <c r="AK251" s="182"/>
      <c r="AL251" s="182"/>
      <c r="AM251" s="182"/>
      <c r="AN251" s="182"/>
      <c r="AO251" s="182"/>
      <c r="AP251" s="182"/>
      <c r="AQ251" s="182"/>
      <c r="AR251" s="182"/>
      <c r="AS251" s="182"/>
    </row>
    <row r="252" spans="1:45">
      <c r="A252" s="263"/>
      <c r="B252" s="260"/>
      <c r="C252" s="244"/>
      <c r="D252" s="184"/>
      <c r="E252" s="185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70" t="str">
        <f t="shared" si="61"/>
        <v/>
      </c>
      <c r="U252" s="170" t="str">
        <f t="shared" si="62"/>
        <v/>
      </c>
      <c r="V252" s="170" t="str">
        <f t="shared" si="63"/>
        <v/>
      </c>
      <c r="W252" s="170" t="str">
        <f t="shared" si="64"/>
        <v/>
      </c>
      <c r="X252" s="170" t="str">
        <f t="shared" si="58"/>
        <v/>
      </c>
      <c r="Y252" s="170" t="str">
        <f t="shared" si="59"/>
        <v/>
      </c>
      <c r="Z252" s="170" t="str">
        <f t="shared" si="60"/>
        <v/>
      </c>
      <c r="AA252" s="170" t="str">
        <f t="shared" si="65"/>
        <v/>
      </c>
      <c r="AB252" s="170" t="str">
        <f t="shared" si="66"/>
        <v/>
      </c>
      <c r="AC252" s="172" t="str">
        <f t="shared" si="67"/>
        <v/>
      </c>
      <c r="AE252" s="182"/>
      <c r="AF252" s="182"/>
      <c r="AG252" s="182"/>
      <c r="AH252" s="182"/>
      <c r="AI252" s="182"/>
      <c r="AJ252" s="182"/>
      <c r="AK252" s="182"/>
      <c r="AL252" s="182"/>
      <c r="AM252" s="182"/>
      <c r="AN252" s="182"/>
      <c r="AO252" s="182"/>
      <c r="AP252" s="182"/>
      <c r="AQ252" s="182"/>
      <c r="AR252" s="182"/>
      <c r="AS252" s="182"/>
    </row>
    <row r="253" spans="1:45">
      <c r="A253" s="263"/>
      <c r="B253" s="261"/>
      <c r="C253" s="245"/>
      <c r="D253" s="184"/>
      <c r="E253" s="185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70" t="str">
        <f t="shared" si="61"/>
        <v/>
      </c>
      <c r="U253" s="170" t="str">
        <f t="shared" si="62"/>
        <v/>
      </c>
      <c r="V253" s="170" t="str">
        <f t="shared" si="63"/>
        <v/>
      </c>
      <c r="W253" s="170" t="str">
        <f t="shared" si="64"/>
        <v/>
      </c>
      <c r="X253" s="170" t="str">
        <f t="shared" si="58"/>
        <v/>
      </c>
      <c r="Y253" s="170" t="str">
        <f t="shared" si="59"/>
        <v/>
      </c>
      <c r="Z253" s="170"/>
      <c r="AA253" s="170" t="str">
        <f t="shared" si="65"/>
        <v/>
      </c>
      <c r="AB253" s="170" t="str">
        <f t="shared" si="66"/>
        <v/>
      </c>
      <c r="AC253" s="172" t="str">
        <f t="shared" si="67"/>
        <v/>
      </c>
      <c r="AE253" s="182"/>
      <c r="AF253" s="182"/>
      <c r="AG253" s="182"/>
      <c r="AH253" s="182"/>
      <c r="AI253" s="182"/>
      <c r="AJ253" s="182"/>
      <c r="AK253" s="182"/>
      <c r="AL253" s="182"/>
      <c r="AM253" s="182"/>
      <c r="AN253" s="182"/>
      <c r="AO253" s="182"/>
      <c r="AP253" s="182"/>
      <c r="AQ253" s="182"/>
      <c r="AR253" s="182"/>
      <c r="AS253" s="182"/>
    </row>
    <row r="254" spans="1:45" ht="16.5" customHeight="1">
      <c r="A254" s="263">
        <v>32</v>
      </c>
      <c r="B254" s="252"/>
      <c r="C254" s="243"/>
      <c r="D254" s="184"/>
      <c r="E254" s="189"/>
      <c r="F254" s="186"/>
      <c r="G254" s="186"/>
      <c r="H254" s="186"/>
      <c r="I254" s="186"/>
      <c r="J254" s="186"/>
      <c r="K254" s="169"/>
      <c r="L254" s="169"/>
      <c r="M254" s="169"/>
      <c r="N254" s="169"/>
      <c r="O254" s="169"/>
      <c r="P254" s="169"/>
      <c r="Q254" s="169"/>
      <c r="R254" s="169"/>
      <c r="S254" s="169"/>
      <c r="T254" s="170" t="str">
        <f t="shared" si="61"/>
        <v/>
      </c>
      <c r="U254" s="170" t="str">
        <f t="shared" si="62"/>
        <v/>
      </c>
      <c r="V254" s="170" t="str">
        <f t="shared" si="63"/>
        <v/>
      </c>
      <c r="W254" s="170" t="str">
        <f t="shared" si="64"/>
        <v/>
      </c>
      <c r="X254" s="170" t="str">
        <f t="shared" si="58"/>
        <v/>
      </c>
      <c r="Y254" s="170" t="str">
        <f t="shared" si="59"/>
        <v/>
      </c>
      <c r="Z254" s="170" t="str">
        <f t="shared" si="60"/>
        <v/>
      </c>
      <c r="AA254" s="170" t="str">
        <f t="shared" si="65"/>
        <v/>
      </c>
      <c r="AB254" s="170" t="str">
        <f t="shared" si="66"/>
        <v/>
      </c>
      <c r="AC254" s="172" t="str">
        <f t="shared" si="67"/>
        <v/>
      </c>
      <c r="AE254" s="182"/>
      <c r="AF254" s="182"/>
      <c r="AG254" s="182"/>
      <c r="AH254" s="182"/>
      <c r="AI254" s="182"/>
      <c r="AJ254" s="182"/>
      <c r="AK254" s="182"/>
      <c r="AL254" s="182"/>
      <c r="AM254" s="182"/>
      <c r="AN254" s="182"/>
      <c r="AO254" s="182"/>
      <c r="AP254" s="182"/>
      <c r="AQ254" s="182"/>
      <c r="AR254" s="182"/>
      <c r="AS254" s="182"/>
    </row>
    <row r="255" spans="1:45">
      <c r="A255" s="263"/>
      <c r="B255" s="260"/>
      <c r="C255" s="244"/>
      <c r="D255" s="184"/>
      <c r="E255" s="189"/>
      <c r="F255" s="186"/>
      <c r="G255" s="186"/>
      <c r="H255" s="186"/>
      <c r="I255" s="186"/>
      <c r="J255" s="186"/>
      <c r="K255" s="169"/>
      <c r="L255" s="169"/>
      <c r="M255" s="169"/>
      <c r="N255" s="169"/>
      <c r="O255" s="169"/>
      <c r="P255" s="169"/>
      <c r="Q255" s="169"/>
      <c r="R255" s="169"/>
      <c r="S255" s="169"/>
      <c r="T255" s="170" t="str">
        <f t="shared" si="61"/>
        <v/>
      </c>
      <c r="U255" s="170" t="str">
        <f t="shared" si="62"/>
        <v/>
      </c>
      <c r="V255" s="170" t="str">
        <f t="shared" si="63"/>
        <v/>
      </c>
      <c r="W255" s="170" t="str">
        <f t="shared" si="64"/>
        <v/>
      </c>
      <c r="X255" s="170" t="str">
        <f t="shared" si="58"/>
        <v/>
      </c>
      <c r="Y255" s="170" t="str">
        <f t="shared" si="59"/>
        <v/>
      </c>
      <c r="Z255" s="170" t="str">
        <f t="shared" si="60"/>
        <v/>
      </c>
      <c r="AA255" s="170" t="str">
        <f t="shared" si="65"/>
        <v/>
      </c>
      <c r="AB255" s="170" t="str">
        <f t="shared" si="66"/>
        <v/>
      </c>
      <c r="AC255" s="172" t="str">
        <f t="shared" si="67"/>
        <v/>
      </c>
      <c r="AE255" s="182"/>
      <c r="AF255" s="182"/>
      <c r="AG255" s="182"/>
      <c r="AH255" s="182"/>
      <c r="AI255" s="182"/>
      <c r="AJ255" s="182"/>
      <c r="AK255" s="182"/>
      <c r="AL255" s="182"/>
      <c r="AM255" s="182"/>
      <c r="AN255" s="182"/>
      <c r="AO255" s="182"/>
      <c r="AP255" s="182"/>
      <c r="AQ255" s="182"/>
      <c r="AR255" s="182"/>
      <c r="AS255" s="182"/>
    </row>
    <row r="256" spans="1:45">
      <c r="A256" s="263"/>
      <c r="B256" s="260"/>
      <c r="C256" s="244"/>
      <c r="D256" s="184"/>
      <c r="E256" s="185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70" t="str">
        <f t="shared" si="61"/>
        <v/>
      </c>
      <c r="U256" s="170" t="str">
        <f t="shared" si="62"/>
        <v/>
      </c>
      <c r="V256" s="170" t="str">
        <f t="shared" si="63"/>
        <v/>
      </c>
      <c r="W256" s="170" t="str">
        <f t="shared" si="64"/>
        <v/>
      </c>
      <c r="X256" s="170" t="str">
        <f t="shared" si="58"/>
        <v/>
      </c>
      <c r="Y256" s="170" t="str">
        <f t="shared" si="59"/>
        <v/>
      </c>
      <c r="Z256" s="170" t="str">
        <f t="shared" si="60"/>
        <v/>
      </c>
      <c r="AA256" s="170" t="str">
        <f t="shared" si="65"/>
        <v/>
      </c>
      <c r="AB256" s="170" t="str">
        <f t="shared" si="66"/>
        <v/>
      </c>
      <c r="AC256" s="172" t="str">
        <f t="shared" si="67"/>
        <v/>
      </c>
      <c r="AE256" s="182"/>
      <c r="AF256" s="182"/>
      <c r="AG256" s="182"/>
      <c r="AH256" s="182"/>
      <c r="AI256" s="182"/>
      <c r="AJ256" s="182"/>
      <c r="AK256" s="182"/>
      <c r="AL256" s="182"/>
      <c r="AM256" s="182"/>
      <c r="AN256" s="182"/>
      <c r="AO256" s="182"/>
      <c r="AP256" s="182"/>
      <c r="AQ256" s="182"/>
      <c r="AR256" s="182"/>
      <c r="AS256" s="182"/>
    </row>
    <row r="257" spans="1:45">
      <c r="A257" s="263"/>
      <c r="B257" s="260"/>
      <c r="C257" s="244"/>
      <c r="D257" s="184"/>
      <c r="E257" s="185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70" t="str">
        <f t="shared" si="61"/>
        <v/>
      </c>
      <c r="U257" s="170" t="str">
        <f t="shared" si="62"/>
        <v/>
      </c>
      <c r="V257" s="170" t="str">
        <f t="shared" si="63"/>
        <v/>
      </c>
      <c r="W257" s="170" t="str">
        <f t="shared" si="64"/>
        <v/>
      </c>
      <c r="X257" s="170" t="str">
        <f t="shared" si="58"/>
        <v/>
      </c>
      <c r="Y257" s="170" t="str">
        <f t="shared" si="59"/>
        <v/>
      </c>
      <c r="Z257" s="170" t="str">
        <f t="shared" si="60"/>
        <v/>
      </c>
      <c r="AA257" s="170" t="str">
        <f t="shared" si="65"/>
        <v/>
      </c>
      <c r="AB257" s="170" t="str">
        <f t="shared" si="66"/>
        <v/>
      </c>
      <c r="AC257" s="172" t="str">
        <f t="shared" si="67"/>
        <v/>
      </c>
      <c r="AE257" s="182"/>
      <c r="AF257" s="182"/>
      <c r="AG257" s="182"/>
      <c r="AH257" s="182"/>
      <c r="AI257" s="182"/>
      <c r="AJ257" s="182"/>
      <c r="AK257" s="182"/>
      <c r="AL257" s="182"/>
      <c r="AM257" s="182"/>
      <c r="AN257" s="182"/>
      <c r="AO257" s="182"/>
      <c r="AP257" s="182"/>
      <c r="AQ257" s="182"/>
      <c r="AR257" s="182"/>
      <c r="AS257" s="182"/>
    </row>
    <row r="258" spans="1:45">
      <c r="A258" s="263"/>
      <c r="B258" s="260"/>
      <c r="C258" s="244"/>
      <c r="D258" s="184"/>
      <c r="E258" s="185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70" t="str">
        <f t="shared" si="61"/>
        <v/>
      </c>
      <c r="U258" s="170" t="str">
        <f t="shared" si="62"/>
        <v/>
      </c>
      <c r="V258" s="170" t="str">
        <f t="shared" si="63"/>
        <v/>
      </c>
      <c r="W258" s="170" t="str">
        <f t="shared" si="64"/>
        <v/>
      </c>
      <c r="X258" s="170" t="str">
        <f t="shared" si="58"/>
        <v/>
      </c>
      <c r="Y258" s="170" t="str">
        <f t="shared" si="59"/>
        <v/>
      </c>
      <c r="Z258" s="170" t="str">
        <f t="shared" si="60"/>
        <v/>
      </c>
      <c r="AA258" s="170" t="str">
        <f t="shared" si="65"/>
        <v/>
      </c>
      <c r="AB258" s="170" t="str">
        <f t="shared" si="66"/>
        <v/>
      </c>
      <c r="AC258" s="172" t="str">
        <f t="shared" si="67"/>
        <v/>
      </c>
      <c r="AE258" s="182"/>
      <c r="AF258" s="182"/>
      <c r="AG258" s="182"/>
      <c r="AH258" s="182"/>
      <c r="AI258" s="182"/>
      <c r="AJ258" s="182"/>
      <c r="AK258" s="182"/>
      <c r="AL258" s="182"/>
      <c r="AM258" s="182"/>
      <c r="AN258" s="182"/>
      <c r="AO258" s="182"/>
      <c r="AP258" s="182"/>
      <c r="AQ258" s="182"/>
      <c r="AR258" s="182"/>
      <c r="AS258" s="182"/>
    </row>
    <row r="259" spans="1:45">
      <c r="A259" s="263"/>
      <c r="B259" s="260"/>
      <c r="C259" s="244"/>
      <c r="D259" s="184"/>
      <c r="E259" s="185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70" t="str">
        <f t="shared" si="61"/>
        <v/>
      </c>
      <c r="U259" s="170" t="str">
        <f t="shared" si="62"/>
        <v/>
      </c>
      <c r="V259" s="170" t="str">
        <f t="shared" si="63"/>
        <v/>
      </c>
      <c r="W259" s="170" t="str">
        <f t="shared" si="64"/>
        <v/>
      </c>
      <c r="X259" s="170" t="str">
        <f t="shared" si="58"/>
        <v/>
      </c>
      <c r="Y259" s="170" t="str">
        <f t="shared" si="59"/>
        <v/>
      </c>
      <c r="Z259" s="170" t="str">
        <f t="shared" si="60"/>
        <v/>
      </c>
      <c r="AA259" s="170" t="str">
        <f t="shared" si="65"/>
        <v/>
      </c>
      <c r="AB259" s="170" t="str">
        <f t="shared" si="66"/>
        <v/>
      </c>
      <c r="AC259" s="172" t="str">
        <f t="shared" si="67"/>
        <v/>
      </c>
      <c r="AE259" s="182"/>
      <c r="AF259" s="182"/>
      <c r="AG259" s="182"/>
      <c r="AH259" s="182"/>
      <c r="AI259" s="182"/>
      <c r="AJ259" s="182"/>
      <c r="AK259" s="182"/>
      <c r="AL259" s="182"/>
      <c r="AM259" s="182"/>
      <c r="AN259" s="182"/>
      <c r="AO259" s="182"/>
      <c r="AP259" s="182"/>
      <c r="AQ259" s="182"/>
      <c r="AR259" s="182"/>
      <c r="AS259" s="182"/>
    </row>
    <row r="260" spans="1:45">
      <c r="A260" s="263"/>
      <c r="B260" s="260"/>
      <c r="C260" s="244"/>
      <c r="D260" s="184"/>
      <c r="E260" s="185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70" t="str">
        <f t="shared" si="61"/>
        <v/>
      </c>
      <c r="U260" s="170" t="str">
        <f t="shared" si="62"/>
        <v/>
      </c>
      <c r="V260" s="170" t="str">
        <f t="shared" si="63"/>
        <v/>
      </c>
      <c r="W260" s="170" t="str">
        <f t="shared" si="64"/>
        <v/>
      </c>
      <c r="X260" s="170" t="str">
        <f t="shared" si="58"/>
        <v/>
      </c>
      <c r="Y260" s="170" t="str">
        <f t="shared" si="59"/>
        <v/>
      </c>
      <c r="Z260" s="170" t="str">
        <f t="shared" si="60"/>
        <v/>
      </c>
      <c r="AA260" s="170" t="str">
        <f t="shared" si="65"/>
        <v/>
      </c>
      <c r="AB260" s="170" t="str">
        <f t="shared" si="66"/>
        <v/>
      </c>
      <c r="AC260" s="172" t="str">
        <f t="shared" si="67"/>
        <v/>
      </c>
      <c r="AE260" s="182"/>
      <c r="AF260" s="182"/>
      <c r="AG260" s="182"/>
      <c r="AH260" s="182"/>
      <c r="AI260" s="182"/>
      <c r="AJ260" s="182"/>
      <c r="AK260" s="182"/>
      <c r="AL260" s="182"/>
      <c r="AM260" s="182"/>
      <c r="AN260" s="182"/>
      <c r="AO260" s="182"/>
      <c r="AP260" s="182"/>
      <c r="AQ260" s="182"/>
      <c r="AR260" s="182"/>
      <c r="AS260" s="182"/>
    </row>
    <row r="261" spans="1:45">
      <c r="A261" s="263"/>
      <c r="B261" s="261"/>
      <c r="C261" s="245"/>
      <c r="D261" s="184"/>
      <c r="E261" s="185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70" t="str">
        <f t="shared" si="61"/>
        <v/>
      </c>
      <c r="U261" s="170" t="str">
        <f t="shared" si="62"/>
        <v/>
      </c>
      <c r="V261" s="170" t="str">
        <f t="shared" si="63"/>
        <v/>
      </c>
      <c r="W261" s="170" t="str">
        <f t="shared" si="64"/>
        <v/>
      </c>
      <c r="X261" s="170" t="str">
        <f t="shared" si="58"/>
        <v/>
      </c>
      <c r="Y261" s="170" t="str">
        <f t="shared" si="59"/>
        <v/>
      </c>
      <c r="Z261" s="170"/>
      <c r="AA261" s="170" t="str">
        <f t="shared" si="65"/>
        <v/>
      </c>
      <c r="AB261" s="170" t="str">
        <f t="shared" si="66"/>
        <v/>
      </c>
      <c r="AC261" s="172" t="str">
        <f t="shared" si="67"/>
        <v/>
      </c>
      <c r="AE261" s="182"/>
      <c r="AF261" s="182"/>
      <c r="AG261" s="182"/>
      <c r="AH261" s="182"/>
      <c r="AI261" s="182"/>
      <c r="AJ261" s="182"/>
      <c r="AK261" s="182"/>
      <c r="AL261" s="182"/>
      <c r="AM261" s="182"/>
      <c r="AN261" s="182"/>
      <c r="AO261" s="182"/>
      <c r="AP261" s="182"/>
      <c r="AQ261" s="182"/>
      <c r="AR261" s="182"/>
      <c r="AS261" s="182"/>
    </row>
    <row r="262" spans="1:45">
      <c r="A262" s="263">
        <v>33</v>
      </c>
      <c r="B262" s="252"/>
      <c r="C262" s="243"/>
      <c r="D262" s="184"/>
      <c r="E262" s="189"/>
      <c r="F262" s="186"/>
      <c r="G262" s="186"/>
      <c r="H262" s="186"/>
      <c r="I262" s="186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70" t="str">
        <f t="shared" si="61"/>
        <v/>
      </c>
      <c r="U262" s="170" t="str">
        <f t="shared" si="62"/>
        <v/>
      </c>
      <c r="V262" s="170" t="str">
        <f t="shared" si="63"/>
        <v/>
      </c>
      <c r="W262" s="170" t="str">
        <f t="shared" si="64"/>
        <v/>
      </c>
      <c r="X262" s="170" t="str">
        <f t="shared" si="58"/>
        <v/>
      </c>
      <c r="Y262" s="170" t="str">
        <f t="shared" si="59"/>
        <v/>
      </c>
      <c r="Z262" s="170" t="str">
        <f t="shared" si="60"/>
        <v/>
      </c>
      <c r="AA262" s="170" t="str">
        <f t="shared" si="65"/>
        <v/>
      </c>
      <c r="AB262" s="170" t="str">
        <f t="shared" si="66"/>
        <v/>
      </c>
      <c r="AC262" s="172" t="str">
        <f t="shared" si="67"/>
        <v/>
      </c>
      <c r="AE262" s="182"/>
      <c r="AF262" s="182"/>
      <c r="AG262" s="182"/>
      <c r="AH262" s="182"/>
      <c r="AI262" s="182"/>
      <c r="AJ262" s="182"/>
      <c r="AK262" s="182"/>
      <c r="AL262" s="182"/>
      <c r="AM262" s="182"/>
      <c r="AN262" s="182"/>
      <c r="AO262" s="182"/>
      <c r="AP262" s="182"/>
      <c r="AQ262" s="182"/>
      <c r="AR262" s="182"/>
      <c r="AS262" s="182"/>
    </row>
    <row r="263" spans="1:45">
      <c r="A263" s="263"/>
      <c r="B263" s="260"/>
      <c r="C263" s="244"/>
      <c r="D263" s="184"/>
      <c r="E263" s="185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70" t="str">
        <f t="shared" si="61"/>
        <v/>
      </c>
      <c r="U263" s="170" t="str">
        <f t="shared" si="62"/>
        <v/>
      </c>
      <c r="V263" s="170" t="str">
        <f t="shared" si="63"/>
        <v/>
      </c>
      <c r="W263" s="170" t="str">
        <f t="shared" si="64"/>
        <v/>
      </c>
      <c r="X263" s="170" t="str">
        <f t="shared" ref="X263:X326" si="68">IF(COUNT(E263:S263)=0,"",V263-1*W263)</f>
        <v/>
      </c>
      <c r="Y263" s="170" t="str">
        <f t="shared" ref="Y263:Y326" si="69">IF(COUNT(E263:S263)=0,"",V263+1*W263)</f>
        <v/>
      </c>
      <c r="Z263" s="170" t="str">
        <f t="shared" ref="Z263:Z326" si="70">IF(COUNT(E263:S263)=0,"",SUM(IF(AND(E263&gt;X263,E263&lt;Y263),E263,0),IF(AND(F263&gt;X263,F263&lt;Y263),F263,0),IF(AND(G263&gt;X263,G263&lt;Y263),G263,0),IF(AND(H263&gt;X263,H263&lt;Y263),H263,0),IF(AND(I263&gt;X263,I263&lt;Y263),I263,0),IF(AND(J263&gt;X263,J263&lt;Y263),J263,0),IF(AND(K263&gt;X263,K263&lt;Y263),K263,0),IF(AND(L263&gt;X263,L263&lt;Y263),L263,0),IF(AND(M263&gt;X263,M263&lt;Y263),M263,0),IF(AND(N263&gt;X263,N263&lt;Y263),N263,0),IF(AND(O263&gt;X263,O263&lt;Y263),O263,0),IF(AND(P263&gt;X263,P263&lt;Y263),P263,0),IF(AND(Q263&gt;X263,Q263&lt;Y263),Q263,0),IF(AND(R263&gt;X263,R263&lt;Y263),R263,0),IF(AND(S263&gt;X263,S263&lt;Y263),S263,0))/SUM(IF(AND(E263&gt;X263,E263&lt;Y263,E263&lt;&gt;0),1,0),IF(AND(F263&gt;X263,F263&lt;Y263,F263&lt;&gt;0),1,0),IF(AND(G263&gt;X263,G263&lt;Y263,G263&lt;&gt;0),1,0),IF(AND(H263&gt;X263,H263&lt;Y263,H263&lt;&gt;0),1,0),IF(AND(I263&gt;X263,I263&lt;Y263,I263&lt;&gt;0),1,0),IF(AND(J263&gt;X263,J263&lt;Y263,J263&lt;&gt;0),1,0),IF(AND(K263&gt;X263,K263&lt;Y263,K263&lt;&gt;0),1,0),IF(AND(L263&gt;X263,L263&lt;Y263,L263&lt;&gt;0),1,0),IF(AND(M263&gt;X263,M263&lt;Y263,M263&lt;&gt;0),1,0),IF(AND(N263&gt;X263,N263&lt;Y263,N263&lt;&gt;0),1,0),IF(AND(O263&gt;X263,O263&lt;Y263,O263&lt;&gt;0),1,0),IF(AND(P263&gt;X263,P263&lt;Y263,P263&lt;&gt;0),1,0),IF(AND(Q263&gt;X263,Q263&lt;Y263,Q263&lt;&gt;0),1,0),IF(AND(R263&gt;X263,R263&lt;Y263,R263&lt;&gt;0),1,0),IF(AND(S263&gt;X263,S263&lt;Y263,S263&lt;&gt;0),1,0)))</f>
        <v/>
      </c>
      <c r="AA263" s="170" t="str">
        <f t="shared" si="65"/>
        <v/>
      </c>
      <c r="AB263" s="170" t="str">
        <f t="shared" si="66"/>
        <v/>
      </c>
      <c r="AC263" s="172" t="str">
        <f t="shared" si="67"/>
        <v/>
      </c>
      <c r="AE263" s="182"/>
      <c r="AF263" s="182"/>
      <c r="AG263" s="182"/>
      <c r="AH263" s="182"/>
      <c r="AI263" s="182"/>
      <c r="AJ263" s="182"/>
      <c r="AK263" s="182"/>
      <c r="AL263" s="182"/>
      <c r="AM263" s="182"/>
      <c r="AN263" s="182"/>
      <c r="AO263" s="182"/>
      <c r="AP263" s="182"/>
      <c r="AQ263" s="182"/>
      <c r="AR263" s="182"/>
      <c r="AS263" s="182"/>
    </row>
    <row r="264" spans="1:45">
      <c r="A264" s="263"/>
      <c r="B264" s="260"/>
      <c r="C264" s="244"/>
      <c r="D264" s="184"/>
      <c r="E264" s="185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70" t="str">
        <f t="shared" si="61"/>
        <v/>
      </c>
      <c r="U264" s="170" t="str">
        <f t="shared" si="62"/>
        <v/>
      </c>
      <c r="V264" s="170" t="str">
        <f t="shared" si="63"/>
        <v/>
      </c>
      <c r="W264" s="170" t="str">
        <f t="shared" si="64"/>
        <v/>
      </c>
      <c r="X264" s="170" t="str">
        <f t="shared" si="68"/>
        <v/>
      </c>
      <c r="Y264" s="170" t="str">
        <f t="shared" si="69"/>
        <v/>
      </c>
      <c r="Z264" s="170" t="str">
        <f t="shared" si="70"/>
        <v/>
      </c>
      <c r="AA264" s="170" t="str">
        <f t="shared" si="65"/>
        <v/>
      </c>
      <c r="AB264" s="170" t="str">
        <f t="shared" si="66"/>
        <v/>
      </c>
      <c r="AC264" s="172" t="str">
        <f t="shared" si="67"/>
        <v/>
      </c>
      <c r="AE264" s="182"/>
      <c r="AF264" s="182"/>
      <c r="AG264" s="182"/>
      <c r="AH264" s="182"/>
      <c r="AI264" s="182"/>
      <c r="AJ264" s="182"/>
      <c r="AK264" s="182"/>
      <c r="AL264" s="182"/>
      <c r="AM264" s="182"/>
      <c r="AN264" s="182"/>
      <c r="AO264" s="182"/>
      <c r="AP264" s="182"/>
      <c r="AQ264" s="182"/>
      <c r="AR264" s="182"/>
      <c r="AS264" s="182"/>
    </row>
    <row r="265" spans="1:45">
      <c r="A265" s="263"/>
      <c r="B265" s="260"/>
      <c r="C265" s="244"/>
      <c r="D265" s="184"/>
      <c r="E265" s="185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70" t="str">
        <f t="shared" si="61"/>
        <v/>
      </c>
      <c r="U265" s="170" t="str">
        <f t="shared" si="62"/>
        <v/>
      </c>
      <c r="V265" s="170" t="str">
        <f t="shared" si="63"/>
        <v/>
      </c>
      <c r="W265" s="170" t="str">
        <f t="shared" si="64"/>
        <v/>
      </c>
      <c r="X265" s="170" t="str">
        <f t="shared" si="68"/>
        <v/>
      </c>
      <c r="Y265" s="170" t="str">
        <f t="shared" si="69"/>
        <v/>
      </c>
      <c r="Z265" s="170" t="str">
        <f t="shared" si="70"/>
        <v/>
      </c>
      <c r="AA265" s="170" t="str">
        <f t="shared" si="65"/>
        <v/>
      </c>
      <c r="AB265" s="170" t="str">
        <f t="shared" si="66"/>
        <v/>
      </c>
      <c r="AC265" s="172" t="str">
        <f t="shared" si="67"/>
        <v/>
      </c>
      <c r="AE265" s="182"/>
      <c r="AF265" s="182"/>
      <c r="AG265" s="182"/>
      <c r="AH265" s="182"/>
      <c r="AI265" s="182"/>
      <c r="AJ265" s="182"/>
      <c r="AK265" s="182"/>
      <c r="AL265" s="182"/>
      <c r="AM265" s="182"/>
      <c r="AN265" s="182"/>
      <c r="AO265" s="182"/>
      <c r="AP265" s="182"/>
      <c r="AQ265" s="182"/>
      <c r="AR265" s="182"/>
      <c r="AS265" s="182"/>
    </row>
    <row r="266" spans="1:45">
      <c r="A266" s="263"/>
      <c r="B266" s="260"/>
      <c r="C266" s="244"/>
      <c r="D266" s="184"/>
      <c r="E266" s="185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70" t="str">
        <f t="shared" si="61"/>
        <v/>
      </c>
      <c r="U266" s="170" t="str">
        <f t="shared" si="62"/>
        <v/>
      </c>
      <c r="V266" s="170" t="str">
        <f t="shared" si="63"/>
        <v/>
      </c>
      <c r="W266" s="170" t="str">
        <f t="shared" si="64"/>
        <v/>
      </c>
      <c r="X266" s="170" t="str">
        <f t="shared" si="68"/>
        <v/>
      </c>
      <c r="Y266" s="170" t="str">
        <f t="shared" si="69"/>
        <v/>
      </c>
      <c r="Z266" s="170" t="str">
        <f t="shared" si="70"/>
        <v/>
      </c>
      <c r="AA266" s="170" t="str">
        <f t="shared" si="65"/>
        <v/>
      </c>
      <c r="AB266" s="170" t="str">
        <f t="shared" si="66"/>
        <v/>
      </c>
      <c r="AC266" s="172" t="str">
        <f t="shared" si="67"/>
        <v/>
      </c>
      <c r="AE266" s="182"/>
      <c r="AF266" s="182"/>
      <c r="AG266" s="182"/>
      <c r="AH266" s="182"/>
      <c r="AI266" s="182"/>
      <c r="AJ266" s="182"/>
      <c r="AK266" s="182"/>
      <c r="AL266" s="182"/>
      <c r="AM266" s="182"/>
      <c r="AN266" s="182"/>
      <c r="AO266" s="182"/>
      <c r="AP266" s="182"/>
      <c r="AQ266" s="182"/>
      <c r="AR266" s="182"/>
      <c r="AS266" s="182"/>
    </row>
    <row r="267" spans="1:45">
      <c r="A267" s="263"/>
      <c r="B267" s="260"/>
      <c r="C267" s="244"/>
      <c r="D267" s="184"/>
      <c r="E267" s="185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70" t="str">
        <f t="shared" si="61"/>
        <v/>
      </c>
      <c r="U267" s="170" t="str">
        <f t="shared" si="62"/>
        <v/>
      </c>
      <c r="V267" s="170" t="str">
        <f t="shared" si="63"/>
        <v/>
      </c>
      <c r="W267" s="170" t="str">
        <f t="shared" si="64"/>
        <v/>
      </c>
      <c r="X267" s="170" t="str">
        <f t="shared" si="68"/>
        <v/>
      </c>
      <c r="Y267" s="170" t="str">
        <f t="shared" si="69"/>
        <v/>
      </c>
      <c r="Z267" s="170" t="str">
        <f t="shared" si="70"/>
        <v/>
      </c>
      <c r="AA267" s="170" t="str">
        <f t="shared" si="65"/>
        <v/>
      </c>
      <c r="AB267" s="170" t="str">
        <f t="shared" si="66"/>
        <v/>
      </c>
      <c r="AC267" s="172" t="str">
        <f t="shared" si="67"/>
        <v/>
      </c>
      <c r="AE267" s="182"/>
      <c r="AF267" s="182"/>
      <c r="AG267" s="182"/>
      <c r="AH267" s="182"/>
      <c r="AI267" s="182"/>
      <c r="AJ267" s="182"/>
      <c r="AK267" s="182"/>
      <c r="AL267" s="182"/>
      <c r="AM267" s="182"/>
      <c r="AN267" s="182"/>
      <c r="AO267" s="182"/>
      <c r="AP267" s="182"/>
      <c r="AQ267" s="182"/>
      <c r="AR267" s="182"/>
      <c r="AS267" s="182"/>
    </row>
    <row r="268" spans="1:45">
      <c r="A268" s="263"/>
      <c r="B268" s="260"/>
      <c r="C268" s="244"/>
      <c r="D268" s="184"/>
      <c r="E268" s="185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70" t="str">
        <f t="shared" si="61"/>
        <v/>
      </c>
      <c r="U268" s="170" t="str">
        <f t="shared" si="62"/>
        <v/>
      </c>
      <c r="V268" s="170" t="str">
        <f t="shared" si="63"/>
        <v/>
      </c>
      <c r="W268" s="170" t="str">
        <f t="shared" si="64"/>
        <v/>
      </c>
      <c r="X268" s="170" t="str">
        <f t="shared" si="68"/>
        <v/>
      </c>
      <c r="Y268" s="170" t="str">
        <f t="shared" si="69"/>
        <v/>
      </c>
      <c r="Z268" s="170" t="str">
        <f t="shared" si="70"/>
        <v/>
      </c>
      <c r="AA268" s="170" t="str">
        <f t="shared" si="65"/>
        <v/>
      </c>
      <c r="AB268" s="170" t="str">
        <f t="shared" si="66"/>
        <v/>
      </c>
      <c r="AC268" s="172" t="str">
        <f t="shared" si="67"/>
        <v/>
      </c>
      <c r="AE268" s="182"/>
      <c r="AF268" s="182"/>
      <c r="AG268" s="182"/>
      <c r="AH268" s="182"/>
      <c r="AI268" s="182"/>
      <c r="AJ268" s="182"/>
      <c r="AK268" s="182"/>
      <c r="AL268" s="182"/>
      <c r="AM268" s="182"/>
      <c r="AN268" s="182"/>
      <c r="AO268" s="182"/>
      <c r="AP268" s="182"/>
      <c r="AQ268" s="182"/>
      <c r="AR268" s="182"/>
      <c r="AS268" s="182"/>
    </row>
    <row r="269" spans="1:45">
      <c r="A269" s="263"/>
      <c r="B269" s="261"/>
      <c r="C269" s="245"/>
      <c r="D269" s="184"/>
      <c r="E269" s="185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70" t="str">
        <f t="shared" si="61"/>
        <v/>
      </c>
      <c r="U269" s="170" t="str">
        <f t="shared" si="62"/>
        <v/>
      </c>
      <c r="V269" s="170" t="str">
        <f t="shared" si="63"/>
        <v/>
      </c>
      <c r="W269" s="170" t="str">
        <f t="shared" si="64"/>
        <v/>
      </c>
      <c r="X269" s="170" t="str">
        <f t="shared" si="68"/>
        <v/>
      </c>
      <c r="Y269" s="170" t="str">
        <f t="shared" si="69"/>
        <v/>
      </c>
      <c r="Z269" s="170"/>
      <c r="AA269" s="170" t="str">
        <f t="shared" si="65"/>
        <v/>
      </c>
      <c r="AB269" s="170" t="str">
        <f t="shared" si="66"/>
        <v/>
      </c>
      <c r="AC269" s="172" t="str">
        <f t="shared" si="67"/>
        <v/>
      </c>
      <c r="AE269" s="182"/>
      <c r="AF269" s="182"/>
      <c r="AG269" s="182"/>
      <c r="AH269" s="182"/>
      <c r="AI269" s="182"/>
      <c r="AJ269" s="182"/>
      <c r="AK269" s="182"/>
      <c r="AL269" s="182"/>
      <c r="AM269" s="182"/>
      <c r="AN269" s="182"/>
      <c r="AO269" s="182"/>
      <c r="AP269" s="182"/>
      <c r="AQ269" s="182"/>
      <c r="AR269" s="182"/>
      <c r="AS269" s="182"/>
    </row>
    <row r="270" spans="1:45">
      <c r="A270" s="263">
        <v>34</v>
      </c>
      <c r="B270" s="252"/>
      <c r="C270" s="243"/>
      <c r="D270" s="184"/>
      <c r="E270" s="189"/>
      <c r="F270" s="186"/>
      <c r="G270" s="186"/>
      <c r="H270" s="186"/>
      <c r="I270" s="186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70" t="str">
        <f t="shared" si="61"/>
        <v/>
      </c>
      <c r="U270" s="170" t="str">
        <f t="shared" si="62"/>
        <v/>
      </c>
      <c r="V270" s="170" t="str">
        <f t="shared" si="63"/>
        <v/>
      </c>
      <c r="W270" s="170" t="str">
        <f t="shared" si="64"/>
        <v/>
      </c>
      <c r="X270" s="170" t="str">
        <f t="shared" si="68"/>
        <v/>
      </c>
      <c r="Y270" s="170" t="str">
        <f t="shared" si="69"/>
        <v/>
      </c>
      <c r="Z270" s="170" t="str">
        <f t="shared" si="70"/>
        <v/>
      </c>
      <c r="AA270" s="170" t="str">
        <f t="shared" si="65"/>
        <v/>
      </c>
      <c r="AB270" s="170" t="str">
        <f t="shared" si="66"/>
        <v/>
      </c>
      <c r="AC270" s="172" t="str">
        <f t="shared" si="67"/>
        <v/>
      </c>
      <c r="AE270" s="182"/>
      <c r="AF270" s="182"/>
      <c r="AG270" s="182"/>
      <c r="AH270" s="182"/>
      <c r="AI270" s="182"/>
      <c r="AJ270" s="182"/>
      <c r="AK270" s="182"/>
      <c r="AL270" s="182"/>
      <c r="AM270" s="182"/>
      <c r="AN270" s="182"/>
      <c r="AO270" s="182"/>
      <c r="AP270" s="182"/>
      <c r="AQ270" s="182"/>
      <c r="AR270" s="182"/>
      <c r="AS270" s="182"/>
    </row>
    <row r="271" spans="1:45">
      <c r="A271" s="263"/>
      <c r="B271" s="260"/>
      <c r="C271" s="244"/>
      <c r="D271" s="184"/>
      <c r="E271" s="185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70" t="str">
        <f t="shared" si="61"/>
        <v/>
      </c>
      <c r="U271" s="170" t="str">
        <f t="shared" si="62"/>
        <v/>
      </c>
      <c r="V271" s="170" t="str">
        <f t="shared" si="63"/>
        <v/>
      </c>
      <c r="W271" s="170" t="str">
        <f t="shared" si="64"/>
        <v/>
      </c>
      <c r="X271" s="170" t="str">
        <f t="shared" si="68"/>
        <v/>
      </c>
      <c r="Y271" s="170" t="str">
        <f t="shared" si="69"/>
        <v/>
      </c>
      <c r="Z271" s="170" t="str">
        <f t="shared" si="70"/>
        <v/>
      </c>
      <c r="AA271" s="170" t="str">
        <f t="shared" si="65"/>
        <v/>
      </c>
      <c r="AB271" s="170" t="str">
        <f t="shared" si="66"/>
        <v/>
      </c>
      <c r="AC271" s="172" t="str">
        <f t="shared" si="67"/>
        <v/>
      </c>
      <c r="AE271" s="182"/>
      <c r="AF271" s="182"/>
      <c r="AG271" s="182"/>
      <c r="AH271" s="182"/>
      <c r="AI271" s="182"/>
      <c r="AJ271" s="182"/>
      <c r="AK271" s="182"/>
      <c r="AL271" s="182"/>
      <c r="AM271" s="182"/>
      <c r="AN271" s="182"/>
      <c r="AO271" s="182"/>
      <c r="AP271" s="182"/>
      <c r="AQ271" s="182"/>
      <c r="AR271" s="182"/>
      <c r="AS271" s="182"/>
    </row>
    <row r="272" spans="1:45">
      <c r="A272" s="263"/>
      <c r="B272" s="260"/>
      <c r="C272" s="244"/>
      <c r="D272" s="184"/>
      <c r="E272" s="185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70" t="str">
        <f t="shared" si="61"/>
        <v/>
      </c>
      <c r="U272" s="170" t="str">
        <f t="shared" si="62"/>
        <v/>
      </c>
      <c r="V272" s="170" t="str">
        <f t="shared" si="63"/>
        <v/>
      </c>
      <c r="W272" s="170" t="str">
        <f t="shared" si="64"/>
        <v/>
      </c>
      <c r="X272" s="170" t="str">
        <f t="shared" si="68"/>
        <v/>
      </c>
      <c r="Y272" s="170" t="str">
        <f t="shared" si="69"/>
        <v/>
      </c>
      <c r="Z272" s="170" t="str">
        <f t="shared" si="70"/>
        <v/>
      </c>
      <c r="AA272" s="170" t="str">
        <f t="shared" si="65"/>
        <v/>
      </c>
      <c r="AB272" s="170" t="str">
        <f t="shared" si="66"/>
        <v/>
      </c>
      <c r="AC272" s="172" t="str">
        <f t="shared" si="67"/>
        <v/>
      </c>
      <c r="AE272" s="182"/>
      <c r="AF272" s="182"/>
      <c r="AG272" s="182"/>
      <c r="AH272" s="182"/>
      <c r="AI272" s="182"/>
      <c r="AJ272" s="182"/>
      <c r="AK272" s="182"/>
      <c r="AL272" s="182"/>
      <c r="AM272" s="182"/>
      <c r="AN272" s="182"/>
      <c r="AO272" s="182"/>
      <c r="AP272" s="182"/>
      <c r="AQ272" s="182"/>
      <c r="AR272" s="182"/>
      <c r="AS272" s="182"/>
    </row>
    <row r="273" spans="1:45">
      <c r="A273" s="263"/>
      <c r="B273" s="260"/>
      <c r="C273" s="244"/>
      <c r="D273" s="184"/>
      <c r="E273" s="185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70" t="str">
        <f t="shared" si="61"/>
        <v/>
      </c>
      <c r="U273" s="170" t="str">
        <f t="shared" si="62"/>
        <v/>
      </c>
      <c r="V273" s="170" t="str">
        <f t="shared" si="63"/>
        <v/>
      </c>
      <c r="W273" s="170" t="str">
        <f t="shared" si="64"/>
        <v/>
      </c>
      <c r="X273" s="170" t="str">
        <f t="shared" si="68"/>
        <v/>
      </c>
      <c r="Y273" s="170" t="str">
        <f t="shared" si="69"/>
        <v/>
      </c>
      <c r="Z273" s="170" t="str">
        <f t="shared" si="70"/>
        <v/>
      </c>
      <c r="AA273" s="170" t="str">
        <f t="shared" si="65"/>
        <v/>
      </c>
      <c r="AB273" s="170" t="str">
        <f t="shared" si="66"/>
        <v/>
      </c>
      <c r="AC273" s="172" t="str">
        <f t="shared" si="67"/>
        <v/>
      </c>
      <c r="AE273" s="182"/>
      <c r="AF273" s="182"/>
      <c r="AG273" s="182"/>
      <c r="AH273" s="182"/>
      <c r="AI273" s="182"/>
      <c r="AJ273" s="182"/>
      <c r="AK273" s="182"/>
      <c r="AL273" s="182"/>
      <c r="AM273" s="182"/>
      <c r="AN273" s="182"/>
      <c r="AO273" s="182"/>
      <c r="AP273" s="182"/>
      <c r="AQ273" s="182"/>
      <c r="AR273" s="182"/>
      <c r="AS273" s="182"/>
    </row>
    <row r="274" spans="1:45">
      <c r="A274" s="263"/>
      <c r="B274" s="260"/>
      <c r="C274" s="244"/>
      <c r="D274" s="184"/>
      <c r="E274" s="185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70" t="str">
        <f t="shared" si="61"/>
        <v/>
      </c>
      <c r="U274" s="170" t="str">
        <f t="shared" si="62"/>
        <v/>
      </c>
      <c r="V274" s="170" t="str">
        <f t="shared" si="63"/>
        <v/>
      </c>
      <c r="W274" s="170" t="str">
        <f t="shared" si="64"/>
        <v/>
      </c>
      <c r="X274" s="170" t="str">
        <f t="shared" si="68"/>
        <v/>
      </c>
      <c r="Y274" s="170" t="str">
        <f t="shared" si="69"/>
        <v/>
      </c>
      <c r="Z274" s="170" t="str">
        <f t="shared" si="70"/>
        <v/>
      </c>
      <c r="AA274" s="170" t="str">
        <f t="shared" si="65"/>
        <v/>
      </c>
      <c r="AB274" s="170" t="str">
        <f t="shared" si="66"/>
        <v/>
      </c>
      <c r="AC274" s="172" t="str">
        <f t="shared" si="67"/>
        <v/>
      </c>
      <c r="AE274" s="182"/>
      <c r="AF274" s="182"/>
      <c r="AG274" s="182"/>
      <c r="AH274" s="182"/>
      <c r="AI274" s="182"/>
      <c r="AJ274" s="182"/>
      <c r="AK274" s="182"/>
      <c r="AL274" s="182"/>
      <c r="AM274" s="182"/>
      <c r="AN274" s="182"/>
      <c r="AO274" s="182"/>
      <c r="AP274" s="182"/>
      <c r="AQ274" s="182"/>
      <c r="AR274" s="182"/>
      <c r="AS274" s="182"/>
    </row>
    <row r="275" spans="1:45">
      <c r="A275" s="263"/>
      <c r="B275" s="260"/>
      <c r="C275" s="244"/>
      <c r="D275" s="184"/>
      <c r="E275" s="185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70" t="str">
        <f t="shared" si="61"/>
        <v/>
      </c>
      <c r="U275" s="170" t="str">
        <f t="shared" si="62"/>
        <v/>
      </c>
      <c r="V275" s="170" t="str">
        <f t="shared" si="63"/>
        <v/>
      </c>
      <c r="W275" s="170" t="str">
        <f t="shared" si="64"/>
        <v/>
      </c>
      <c r="X275" s="170" t="str">
        <f t="shared" si="68"/>
        <v/>
      </c>
      <c r="Y275" s="170" t="str">
        <f t="shared" si="69"/>
        <v/>
      </c>
      <c r="Z275" s="170" t="str">
        <f t="shared" si="70"/>
        <v/>
      </c>
      <c r="AA275" s="170" t="str">
        <f t="shared" si="65"/>
        <v/>
      </c>
      <c r="AB275" s="170" t="str">
        <f t="shared" si="66"/>
        <v/>
      </c>
      <c r="AC275" s="172" t="str">
        <f t="shared" si="67"/>
        <v/>
      </c>
      <c r="AE275" s="182"/>
      <c r="AF275" s="182"/>
      <c r="AG275" s="182"/>
      <c r="AH275" s="182"/>
      <c r="AI275" s="182"/>
      <c r="AJ275" s="182"/>
      <c r="AK275" s="182"/>
      <c r="AL275" s="182"/>
      <c r="AM275" s="182"/>
      <c r="AN275" s="182"/>
      <c r="AO275" s="182"/>
      <c r="AP275" s="182"/>
      <c r="AQ275" s="182"/>
      <c r="AR275" s="182"/>
      <c r="AS275" s="182"/>
    </row>
    <row r="276" spans="1:45">
      <c r="A276" s="263"/>
      <c r="B276" s="260"/>
      <c r="C276" s="244"/>
      <c r="D276" s="184"/>
      <c r="E276" s="185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70" t="str">
        <f t="shared" si="61"/>
        <v/>
      </c>
      <c r="U276" s="170" t="str">
        <f t="shared" si="62"/>
        <v/>
      </c>
      <c r="V276" s="170" t="str">
        <f t="shared" si="63"/>
        <v/>
      </c>
      <c r="W276" s="170" t="str">
        <f t="shared" si="64"/>
        <v/>
      </c>
      <c r="X276" s="170" t="str">
        <f t="shared" si="68"/>
        <v/>
      </c>
      <c r="Y276" s="170" t="str">
        <f t="shared" si="69"/>
        <v/>
      </c>
      <c r="Z276" s="170" t="str">
        <f t="shared" si="70"/>
        <v/>
      </c>
      <c r="AA276" s="170" t="str">
        <f t="shared" si="65"/>
        <v/>
      </c>
      <c r="AB276" s="170" t="str">
        <f t="shared" si="66"/>
        <v/>
      </c>
      <c r="AC276" s="172" t="str">
        <f t="shared" si="67"/>
        <v/>
      </c>
      <c r="AE276" s="182"/>
      <c r="AF276" s="182"/>
      <c r="AG276" s="182"/>
      <c r="AH276" s="182"/>
      <c r="AI276" s="182"/>
      <c r="AJ276" s="182"/>
      <c r="AK276" s="182"/>
      <c r="AL276" s="182"/>
      <c r="AM276" s="182"/>
      <c r="AN276" s="182"/>
      <c r="AO276" s="182"/>
      <c r="AP276" s="182"/>
      <c r="AQ276" s="182"/>
      <c r="AR276" s="182"/>
      <c r="AS276" s="182"/>
    </row>
    <row r="277" spans="1:45">
      <c r="A277" s="263"/>
      <c r="B277" s="261"/>
      <c r="C277" s="245"/>
      <c r="D277" s="184"/>
      <c r="E277" s="185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70" t="str">
        <f t="shared" si="61"/>
        <v/>
      </c>
      <c r="U277" s="170" t="str">
        <f t="shared" si="62"/>
        <v/>
      </c>
      <c r="V277" s="170" t="str">
        <f t="shared" si="63"/>
        <v/>
      </c>
      <c r="W277" s="170" t="str">
        <f t="shared" si="64"/>
        <v/>
      </c>
      <c r="X277" s="170" t="str">
        <f t="shared" si="68"/>
        <v/>
      </c>
      <c r="Y277" s="170" t="str">
        <f t="shared" si="69"/>
        <v/>
      </c>
      <c r="Z277" s="170"/>
      <c r="AA277" s="170" t="str">
        <f t="shared" si="65"/>
        <v/>
      </c>
      <c r="AB277" s="170" t="str">
        <f t="shared" si="66"/>
        <v/>
      </c>
      <c r="AC277" s="172" t="str">
        <f t="shared" si="67"/>
        <v/>
      </c>
      <c r="AE277" s="182"/>
      <c r="AF277" s="182"/>
      <c r="AG277" s="182"/>
      <c r="AH277" s="182"/>
      <c r="AI277" s="182"/>
      <c r="AJ277" s="182"/>
      <c r="AK277" s="182"/>
      <c r="AL277" s="182"/>
      <c r="AM277" s="182"/>
      <c r="AN277" s="182"/>
      <c r="AO277" s="182"/>
      <c r="AP277" s="182"/>
      <c r="AQ277" s="182"/>
      <c r="AR277" s="182"/>
      <c r="AS277" s="182"/>
    </row>
    <row r="278" spans="1:45">
      <c r="A278" s="263">
        <v>35</v>
      </c>
      <c r="B278" s="252"/>
      <c r="C278" s="243"/>
      <c r="D278" s="184"/>
      <c r="E278" s="189"/>
      <c r="F278" s="186"/>
      <c r="G278" s="186"/>
      <c r="H278" s="186"/>
      <c r="I278" s="186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70" t="str">
        <f t="shared" si="61"/>
        <v/>
      </c>
      <c r="U278" s="170" t="str">
        <f t="shared" si="62"/>
        <v/>
      </c>
      <c r="V278" s="170" t="str">
        <f t="shared" si="63"/>
        <v/>
      </c>
      <c r="W278" s="170" t="str">
        <f t="shared" si="64"/>
        <v/>
      </c>
      <c r="X278" s="170" t="str">
        <f t="shared" si="68"/>
        <v/>
      </c>
      <c r="Y278" s="170" t="str">
        <f t="shared" si="69"/>
        <v/>
      </c>
      <c r="Z278" s="170" t="str">
        <f t="shared" si="70"/>
        <v/>
      </c>
      <c r="AA278" s="170" t="str">
        <f t="shared" si="65"/>
        <v/>
      </c>
      <c r="AB278" s="170" t="str">
        <f t="shared" si="66"/>
        <v/>
      </c>
      <c r="AC278" s="172" t="str">
        <f t="shared" si="67"/>
        <v/>
      </c>
      <c r="AE278" s="182"/>
      <c r="AF278" s="182"/>
      <c r="AG278" s="182"/>
      <c r="AH278" s="182"/>
      <c r="AI278" s="182"/>
      <c r="AJ278" s="182"/>
      <c r="AK278" s="182"/>
      <c r="AL278" s="182"/>
      <c r="AM278" s="182"/>
      <c r="AN278" s="182"/>
      <c r="AO278" s="182"/>
      <c r="AP278" s="182"/>
      <c r="AQ278" s="182"/>
      <c r="AR278" s="182"/>
      <c r="AS278" s="182"/>
    </row>
    <row r="279" spans="1:45">
      <c r="A279" s="263"/>
      <c r="B279" s="260"/>
      <c r="C279" s="244"/>
      <c r="D279" s="184"/>
      <c r="E279" s="185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70" t="str">
        <f t="shared" si="61"/>
        <v/>
      </c>
      <c r="U279" s="170" t="str">
        <f t="shared" si="62"/>
        <v/>
      </c>
      <c r="V279" s="170" t="str">
        <f t="shared" si="63"/>
        <v/>
      </c>
      <c r="W279" s="170" t="str">
        <f t="shared" si="64"/>
        <v/>
      </c>
      <c r="X279" s="170" t="str">
        <f t="shared" si="68"/>
        <v/>
      </c>
      <c r="Y279" s="170" t="str">
        <f t="shared" si="69"/>
        <v/>
      </c>
      <c r="Z279" s="170" t="str">
        <f t="shared" si="70"/>
        <v/>
      </c>
      <c r="AA279" s="170" t="str">
        <f t="shared" si="65"/>
        <v/>
      </c>
      <c r="AB279" s="170" t="str">
        <f t="shared" si="66"/>
        <v/>
      </c>
      <c r="AC279" s="172" t="str">
        <f t="shared" si="67"/>
        <v/>
      </c>
      <c r="AE279" s="182"/>
      <c r="AF279" s="182"/>
      <c r="AG279" s="182"/>
      <c r="AH279" s="182"/>
      <c r="AI279" s="182"/>
      <c r="AJ279" s="182"/>
      <c r="AK279" s="182"/>
      <c r="AL279" s="182"/>
      <c r="AM279" s="182"/>
      <c r="AN279" s="182"/>
      <c r="AO279" s="182"/>
      <c r="AP279" s="182"/>
      <c r="AQ279" s="182"/>
      <c r="AR279" s="182"/>
      <c r="AS279" s="182"/>
    </row>
    <row r="280" spans="1:45">
      <c r="A280" s="263"/>
      <c r="B280" s="260"/>
      <c r="C280" s="244"/>
      <c r="D280" s="184"/>
      <c r="E280" s="185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70" t="str">
        <f t="shared" si="61"/>
        <v/>
      </c>
      <c r="U280" s="170" t="str">
        <f t="shared" si="62"/>
        <v/>
      </c>
      <c r="V280" s="170" t="str">
        <f t="shared" si="63"/>
        <v/>
      </c>
      <c r="W280" s="170" t="str">
        <f t="shared" si="64"/>
        <v/>
      </c>
      <c r="X280" s="170" t="str">
        <f t="shared" si="68"/>
        <v/>
      </c>
      <c r="Y280" s="170" t="str">
        <f t="shared" si="69"/>
        <v/>
      </c>
      <c r="Z280" s="170" t="str">
        <f t="shared" si="70"/>
        <v/>
      </c>
      <c r="AA280" s="170" t="str">
        <f t="shared" si="65"/>
        <v/>
      </c>
      <c r="AB280" s="170" t="str">
        <f t="shared" si="66"/>
        <v/>
      </c>
      <c r="AC280" s="172" t="str">
        <f t="shared" si="67"/>
        <v/>
      </c>
      <c r="AE280" s="182"/>
      <c r="AF280" s="182"/>
      <c r="AG280" s="182"/>
      <c r="AH280" s="182"/>
      <c r="AI280" s="182"/>
      <c r="AJ280" s="182"/>
      <c r="AK280" s="182"/>
      <c r="AL280" s="182"/>
      <c r="AM280" s="182"/>
      <c r="AN280" s="182"/>
      <c r="AO280" s="182"/>
      <c r="AP280" s="182"/>
      <c r="AQ280" s="182"/>
      <c r="AR280" s="182"/>
      <c r="AS280" s="182"/>
    </row>
    <row r="281" spans="1:45">
      <c r="A281" s="263"/>
      <c r="B281" s="260"/>
      <c r="C281" s="244"/>
      <c r="D281" s="184"/>
      <c r="E281" s="185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70" t="str">
        <f t="shared" si="61"/>
        <v/>
      </c>
      <c r="U281" s="170" t="str">
        <f t="shared" si="62"/>
        <v/>
      </c>
      <c r="V281" s="170" t="str">
        <f t="shared" si="63"/>
        <v/>
      </c>
      <c r="W281" s="170" t="str">
        <f t="shared" si="64"/>
        <v/>
      </c>
      <c r="X281" s="170" t="str">
        <f t="shared" si="68"/>
        <v/>
      </c>
      <c r="Y281" s="170" t="str">
        <f t="shared" si="69"/>
        <v/>
      </c>
      <c r="Z281" s="170" t="str">
        <f t="shared" si="70"/>
        <v/>
      </c>
      <c r="AA281" s="170" t="str">
        <f t="shared" si="65"/>
        <v/>
      </c>
      <c r="AB281" s="170" t="str">
        <f t="shared" si="66"/>
        <v/>
      </c>
      <c r="AC281" s="172" t="str">
        <f t="shared" si="67"/>
        <v/>
      </c>
      <c r="AE281" s="182"/>
      <c r="AF281" s="182"/>
      <c r="AG281" s="182"/>
      <c r="AH281" s="182"/>
      <c r="AI281" s="182"/>
      <c r="AJ281" s="182"/>
      <c r="AK281" s="182"/>
      <c r="AL281" s="182"/>
      <c r="AM281" s="182"/>
      <c r="AN281" s="182"/>
      <c r="AO281" s="182"/>
      <c r="AP281" s="182"/>
      <c r="AQ281" s="182"/>
      <c r="AR281" s="182"/>
      <c r="AS281" s="182"/>
    </row>
    <row r="282" spans="1:45">
      <c r="A282" s="263"/>
      <c r="B282" s="260"/>
      <c r="C282" s="244"/>
      <c r="D282" s="184"/>
      <c r="E282" s="185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70" t="str">
        <f t="shared" si="61"/>
        <v/>
      </c>
      <c r="U282" s="170" t="str">
        <f t="shared" si="62"/>
        <v/>
      </c>
      <c r="V282" s="170" t="str">
        <f t="shared" si="63"/>
        <v/>
      </c>
      <c r="W282" s="170" t="str">
        <f t="shared" si="64"/>
        <v/>
      </c>
      <c r="X282" s="170" t="str">
        <f t="shared" si="68"/>
        <v/>
      </c>
      <c r="Y282" s="170" t="str">
        <f t="shared" si="69"/>
        <v/>
      </c>
      <c r="Z282" s="170" t="str">
        <f t="shared" si="70"/>
        <v/>
      </c>
      <c r="AA282" s="170" t="str">
        <f t="shared" si="65"/>
        <v/>
      </c>
      <c r="AB282" s="170" t="str">
        <f t="shared" si="66"/>
        <v/>
      </c>
      <c r="AC282" s="172" t="str">
        <f t="shared" si="67"/>
        <v/>
      </c>
      <c r="AE282" s="182"/>
      <c r="AF282" s="182"/>
      <c r="AG282" s="182"/>
      <c r="AH282" s="182"/>
      <c r="AI282" s="182"/>
      <c r="AJ282" s="182"/>
      <c r="AK282" s="182"/>
      <c r="AL282" s="182"/>
      <c r="AM282" s="182"/>
      <c r="AN282" s="182"/>
      <c r="AO282" s="182"/>
      <c r="AP282" s="182"/>
      <c r="AQ282" s="182"/>
      <c r="AR282" s="182"/>
      <c r="AS282" s="182"/>
    </row>
    <row r="283" spans="1:45">
      <c r="A283" s="263"/>
      <c r="B283" s="260"/>
      <c r="C283" s="244"/>
      <c r="D283" s="184"/>
      <c r="E283" s="185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70" t="str">
        <f t="shared" si="61"/>
        <v/>
      </c>
      <c r="U283" s="170" t="str">
        <f t="shared" si="62"/>
        <v/>
      </c>
      <c r="V283" s="170" t="str">
        <f t="shared" si="63"/>
        <v/>
      </c>
      <c r="W283" s="170" t="str">
        <f t="shared" si="64"/>
        <v/>
      </c>
      <c r="X283" s="170" t="str">
        <f t="shared" si="68"/>
        <v/>
      </c>
      <c r="Y283" s="170" t="str">
        <f t="shared" si="69"/>
        <v/>
      </c>
      <c r="Z283" s="170" t="str">
        <f t="shared" si="70"/>
        <v/>
      </c>
      <c r="AA283" s="170" t="str">
        <f t="shared" si="65"/>
        <v/>
      </c>
      <c r="AB283" s="170" t="str">
        <f t="shared" si="66"/>
        <v/>
      </c>
      <c r="AC283" s="172" t="str">
        <f t="shared" si="67"/>
        <v/>
      </c>
      <c r="AE283" s="182"/>
      <c r="AF283" s="182"/>
      <c r="AG283" s="182"/>
      <c r="AH283" s="182"/>
      <c r="AI283" s="182"/>
      <c r="AJ283" s="182"/>
      <c r="AK283" s="182"/>
      <c r="AL283" s="182"/>
      <c r="AM283" s="182"/>
      <c r="AN283" s="182"/>
      <c r="AO283" s="182"/>
      <c r="AP283" s="182"/>
      <c r="AQ283" s="182"/>
      <c r="AR283" s="182"/>
      <c r="AS283" s="182"/>
    </row>
    <row r="284" spans="1:45">
      <c r="A284" s="263"/>
      <c r="B284" s="260"/>
      <c r="C284" s="244"/>
      <c r="D284" s="184"/>
      <c r="E284" s="185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70" t="str">
        <f t="shared" si="61"/>
        <v/>
      </c>
      <c r="U284" s="170" t="str">
        <f t="shared" si="62"/>
        <v/>
      </c>
      <c r="V284" s="170" t="str">
        <f t="shared" si="63"/>
        <v/>
      </c>
      <c r="W284" s="170" t="str">
        <f t="shared" si="64"/>
        <v/>
      </c>
      <c r="X284" s="170" t="str">
        <f t="shared" si="68"/>
        <v/>
      </c>
      <c r="Y284" s="170" t="str">
        <f t="shared" si="69"/>
        <v/>
      </c>
      <c r="Z284" s="170" t="str">
        <f t="shared" si="70"/>
        <v/>
      </c>
      <c r="AA284" s="170" t="str">
        <f t="shared" si="65"/>
        <v/>
      </c>
      <c r="AB284" s="170" t="str">
        <f t="shared" si="66"/>
        <v/>
      </c>
      <c r="AC284" s="172" t="str">
        <f t="shared" si="67"/>
        <v/>
      </c>
      <c r="AE284" s="182"/>
      <c r="AF284" s="182"/>
      <c r="AG284" s="182"/>
      <c r="AH284" s="182"/>
      <c r="AI284" s="182"/>
      <c r="AJ284" s="182"/>
      <c r="AK284" s="182"/>
      <c r="AL284" s="182"/>
      <c r="AM284" s="182"/>
      <c r="AN284" s="182"/>
      <c r="AO284" s="182"/>
      <c r="AP284" s="182"/>
      <c r="AQ284" s="182"/>
      <c r="AR284" s="182"/>
      <c r="AS284" s="182"/>
    </row>
    <row r="285" spans="1:45">
      <c r="A285" s="263"/>
      <c r="B285" s="261"/>
      <c r="C285" s="245"/>
      <c r="D285" s="184"/>
      <c r="E285" s="185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70" t="str">
        <f t="shared" si="61"/>
        <v/>
      </c>
      <c r="U285" s="170" t="str">
        <f t="shared" si="62"/>
        <v/>
      </c>
      <c r="V285" s="170" t="str">
        <f t="shared" si="63"/>
        <v/>
      </c>
      <c r="W285" s="170" t="str">
        <f t="shared" si="64"/>
        <v/>
      </c>
      <c r="X285" s="170" t="str">
        <f t="shared" si="68"/>
        <v/>
      </c>
      <c r="Y285" s="170" t="str">
        <f t="shared" si="69"/>
        <v/>
      </c>
      <c r="Z285" s="170"/>
      <c r="AA285" s="170" t="str">
        <f t="shared" si="65"/>
        <v/>
      </c>
      <c r="AB285" s="170" t="str">
        <f t="shared" si="66"/>
        <v/>
      </c>
      <c r="AC285" s="172" t="str">
        <f t="shared" si="67"/>
        <v/>
      </c>
      <c r="AE285" s="182"/>
      <c r="AF285" s="182"/>
      <c r="AG285" s="182"/>
      <c r="AH285" s="182"/>
      <c r="AI285" s="182"/>
      <c r="AJ285" s="182"/>
      <c r="AK285" s="182"/>
      <c r="AL285" s="182"/>
      <c r="AM285" s="182"/>
      <c r="AN285" s="182"/>
      <c r="AO285" s="182"/>
      <c r="AP285" s="182"/>
      <c r="AQ285" s="182"/>
      <c r="AR285" s="182"/>
      <c r="AS285" s="182"/>
    </row>
    <row r="286" spans="1:45">
      <c r="A286" s="263">
        <v>36</v>
      </c>
      <c r="B286" s="252"/>
      <c r="C286" s="243"/>
      <c r="D286" s="184"/>
      <c r="E286" s="189"/>
      <c r="F286" s="186"/>
      <c r="G286" s="186"/>
      <c r="H286" s="186"/>
      <c r="I286" s="186"/>
      <c r="J286" s="186"/>
      <c r="K286" s="169"/>
      <c r="L286" s="169"/>
      <c r="M286" s="169"/>
      <c r="N286" s="169"/>
      <c r="O286" s="169"/>
      <c r="P286" s="169"/>
      <c r="Q286" s="169"/>
      <c r="R286" s="169"/>
      <c r="S286" s="169"/>
      <c r="T286" s="170" t="str">
        <f t="shared" si="61"/>
        <v/>
      </c>
      <c r="U286" s="170" t="str">
        <f t="shared" si="62"/>
        <v/>
      </c>
      <c r="V286" s="170" t="str">
        <f t="shared" si="63"/>
        <v/>
      </c>
      <c r="W286" s="170" t="str">
        <f t="shared" si="64"/>
        <v/>
      </c>
      <c r="X286" s="170" t="str">
        <f t="shared" si="68"/>
        <v/>
      </c>
      <c r="Y286" s="170" t="str">
        <f t="shared" si="69"/>
        <v/>
      </c>
      <c r="Z286" s="170" t="str">
        <f t="shared" si="70"/>
        <v/>
      </c>
      <c r="AA286" s="170" t="str">
        <f t="shared" si="65"/>
        <v/>
      </c>
      <c r="AB286" s="170" t="str">
        <f t="shared" si="66"/>
        <v/>
      </c>
      <c r="AC286" s="172" t="str">
        <f t="shared" si="67"/>
        <v/>
      </c>
      <c r="AE286" s="182"/>
      <c r="AF286" s="182"/>
      <c r="AG286" s="182"/>
      <c r="AH286" s="182"/>
      <c r="AI286" s="182"/>
      <c r="AJ286" s="182"/>
      <c r="AK286" s="182"/>
      <c r="AL286" s="182"/>
      <c r="AM286" s="182"/>
      <c r="AN286" s="182"/>
      <c r="AO286" s="182"/>
      <c r="AP286" s="182"/>
      <c r="AQ286" s="182"/>
      <c r="AR286" s="182"/>
      <c r="AS286" s="182"/>
    </row>
    <row r="287" spans="1:45">
      <c r="A287" s="263"/>
      <c r="B287" s="260"/>
      <c r="C287" s="244"/>
      <c r="D287" s="184"/>
      <c r="E287" s="189"/>
      <c r="F287" s="186"/>
      <c r="G287" s="186"/>
      <c r="H287" s="186"/>
      <c r="I287" s="186"/>
      <c r="J287" s="186"/>
      <c r="K287" s="169"/>
      <c r="L287" s="169"/>
      <c r="M287" s="169"/>
      <c r="N287" s="169"/>
      <c r="O287" s="169"/>
      <c r="P287" s="169"/>
      <c r="Q287" s="169"/>
      <c r="R287" s="169"/>
      <c r="S287" s="169"/>
      <c r="T287" s="170" t="str">
        <f t="shared" si="61"/>
        <v/>
      </c>
      <c r="U287" s="170" t="str">
        <f t="shared" si="62"/>
        <v/>
      </c>
      <c r="V287" s="170" t="str">
        <f t="shared" si="63"/>
        <v/>
      </c>
      <c r="W287" s="170" t="str">
        <f t="shared" si="64"/>
        <v/>
      </c>
      <c r="X287" s="170" t="str">
        <f t="shared" si="68"/>
        <v/>
      </c>
      <c r="Y287" s="170" t="str">
        <f t="shared" si="69"/>
        <v/>
      </c>
      <c r="Z287" s="170" t="str">
        <f t="shared" si="70"/>
        <v/>
      </c>
      <c r="AA287" s="170" t="str">
        <f t="shared" si="65"/>
        <v/>
      </c>
      <c r="AB287" s="170" t="str">
        <f t="shared" si="66"/>
        <v/>
      </c>
      <c r="AC287" s="172" t="str">
        <f t="shared" si="67"/>
        <v/>
      </c>
      <c r="AE287" s="182"/>
      <c r="AF287" s="182"/>
      <c r="AG287" s="182"/>
      <c r="AH287" s="182"/>
      <c r="AI287" s="182"/>
      <c r="AJ287" s="182"/>
      <c r="AK287" s="182"/>
      <c r="AL287" s="182"/>
      <c r="AM287" s="182"/>
      <c r="AN287" s="182"/>
      <c r="AO287" s="182"/>
      <c r="AP287" s="182"/>
      <c r="AQ287" s="182"/>
      <c r="AR287" s="182"/>
      <c r="AS287" s="182"/>
    </row>
    <row r="288" spans="1:45">
      <c r="A288" s="263"/>
      <c r="B288" s="260"/>
      <c r="C288" s="244"/>
      <c r="D288" s="184"/>
      <c r="E288" s="185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70" t="str">
        <f t="shared" si="61"/>
        <v/>
      </c>
      <c r="U288" s="170" t="str">
        <f t="shared" si="62"/>
        <v/>
      </c>
      <c r="V288" s="170" t="str">
        <f t="shared" si="63"/>
        <v/>
      </c>
      <c r="W288" s="170" t="str">
        <f t="shared" si="64"/>
        <v/>
      </c>
      <c r="X288" s="170" t="str">
        <f t="shared" si="68"/>
        <v/>
      </c>
      <c r="Y288" s="170" t="str">
        <f t="shared" si="69"/>
        <v/>
      </c>
      <c r="Z288" s="170" t="str">
        <f t="shared" si="70"/>
        <v/>
      </c>
      <c r="AA288" s="170" t="str">
        <f t="shared" si="65"/>
        <v/>
      </c>
      <c r="AB288" s="170" t="str">
        <f t="shared" si="66"/>
        <v/>
      </c>
      <c r="AC288" s="172" t="str">
        <f t="shared" si="67"/>
        <v/>
      </c>
      <c r="AE288" s="182"/>
      <c r="AF288" s="182"/>
      <c r="AG288" s="182"/>
      <c r="AH288" s="182"/>
      <c r="AI288" s="182"/>
      <c r="AJ288" s="182"/>
      <c r="AK288" s="182"/>
      <c r="AL288" s="182"/>
      <c r="AM288" s="182"/>
      <c r="AN288" s="182"/>
      <c r="AO288" s="182"/>
      <c r="AP288" s="182"/>
      <c r="AQ288" s="182"/>
      <c r="AR288" s="182"/>
      <c r="AS288" s="182"/>
    </row>
    <row r="289" spans="1:45">
      <c r="A289" s="263"/>
      <c r="B289" s="260"/>
      <c r="C289" s="244"/>
      <c r="D289" s="184"/>
      <c r="E289" s="185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70" t="str">
        <f t="shared" si="61"/>
        <v/>
      </c>
      <c r="U289" s="170" t="str">
        <f t="shared" si="62"/>
        <v/>
      </c>
      <c r="V289" s="170" t="str">
        <f t="shared" si="63"/>
        <v/>
      </c>
      <c r="W289" s="170" t="str">
        <f t="shared" si="64"/>
        <v/>
      </c>
      <c r="X289" s="170" t="str">
        <f t="shared" si="68"/>
        <v/>
      </c>
      <c r="Y289" s="170" t="str">
        <f t="shared" si="69"/>
        <v/>
      </c>
      <c r="Z289" s="170" t="str">
        <f t="shared" si="70"/>
        <v/>
      </c>
      <c r="AA289" s="170" t="str">
        <f t="shared" si="65"/>
        <v/>
      </c>
      <c r="AB289" s="170" t="str">
        <f t="shared" si="66"/>
        <v/>
      </c>
      <c r="AC289" s="172" t="str">
        <f t="shared" si="67"/>
        <v/>
      </c>
      <c r="AE289" s="182"/>
      <c r="AF289" s="182"/>
      <c r="AG289" s="182"/>
      <c r="AH289" s="182"/>
      <c r="AI289" s="182"/>
      <c r="AJ289" s="182"/>
      <c r="AK289" s="182"/>
      <c r="AL289" s="182"/>
      <c r="AM289" s="182"/>
      <c r="AN289" s="182"/>
      <c r="AO289" s="182"/>
      <c r="AP289" s="182"/>
      <c r="AQ289" s="182"/>
      <c r="AR289" s="182"/>
      <c r="AS289" s="182"/>
    </row>
    <row r="290" spans="1:45">
      <c r="A290" s="263"/>
      <c r="B290" s="260"/>
      <c r="C290" s="244"/>
      <c r="D290" s="184"/>
      <c r="E290" s="185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70" t="str">
        <f t="shared" si="61"/>
        <v/>
      </c>
      <c r="U290" s="170" t="str">
        <f t="shared" si="62"/>
        <v/>
      </c>
      <c r="V290" s="170" t="str">
        <f t="shared" si="63"/>
        <v/>
      </c>
      <c r="W290" s="170" t="str">
        <f t="shared" si="64"/>
        <v/>
      </c>
      <c r="X290" s="170" t="str">
        <f t="shared" si="68"/>
        <v/>
      </c>
      <c r="Y290" s="170" t="str">
        <f t="shared" si="69"/>
        <v/>
      </c>
      <c r="Z290" s="170" t="str">
        <f t="shared" si="70"/>
        <v/>
      </c>
      <c r="AA290" s="170" t="str">
        <f t="shared" si="65"/>
        <v/>
      </c>
      <c r="AB290" s="170" t="str">
        <f t="shared" si="66"/>
        <v/>
      </c>
      <c r="AC290" s="172" t="str">
        <f t="shared" si="67"/>
        <v/>
      </c>
      <c r="AE290" s="182"/>
      <c r="AF290" s="182"/>
      <c r="AG290" s="182"/>
      <c r="AH290" s="182"/>
      <c r="AI290" s="182"/>
      <c r="AJ290" s="182"/>
      <c r="AK290" s="182"/>
      <c r="AL290" s="182"/>
      <c r="AM290" s="182"/>
      <c r="AN290" s="182"/>
      <c r="AO290" s="182"/>
      <c r="AP290" s="182"/>
      <c r="AQ290" s="182"/>
      <c r="AR290" s="182"/>
      <c r="AS290" s="182"/>
    </row>
    <row r="291" spans="1:45">
      <c r="A291" s="263"/>
      <c r="B291" s="260"/>
      <c r="C291" s="244"/>
      <c r="D291" s="184"/>
      <c r="E291" s="185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70" t="str">
        <f t="shared" si="61"/>
        <v/>
      </c>
      <c r="U291" s="170" t="str">
        <f t="shared" si="62"/>
        <v/>
      </c>
      <c r="V291" s="170" t="str">
        <f t="shared" si="63"/>
        <v/>
      </c>
      <c r="W291" s="170" t="str">
        <f t="shared" si="64"/>
        <v/>
      </c>
      <c r="X291" s="170" t="str">
        <f t="shared" si="68"/>
        <v/>
      </c>
      <c r="Y291" s="170" t="str">
        <f t="shared" si="69"/>
        <v/>
      </c>
      <c r="Z291" s="170" t="str">
        <f t="shared" si="70"/>
        <v/>
      </c>
      <c r="AA291" s="170" t="str">
        <f t="shared" si="65"/>
        <v/>
      </c>
      <c r="AB291" s="170" t="str">
        <f t="shared" si="66"/>
        <v/>
      </c>
      <c r="AC291" s="172" t="str">
        <f t="shared" si="67"/>
        <v/>
      </c>
      <c r="AE291" s="182"/>
      <c r="AF291" s="182"/>
      <c r="AG291" s="182"/>
      <c r="AH291" s="182"/>
      <c r="AI291" s="182"/>
      <c r="AJ291" s="182"/>
      <c r="AK291" s="182"/>
      <c r="AL291" s="182"/>
      <c r="AM291" s="182"/>
      <c r="AN291" s="182"/>
      <c r="AO291" s="182"/>
      <c r="AP291" s="182"/>
      <c r="AQ291" s="182"/>
      <c r="AR291" s="182"/>
      <c r="AS291" s="182"/>
    </row>
    <row r="292" spans="1:45">
      <c r="A292" s="263"/>
      <c r="B292" s="260"/>
      <c r="C292" s="244"/>
      <c r="D292" s="184"/>
      <c r="E292" s="185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70" t="str">
        <f t="shared" si="61"/>
        <v/>
      </c>
      <c r="U292" s="170" t="str">
        <f t="shared" si="62"/>
        <v/>
      </c>
      <c r="V292" s="170" t="str">
        <f t="shared" si="63"/>
        <v/>
      </c>
      <c r="W292" s="170" t="str">
        <f t="shared" si="64"/>
        <v/>
      </c>
      <c r="X292" s="170" t="str">
        <f t="shared" si="68"/>
        <v/>
      </c>
      <c r="Y292" s="170" t="str">
        <f t="shared" si="69"/>
        <v/>
      </c>
      <c r="Z292" s="170" t="str">
        <f t="shared" si="70"/>
        <v/>
      </c>
      <c r="AA292" s="170" t="str">
        <f t="shared" si="65"/>
        <v/>
      </c>
      <c r="AB292" s="170" t="str">
        <f t="shared" si="66"/>
        <v/>
      </c>
      <c r="AC292" s="172" t="str">
        <f t="shared" si="67"/>
        <v/>
      </c>
      <c r="AE292" s="182"/>
      <c r="AF292" s="182"/>
      <c r="AG292" s="182"/>
      <c r="AH292" s="182"/>
      <c r="AI292" s="182"/>
      <c r="AJ292" s="182"/>
      <c r="AK292" s="182"/>
      <c r="AL292" s="182"/>
      <c r="AM292" s="182"/>
      <c r="AN292" s="182"/>
      <c r="AO292" s="182"/>
      <c r="AP292" s="182"/>
      <c r="AQ292" s="182"/>
      <c r="AR292" s="182"/>
      <c r="AS292" s="182"/>
    </row>
    <row r="293" spans="1:45">
      <c r="A293" s="263"/>
      <c r="B293" s="261"/>
      <c r="C293" s="245"/>
      <c r="D293" s="184"/>
      <c r="E293" s="185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70" t="str">
        <f t="shared" si="61"/>
        <v/>
      </c>
      <c r="U293" s="170" t="str">
        <f t="shared" si="62"/>
        <v/>
      </c>
      <c r="V293" s="170" t="str">
        <f t="shared" si="63"/>
        <v/>
      </c>
      <c r="W293" s="170" t="str">
        <f t="shared" si="64"/>
        <v/>
      </c>
      <c r="X293" s="170" t="str">
        <f t="shared" si="68"/>
        <v/>
      </c>
      <c r="Y293" s="170" t="str">
        <f t="shared" si="69"/>
        <v/>
      </c>
      <c r="Z293" s="170"/>
      <c r="AA293" s="170" t="str">
        <f t="shared" si="65"/>
        <v/>
      </c>
      <c r="AB293" s="170" t="str">
        <f t="shared" si="66"/>
        <v/>
      </c>
      <c r="AC293" s="172" t="str">
        <f t="shared" si="67"/>
        <v/>
      </c>
      <c r="AE293" s="182"/>
      <c r="AF293" s="182"/>
      <c r="AG293" s="182"/>
      <c r="AH293" s="182"/>
      <c r="AI293" s="182"/>
      <c r="AJ293" s="182"/>
      <c r="AK293" s="182"/>
      <c r="AL293" s="182"/>
      <c r="AM293" s="182"/>
      <c r="AN293" s="182"/>
      <c r="AO293" s="182"/>
      <c r="AP293" s="182"/>
      <c r="AQ293" s="182"/>
      <c r="AR293" s="182"/>
      <c r="AS293" s="182"/>
    </row>
    <row r="294" spans="1:45">
      <c r="A294" s="263">
        <v>37</v>
      </c>
      <c r="B294" s="252"/>
      <c r="C294" s="243"/>
      <c r="D294" s="184"/>
      <c r="E294" s="189"/>
      <c r="F294" s="186"/>
      <c r="G294" s="186"/>
      <c r="H294" s="186"/>
      <c r="I294" s="186"/>
      <c r="J294" s="186"/>
      <c r="K294" s="186"/>
      <c r="L294" s="169"/>
      <c r="M294" s="169"/>
      <c r="N294" s="169"/>
      <c r="O294" s="169"/>
      <c r="P294" s="169"/>
      <c r="Q294" s="169"/>
      <c r="R294" s="169"/>
      <c r="S294" s="169"/>
      <c r="T294" s="170" t="str">
        <f t="shared" ref="T294:T357" si="71">IF(COUNT(E294:S294)=0,"",SUM(E294:S294))</f>
        <v/>
      </c>
      <c r="U294" s="170" t="str">
        <f t="shared" ref="U294:U357" si="72">IF(COUNT(E294:S294)=0,"",SUMSQ(E294:S294))</f>
        <v/>
      </c>
      <c r="V294" s="170" t="str">
        <f t="shared" ref="V294:V357" si="73">IF(COUNT(E294:S294)=0,"",AVERAGE(E294:S294))</f>
        <v/>
      </c>
      <c r="W294" s="170" t="str">
        <f t="shared" ref="W294:W357" si="74">IF(COUNT(E294:S294)=0,"",STDEVP(E294:S294))</f>
        <v/>
      </c>
      <c r="X294" s="170" t="str">
        <f t="shared" si="68"/>
        <v/>
      </c>
      <c r="Y294" s="170" t="str">
        <f t="shared" si="69"/>
        <v/>
      </c>
      <c r="Z294" s="170" t="str">
        <f t="shared" si="70"/>
        <v/>
      </c>
      <c r="AA294" s="170" t="str">
        <f t="shared" ref="AA294:AA357" si="75">IF(COUNT(E294:S294)=0,"",SUM(IF(AND(E294&gt;X294,E294&lt;Y294),E294,0),IF(AND(F294&gt;X294,F294&lt;Y294),F294,0),IF(AND(G294&gt;X294,G294&lt;Y294),G294,0),IF(AND(H294&gt;X294,H294&lt;Y294),H294,0),IF(AND(I294&gt;X294,I294&lt;Y294),I294,0),IF(AND(J294&gt;X294,J294&lt;Y294),J294,0),IF(AND(K294&gt;X294,K294&lt;Y294),K294,0),IF(AND(L294&gt;X294,L294&lt;Y294),L294,0),IF(AND(M294&gt;X294,M294&lt;Y294),M294,0),IF(AND(N294&gt;X294,N294&lt;Y294),N294,0),IF(AND(O294&gt;X294,O294&lt;Y294),O294,0),IF(AND(P294&gt;X294,P294&lt;Y294),P294,0),IF(AND(Q294&gt;X294,Q294&lt;Y294),Q294,0),IF(AND(R294&gt;X294,R294&lt;Y294),R294,0),IF(AND(S294&gt;X294,S294&lt;Y294),S294,0)))</f>
        <v/>
      </c>
      <c r="AB294" s="170" t="str">
        <f t="shared" ref="AB294:AB357" si="76">IF(COUNT(E294:S294)=0,"",SUMSQ(IF(AND(E294&gt;X294,E294&lt;Y294),E294,0),IF(AND(F294&gt;X294,F294&lt;Y294),F294,0),IF(AND(G294&gt;X294,G294&lt;Y294),G294,0),IF(AND(H294&gt;X294,H294&lt;Y294),H294,0),IF(AND(I294&gt;X294,I294&lt;Y294),I294,0),IF(AND(J294&gt;X294,J294&lt;Y294),J294,0),IF(AND(K294&gt;X294,K294&lt;Y294),K294,0),IF(AND(L294&gt;X294,L294&lt;Y294),L294,0),IF(AND(M294&gt;X294,M294&lt;Y294),M294,0),IF(AND(N294&gt;X294,N294&lt;Y294),N294,0),IF(AND(O294&gt;X294,O294&lt;Y294),O294,0),IF(AND(P294&gt;X294,P294&lt;Y294),P294,0),IF(AND(Q294&gt;X294,Q294&lt;Y294),Q294,0),IF(AND(R294&gt;X294,R294&lt;Y294),R294,0),IF(AND(S294&gt;X294,S294&lt;Y294),S294,0)))</f>
        <v/>
      </c>
      <c r="AC294" s="172" t="str">
        <f t="shared" ref="AC294:AC357" si="77">IF(COUNT(E294:S294)=0,"",POWER(40*SQRT(SUM(IF(AND(E294&gt;X294,E294&lt;Y294),1,0),IF(AND(F294&gt;X294,F294&lt;Y294),1,0),IF(AND(G294&gt;X294,G294&lt;Y294),1,0),IF(AND(H294&gt;X294,H294&lt;Y294),1,0),IF(AND(I294&gt;X294,I294&lt;Y294),1,0),IF(AND(J294&gt;X294,J294&lt;Y294),1,0),IF(AND(K294&gt;X294,K294&lt;Y294),1,0),IF(AND(L294&gt;X294,L294&lt;Y294),1,0),IF(AND(M294&gt;X294,M294&lt;Y294),1,0),IF(AND(N294&gt;X294,N294&lt;Y294),1,0),IF(AND(O294&gt;X294,O294&lt;Y294),1,0),IF(AND(P294&gt;X294,P294&lt;Y294),1,0),IF(AND(Q294&gt;X294,Q294&lt;Y294),1,0),IF(AND(R294&gt;X294,R294&lt;Y294),1,0),IF(AND(S294&gt;X294,S294&lt;Y294),1,0))*AB294-POWER(AA294,2))/AA294,2))</f>
        <v/>
      </c>
      <c r="AE294" s="182"/>
      <c r="AF294" s="182"/>
      <c r="AG294" s="182"/>
      <c r="AH294" s="182"/>
      <c r="AI294" s="182"/>
      <c r="AJ294" s="182"/>
      <c r="AK294" s="182"/>
      <c r="AL294" s="182"/>
      <c r="AM294" s="182"/>
      <c r="AN294" s="182"/>
      <c r="AO294" s="182"/>
      <c r="AP294" s="182"/>
      <c r="AQ294" s="182"/>
      <c r="AR294" s="182"/>
      <c r="AS294" s="182"/>
    </row>
    <row r="295" spans="1:45">
      <c r="A295" s="263"/>
      <c r="B295" s="260"/>
      <c r="C295" s="244"/>
      <c r="D295" s="184"/>
      <c r="E295" s="189"/>
      <c r="F295" s="186"/>
      <c r="G295" s="186"/>
      <c r="H295" s="186"/>
      <c r="I295" s="186"/>
      <c r="J295" s="186"/>
      <c r="K295" s="186"/>
      <c r="L295" s="169"/>
      <c r="M295" s="169"/>
      <c r="N295" s="169"/>
      <c r="O295" s="169"/>
      <c r="P295" s="169"/>
      <c r="Q295" s="169"/>
      <c r="R295" s="169"/>
      <c r="S295" s="169"/>
      <c r="T295" s="170" t="str">
        <f t="shared" si="71"/>
        <v/>
      </c>
      <c r="U295" s="170" t="str">
        <f t="shared" si="72"/>
        <v/>
      </c>
      <c r="V295" s="170" t="str">
        <f t="shared" si="73"/>
        <v/>
      </c>
      <c r="W295" s="170" t="str">
        <f t="shared" si="74"/>
        <v/>
      </c>
      <c r="X295" s="170" t="str">
        <f t="shared" si="68"/>
        <v/>
      </c>
      <c r="Y295" s="170" t="str">
        <f t="shared" si="69"/>
        <v/>
      </c>
      <c r="Z295" s="170" t="str">
        <f t="shared" si="70"/>
        <v/>
      </c>
      <c r="AA295" s="170" t="str">
        <f t="shared" si="75"/>
        <v/>
      </c>
      <c r="AB295" s="170" t="str">
        <f t="shared" si="76"/>
        <v/>
      </c>
      <c r="AC295" s="172" t="str">
        <f t="shared" si="77"/>
        <v/>
      </c>
      <c r="AE295" s="182"/>
      <c r="AF295" s="182"/>
      <c r="AG295" s="182"/>
      <c r="AH295" s="182"/>
      <c r="AI295" s="182"/>
      <c r="AJ295" s="182"/>
      <c r="AK295" s="182"/>
      <c r="AL295" s="182"/>
      <c r="AM295" s="182"/>
      <c r="AN295" s="182"/>
      <c r="AO295" s="182"/>
      <c r="AP295" s="182"/>
      <c r="AQ295" s="182"/>
      <c r="AR295" s="182"/>
      <c r="AS295" s="182"/>
    </row>
    <row r="296" spans="1:45">
      <c r="A296" s="263"/>
      <c r="B296" s="260"/>
      <c r="C296" s="244"/>
      <c r="D296" s="184"/>
      <c r="E296" s="185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70" t="str">
        <f t="shared" si="71"/>
        <v/>
      </c>
      <c r="U296" s="170" t="str">
        <f t="shared" si="72"/>
        <v/>
      </c>
      <c r="V296" s="170" t="str">
        <f t="shared" si="73"/>
        <v/>
      </c>
      <c r="W296" s="170" t="str">
        <f t="shared" si="74"/>
        <v/>
      </c>
      <c r="X296" s="170" t="str">
        <f t="shared" si="68"/>
        <v/>
      </c>
      <c r="Y296" s="170" t="str">
        <f t="shared" si="69"/>
        <v/>
      </c>
      <c r="Z296" s="170" t="str">
        <f t="shared" si="70"/>
        <v/>
      </c>
      <c r="AA296" s="170" t="str">
        <f t="shared" si="75"/>
        <v/>
      </c>
      <c r="AB296" s="170" t="str">
        <f t="shared" si="76"/>
        <v/>
      </c>
      <c r="AC296" s="172" t="str">
        <f t="shared" si="77"/>
        <v/>
      </c>
      <c r="AE296" s="182"/>
      <c r="AF296" s="182"/>
      <c r="AG296" s="182"/>
      <c r="AH296" s="182"/>
      <c r="AI296" s="182"/>
      <c r="AJ296" s="182"/>
      <c r="AK296" s="182"/>
      <c r="AL296" s="182"/>
      <c r="AM296" s="182"/>
      <c r="AN296" s="182"/>
      <c r="AO296" s="182"/>
      <c r="AP296" s="182"/>
      <c r="AQ296" s="182"/>
      <c r="AR296" s="182"/>
      <c r="AS296" s="182"/>
    </row>
    <row r="297" spans="1:45">
      <c r="A297" s="263"/>
      <c r="B297" s="260"/>
      <c r="C297" s="244"/>
      <c r="D297" s="184"/>
      <c r="E297" s="185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70" t="str">
        <f t="shared" si="71"/>
        <v/>
      </c>
      <c r="U297" s="170" t="str">
        <f t="shared" si="72"/>
        <v/>
      </c>
      <c r="V297" s="170" t="str">
        <f t="shared" si="73"/>
        <v/>
      </c>
      <c r="W297" s="170" t="str">
        <f t="shared" si="74"/>
        <v/>
      </c>
      <c r="X297" s="170" t="str">
        <f t="shared" si="68"/>
        <v/>
      </c>
      <c r="Y297" s="170" t="str">
        <f t="shared" si="69"/>
        <v/>
      </c>
      <c r="Z297" s="170" t="str">
        <f t="shared" si="70"/>
        <v/>
      </c>
      <c r="AA297" s="170" t="str">
        <f t="shared" si="75"/>
        <v/>
      </c>
      <c r="AB297" s="170" t="str">
        <f t="shared" si="76"/>
        <v/>
      </c>
      <c r="AC297" s="172" t="str">
        <f t="shared" si="77"/>
        <v/>
      </c>
      <c r="AE297" s="182"/>
      <c r="AF297" s="182"/>
      <c r="AG297" s="182"/>
      <c r="AH297" s="182"/>
      <c r="AI297" s="182"/>
      <c r="AJ297" s="182"/>
      <c r="AK297" s="182"/>
      <c r="AL297" s="182"/>
      <c r="AM297" s="182"/>
      <c r="AN297" s="182"/>
      <c r="AO297" s="182"/>
      <c r="AP297" s="182"/>
      <c r="AQ297" s="182"/>
      <c r="AR297" s="182"/>
      <c r="AS297" s="182"/>
    </row>
    <row r="298" spans="1:45">
      <c r="A298" s="263"/>
      <c r="B298" s="260"/>
      <c r="C298" s="244"/>
      <c r="D298" s="184"/>
      <c r="E298" s="185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70" t="str">
        <f t="shared" si="71"/>
        <v/>
      </c>
      <c r="U298" s="170" t="str">
        <f t="shared" si="72"/>
        <v/>
      </c>
      <c r="V298" s="170" t="str">
        <f t="shared" si="73"/>
        <v/>
      </c>
      <c r="W298" s="170" t="str">
        <f t="shared" si="74"/>
        <v/>
      </c>
      <c r="X298" s="170" t="str">
        <f t="shared" si="68"/>
        <v/>
      </c>
      <c r="Y298" s="170" t="str">
        <f t="shared" si="69"/>
        <v/>
      </c>
      <c r="Z298" s="170" t="str">
        <f t="shared" si="70"/>
        <v/>
      </c>
      <c r="AA298" s="170" t="str">
        <f t="shared" si="75"/>
        <v/>
      </c>
      <c r="AB298" s="170" t="str">
        <f t="shared" si="76"/>
        <v/>
      </c>
      <c r="AC298" s="172" t="str">
        <f t="shared" si="77"/>
        <v/>
      </c>
      <c r="AE298" s="182"/>
      <c r="AF298" s="182"/>
      <c r="AG298" s="182"/>
      <c r="AH298" s="182"/>
      <c r="AI298" s="182"/>
      <c r="AJ298" s="182"/>
      <c r="AK298" s="182"/>
      <c r="AL298" s="182"/>
      <c r="AM298" s="182"/>
      <c r="AN298" s="182"/>
      <c r="AO298" s="182"/>
      <c r="AP298" s="182"/>
      <c r="AQ298" s="182"/>
      <c r="AR298" s="182"/>
      <c r="AS298" s="182"/>
    </row>
    <row r="299" spans="1:45">
      <c r="A299" s="263"/>
      <c r="B299" s="260"/>
      <c r="C299" s="244"/>
      <c r="D299" s="184"/>
      <c r="E299" s="185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70" t="str">
        <f t="shared" si="71"/>
        <v/>
      </c>
      <c r="U299" s="170" t="str">
        <f t="shared" si="72"/>
        <v/>
      </c>
      <c r="V299" s="170" t="str">
        <f t="shared" si="73"/>
        <v/>
      </c>
      <c r="W299" s="170" t="str">
        <f t="shared" si="74"/>
        <v/>
      </c>
      <c r="X299" s="170" t="str">
        <f t="shared" si="68"/>
        <v/>
      </c>
      <c r="Y299" s="170" t="str">
        <f t="shared" si="69"/>
        <v/>
      </c>
      <c r="Z299" s="170" t="str">
        <f t="shared" si="70"/>
        <v/>
      </c>
      <c r="AA299" s="170" t="str">
        <f t="shared" si="75"/>
        <v/>
      </c>
      <c r="AB299" s="170" t="str">
        <f t="shared" si="76"/>
        <v/>
      </c>
      <c r="AC299" s="172" t="str">
        <f t="shared" si="77"/>
        <v/>
      </c>
      <c r="AE299" s="182"/>
      <c r="AF299" s="182"/>
      <c r="AG299" s="182"/>
      <c r="AH299" s="182"/>
      <c r="AI299" s="182"/>
      <c r="AJ299" s="182"/>
      <c r="AK299" s="182"/>
      <c r="AL299" s="182"/>
      <c r="AM299" s="182"/>
      <c r="AN299" s="182"/>
      <c r="AO299" s="182"/>
      <c r="AP299" s="182"/>
      <c r="AQ299" s="182"/>
      <c r="AR299" s="182"/>
      <c r="AS299" s="182"/>
    </row>
    <row r="300" spans="1:45">
      <c r="A300" s="263"/>
      <c r="B300" s="260"/>
      <c r="C300" s="244"/>
      <c r="D300" s="184"/>
      <c r="E300" s="185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70" t="str">
        <f t="shared" si="71"/>
        <v/>
      </c>
      <c r="U300" s="170" t="str">
        <f t="shared" si="72"/>
        <v/>
      </c>
      <c r="V300" s="170" t="str">
        <f t="shared" si="73"/>
        <v/>
      </c>
      <c r="W300" s="170" t="str">
        <f t="shared" si="74"/>
        <v/>
      </c>
      <c r="X300" s="170" t="str">
        <f t="shared" si="68"/>
        <v/>
      </c>
      <c r="Y300" s="170" t="str">
        <f t="shared" si="69"/>
        <v/>
      </c>
      <c r="Z300" s="170" t="str">
        <f t="shared" si="70"/>
        <v/>
      </c>
      <c r="AA300" s="170" t="str">
        <f t="shared" si="75"/>
        <v/>
      </c>
      <c r="AB300" s="170" t="str">
        <f t="shared" si="76"/>
        <v/>
      </c>
      <c r="AC300" s="172" t="str">
        <f t="shared" si="77"/>
        <v/>
      </c>
      <c r="AE300" s="182"/>
      <c r="AF300" s="182"/>
      <c r="AG300" s="182"/>
      <c r="AH300" s="182"/>
      <c r="AI300" s="182"/>
      <c r="AJ300" s="182"/>
      <c r="AK300" s="182"/>
      <c r="AL300" s="182"/>
      <c r="AM300" s="182"/>
      <c r="AN300" s="182"/>
      <c r="AO300" s="182"/>
      <c r="AP300" s="182"/>
      <c r="AQ300" s="182"/>
      <c r="AR300" s="182"/>
      <c r="AS300" s="182"/>
    </row>
    <row r="301" spans="1:45">
      <c r="A301" s="263"/>
      <c r="B301" s="261"/>
      <c r="C301" s="245"/>
      <c r="D301" s="184"/>
      <c r="E301" s="185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70" t="str">
        <f t="shared" si="71"/>
        <v/>
      </c>
      <c r="U301" s="170" t="str">
        <f t="shared" si="72"/>
        <v/>
      </c>
      <c r="V301" s="170" t="str">
        <f t="shared" si="73"/>
        <v/>
      </c>
      <c r="W301" s="170" t="str">
        <f t="shared" si="74"/>
        <v/>
      </c>
      <c r="X301" s="170" t="str">
        <f t="shared" si="68"/>
        <v/>
      </c>
      <c r="Y301" s="170" t="str">
        <f t="shared" si="69"/>
        <v/>
      </c>
      <c r="Z301" s="170"/>
      <c r="AA301" s="170" t="str">
        <f t="shared" si="75"/>
        <v/>
      </c>
      <c r="AB301" s="170" t="str">
        <f t="shared" si="76"/>
        <v/>
      </c>
      <c r="AC301" s="172" t="str">
        <f t="shared" si="77"/>
        <v/>
      </c>
      <c r="AE301" s="182"/>
      <c r="AF301" s="182"/>
      <c r="AG301" s="182"/>
      <c r="AH301" s="182"/>
      <c r="AI301" s="182"/>
      <c r="AJ301" s="182"/>
      <c r="AK301" s="182"/>
      <c r="AL301" s="182"/>
      <c r="AM301" s="182"/>
      <c r="AN301" s="182"/>
      <c r="AO301" s="182"/>
      <c r="AP301" s="182"/>
      <c r="AQ301" s="182"/>
      <c r="AR301" s="182"/>
      <c r="AS301" s="182"/>
    </row>
    <row r="302" spans="1:45">
      <c r="A302" s="263">
        <v>38</v>
      </c>
      <c r="B302" s="252"/>
      <c r="C302" s="243"/>
      <c r="D302" s="184"/>
      <c r="E302" s="189"/>
      <c r="F302" s="186"/>
      <c r="G302" s="186"/>
      <c r="H302" s="186"/>
      <c r="I302" s="186"/>
      <c r="J302" s="186"/>
      <c r="K302" s="169"/>
      <c r="L302" s="169"/>
      <c r="M302" s="169"/>
      <c r="N302" s="169"/>
      <c r="O302" s="169"/>
      <c r="P302" s="169"/>
      <c r="Q302" s="169"/>
      <c r="R302" s="169"/>
      <c r="S302" s="169"/>
      <c r="T302" s="170" t="str">
        <f t="shared" si="71"/>
        <v/>
      </c>
      <c r="U302" s="170" t="str">
        <f t="shared" si="72"/>
        <v/>
      </c>
      <c r="V302" s="170" t="str">
        <f t="shared" si="73"/>
        <v/>
      </c>
      <c r="W302" s="170" t="str">
        <f t="shared" si="74"/>
        <v/>
      </c>
      <c r="X302" s="170" t="str">
        <f t="shared" si="68"/>
        <v/>
      </c>
      <c r="Y302" s="170" t="str">
        <f t="shared" si="69"/>
        <v/>
      </c>
      <c r="Z302" s="170" t="str">
        <f t="shared" si="70"/>
        <v/>
      </c>
      <c r="AA302" s="170" t="str">
        <f t="shared" si="75"/>
        <v/>
      </c>
      <c r="AB302" s="170" t="str">
        <f t="shared" si="76"/>
        <v/>
      </c>
      <c r="AC302" s="172" t="str">
        <f t="shared" si="77"/>
        <v/>
      </c>
      <c r="AE302" s="182"/>
      <c r="AF302" s="182"/>
      <c r="AG302" s="182"/>
      <c r="AH302" s="182"/>
      <c r="AI302" s="182"/>
      <c r="AJ302" s="182"/>
      <c r="AK302" s="182"/>
      <c r="AL302" s="182"/>
      <c r="AM302" s="182"/>
      <c r="AN302" s="182"/>
      <c r="AO302" s="182"/>
      <c r="AP302" s="182"/>
      <c r="AQ302" s="182"/>
      <c r="AR302" s="182"/>
      <c r="AS302" s="182"/>
    </row>
    <row r="303" spans="1:45">
      <c r="A303" s="263"/>
      <c r="B303" s="260"/>
      <c r="C303" s="244"/>
      <c r="D303" s="184"/>
      <c r="E303" s="189"/>
      <c r="F303" s="186"/>
      <c r="G303" s="186"/>
      <c r="H303" s="186"/>
      <c r="I303" s="186"/>
      <c r="J303" s="186"/>
      <c r="K303" s="169"/>
      <c r="L303" s="169"/>
      <c r="M303" s="169"/>
      <c r="N303" s="169"/>
      <c r="O303" s="169"/>
      <c r="P303" s="169"/>
      <c r="Q303" s="169"/>
      <c r="R303" s="169"/>
      <c r="S303" s="169"/>
      <c r="T303" s="170" t="str">
        <f t="shared" si="71"/>
        <v/>
      </c>
      <c r="U303" s="170" t="str">
        <f t="shared" si="72"/>
        <v/>
      </c>
      <c r="V303" s="170" t="str">
        <f t="shared" si="73"/>
        <v/>
      </c>
      <c r="W303" s="170" t="str">
        <f t="shared" si="74"/>
        <v/>
      </c>
      <c r="X303" s="170" t="str">
        <f t="shared" si="68"/>
        <v/>
      </c>
      <c r="Y303" s="170" t="str">
        <f t="shared" si="69"/>
        <v/>
      </c>
      <c r="Z303" s="170" t="str">
        <f t="shared" si="70"/>
        <v/>
      </c>
      <c r="AA303" s="170" t="str">
        <f t="shared" si="75"/>
        <v/>
      </c>
      <c r="AB303" s="170" t="str">
        <f t="shared" si="76"/>
        <v/>
      </c>
      <c r="AC303" s="172" t="str">
        <f t="shared" si="77"/>
        <v/>
      </c>
      <c r="AE303" s="182"/>
      <c r="AF303" s="182"/>
      <c r="AG303" s="182"/>
      <c r="AH303" s="182"/>
      <c r="AI303" s="182"/>
      <c r="AJ303" s="182"/>
      <c r="AK303" s="182"/>
      <c r="AL303" s="182"/>
      <c r="AM303" s="182"/>
      <c r="AN303" s="182"/>
      <c r="AO303" s="182"/>
      <c r="AP303" s="182"/>
      <c r="AQ303" s="182"/>
      <c r="AR303" s="182"/>
      <c r="AS303" s="182"/>
    </row>
    <row r="304" spans="1:45">
      <c r="A304" s="263"/>
      <c r="B304" s="260"/>
      <c r="C304" s="244"/>
      <c r="D304" s="184"/>
      <c r="E304" s="189"/>
      <c r="F304" s="186"/>
      <c r="G304" s="186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70" t="str">
        <f t="shared" si="71"/>
        <v/>
      </c>
      <c r="U304" s="170" t="str">
        <f t="shared" si="72"/>
        <v/>
      </c>
      <c r="V304" s="170" t="str">
        <f t="shared" si="73"/>
        <v/>
      </c>
      <c r="W304" s="170" t="str">
        <f t="shared" si="74"/>
        <v/>
      </c>
      <c r="X304" s="170" t="str">
        <f t="shared" si="68"/>
        <v/>
      </c>
      <c r="Y304" s="170" t="str">
        <f t="shared" si="69"/>
        <v/>
      </c>
      <c r="Z304" s="170" t="str">
        <f t="shared" si="70"/>
        <v/>
      </c>
      <c r="AA304" s="170" t="str">
        <f t="shared" si="75"/>
        <v/>
      </c>
      <c r="AB304" s="170" t="str">
        <f t="shared" si="76"/>
        <v/>
      </c>
      <c r="AC304" s="172" t="str">
        <f t="shared" si="77"/>
        <v/>
      </c>
      <c r="AE304" s="182"/>
      <c r="AF304" s="182"/>
      <c r="AG304" s="182"/>
      <c r="AH304" s="182"/>
      <c r="AI304" s="182"/>
      <c r="AJ304" s="182"/>
      <c r="AK304" s="182"/>
      <c r="AL304" s="182"/>
      <c r="AM304" s="182"/>
      <c r="AN304" s="182"/>
      <c r="AO304" s="182"/>
      <c r="AP304" s="182"/>
      <c r="AQ304" s="182"/>
      <c r="AR304" s="182"/>
      <c r="AS304" s="182"/>
    </row>
    <row r="305" spans="1:45">
      <c r="A305" s="263"/>
      <c r="B305" s="260"/>
      <c r="C305" s="244"/>
      <c r="D305" s="184"/>
      <c r="E305" s="185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70" t="str">
        <f t="shared" si="71"/>
        <v/>
      </c>
      <c r="U305" s="170" t="str">
        <f t="shared" si="72"/>
        <v/>
      </c>
      <c r="V305" s="170" t="str">
        <f t="shared" si="73"/>
        <v/>
      </c>
      <c r="W305" s="170" t="str">
        <f t="shared" si="74"/>
        <v/>
      </c>
      <c r="X305" s="170" t="str">
        <f t="shared" si="68"/>
        <v/>
      </c>
      <c r="Y305" s="170" t="str">
        <f t="shared" si="69"/>
        <v/>
      </c>
      <c r="Z305" s="170" t="str">
        <f t="shared" si="70"/>
        <v/>
      </c>
      <c r="AA305" s="170" t="str">
        <f t="shared" si="75"/>
        <v/>
      </c>
      <c r="AB305" s="170" t="str">
        <f t="shared" si="76"/>
        <v/>
      </c>
      <c r="AC305" s="172" t="str">
        <f t="shared" si="77"/>
        <v/>
      </c>
      <c r="AE305" s="182"/>
      <c r="AF305" s="182"/>
      <c r="AG305" s="182"/>
      <c r="AH305" s="182"/>
      <c r="AI305" s="182"/>
      <c r="AJ305" s="182"/>
      <c r="AK305" s="182"/>
      <c r="AL305" s="182"/>
      <c r="AM305" s="182"/>
      <c r="AN305" s="182"/>
      <c r="AO305" s="182"/>
      <c r="AP305" s="182"/>
      <c r="AQ305" s="182"/>
      <c r="AR305" s="182"/>
      <c r="AS305" s="182"/>
    </row>
    <row r="306" spans="1:45">
      <c r="A306" s="263"/>
      <c r="B306" s="260"/>
      <c r="C306" s="244"/>
      <c r="D306" s="184"/>
      <c r="E306" s="185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70" t="str">
        <f t="shared" si="71"/>
        <v/>
      </c>
      <c r="U306" s="170" t="str">
        <f t="shared" si="72"/>
        <v/>
      </c>
      <c r="V306" s="170" t="str">
        <f t="shared" si="73"/>
        <v/>
      </c>
      <c r="W306" s="170" t="str">
        <f t="shared" si="74"/>
        <v/>
      </c>
      <c r="X306" s="170" t="str">
        <f t="shared" si="68"/>
        <v/>
      </c>
      <c r="Y306" s="170" t="str">
        <f t="shared" si="69"/>
        <v/>
      </c>
      <c r="Z306" s="170" t="str">
        <f t="shared" si="70"/>
        <v/>
      </c>
      <c r="AA306" s="170" t="str">
        <f t="shared" si="75"/>
        <v/>
      </c>
      <c r="AB306" s="170" t="str">
        <f t="shared" si="76"/>
        <v/>
      </c>
      <c r="AC306" s="172" t="str">
        <f t="shared" si="77"/>
        <v/>
      </c>
      <c r="AE306" s="182"/>
      <c r="AF306" s="182"/>
      <c r="AG306" s="182"/>
      <c r="AH306" s="182"/>
      <c r="AI306" s="182"/>
      <c r="AJ306" s="182"/>
      <c r="AK306" s="182"/>
      <c r="AL306" s="182"/>
      <c r="AM306" s="182"/>
      <c r="AN306" s="182"/>
      <c r="AO306" s="182"/>
      <c r="AP306" s="182"/>
      <c r="AQ306" s="182"/>
      <c r="AR306" s="182"/>
      <c r="AS306" s="182"/>
    </row>
    <row r="307" spans="1:45">
      <c r="A307" s="263"/>
      <c r="B307" s="260"/>
      <c r="C307" s="244"/>
      <c r="D307" s="184"/>
      <c r="E307" s="185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70" t="str">
        <f t="shared" si="71"/>
        <v/>
      </c>
      <c r="U307" s="170" t="str">
        <f t="shared" si="72"/>
        <v/>
      </c>
      <c r="V307" s="170" t="str">
        <f t="shared" si="73"/>
        <v/>
      </c>
      <c r="W307" s="170" t="str">
        <f t="shared" si="74"/>
        <v/>
      </c>
      <c r="X307" s="170" t="str">
        <f t="shared" si="68"/>
        <v/>
      </c>
      <c r="Y307" s="170" t="str">
        <f t="shared" si="69"/>
        <v/>
      </c>
      <c r="Z307" s="170" t="str">
        <f t="shared" si="70"/>
        <v/>
      </c>
      <c r="AA307" s="170" t="str">
        <f t="shared" si="75"/>
        <v/>
      </c>
      <c r="AB307" s="170" t="str">
        <f t="shared" si="76"/>
        <v/>
      </c>
      <c r="AC307" s="172" t="str">
        <f t="shared" si="77"/>
        <v/>
      </c>
      <c r="AE307" s="182"/>
      <c r="AF307" s="182"/>
      <c r="AG307" s="182"/>
      <c r="AH307" s="182"/>
      <c r="AI307" s="182"/>
      <c r="AJ307" s="182"/>
      <c r="AK307" s="182"/>
      <c r="AL307" s="182"/>
      <c r="AM307" s="182"/>
      <c r="AN307" s="182"/>
      <c r="AO307" s="182"/>
      <c r="AP307" s="182"/>
      <c r="AQ307" s="182"/>
      <c r="AR307" s="182"/>
      <c r="AS307" s="182"/>
    </row>
    <row r="308" spans="1:45">
      <c r="A308" s="263"/>
      <c r="B308" s="260"/>
      <c r="C308" s="244"/>
      <c r="D308" s="184"/>
      <c r="E308" s="185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70" t="str">
        <f t="shared" si="71"/>
        <v/>
      </c>
      <c r="U308" s="170" t="str">
        <f t="shared" si="72"/>
        <v/>
      </c>
      <c r="V308" s="170" t="str">
        <f t="shared" si="73"/>
        <v/>
      </c>
      <c r="W308" s="170" t="str">
        <f t="shared" si="74"/>
        <v/>
      </c>
      <c r="X308" s="170" t="str">
        <f t="shared" si="68"/>
        <v/>
      </c>
      <c r="Y308" s="170" t="str">
        <f t="shared" si="69"/>
        <v/>
      </c>
      <c r="Z308" s="170" t="str">
        <f t="shared" si="70"/>
        <v/>
      </c>
      <c r="AA308" s="170" t="str">
        <f t="shared" si="75"/>
        <v/>
      </c>
      <c r="AB308" s="170" t="str">
        <f t="shared" si="76"/>
        <v/>
      </c>
      <c r="AC308" s="172" t="str">
        <f t="shared" si="77"/>
        <v/>
      </c>
      <c r="AE308" s="182"/>
      <c r="AF308" s="182"/>
      <c r="AG308" s="182"/>
      <c r="AH308" s="182"/>
      <c r="AI308" s="182"/>
      <c r="AJ308" s="182"/>
      <c r="AK308" s="182"/>
      <c r="AL308" s="182"/>
      <c r="AM308" s="182"/>
      <c r="AN308" s="182"/>
      <c r="AO308" s="182"/>
      <c r="AP308" s="182"/>
      <c r="AQ308" s="182"/>
      <c r="AR308" s="182"/>
      <c r="AS308" s="182"/>
    </row>
    <row r="309" spans="1:45">
      <c r="A309" s="263"/>
      <c r="B309" s="261"/>
      <c r="C309" s="245"/>
      <c r="D309" s="184"/>
      <c r="E309" s="185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70" t="str">
        <f t="shared" si="71"/>
        <v/>
      </c>
      <c r="U309" s="170" t="str">
        <f t="shared" si="72"/>
        <v/>
      </c>
      <c r="V309" s="170" t="str">
        <f t="shared" si="73"/>
        <v/>
      </c>
      <c r="W309" s="170" t="str">
        <f t="shared" si="74"/>
        <v/>
      </c>
      <c r="X309" s="170" t="str">
        <f t="shared" si="68"/>
        <v/>
      </c>
      <c r="Y309" s="170" t="str">
        <f t="shared" si="69"/>
        <v/>
      </c>
      <c r="Z309" s="170"/>
      <c r="AA309" s="170" t="str">
        <f t="shared" si="75"/>
        <v/>
      </c>
      <c r="AB309" s="170" t="str">
        <f t="shared" si="76"/>
        <v/>
      </c>
      <c r="AC309" s="172" t="str">
        <f t="shared" si="77"/>
        <v/>
      </c>
      <c r="AE309" s="182"/>
      <c r="AF309" s="182"/>
      <c r="AG309" s="182"/>
      <c r="AH309" s="182"/>
      <c r="AI309" s="182"/>
      <c r="AJ309" s="182"/>
      <c r="AK309" s="182"/>
      <c r="AL309" s="182"/>
      <c r="AM309" s="182"/>
      <c r="AN309" s="182"/>
      <c r="AO309" s="182"/>
      <c r="AP309" s="182"/>
      <c r="AQ309" s="182"/>
      <c r="AR309" s="182"/>
      <c r="AS309" s="182"/>
    </row>
    <row r="310" spans="1:45">
      <c r="A310" s="263">
        <v>39</v>
      </c>
      <c r="B310" s="252"/>
      <c r="C310" s="243"/>
      <c r="D310" s="184"/>
      <c r="E310" s="186"/>
      <c r="F310" s="186"/>
      <c r="G310" s="186"/>
      <c r="H310" s="186"/>
      <c r="I310" s="186"/>
      <c r="J310" s="186"/>
      <c r="K310" s="169"/>
      <c r="L310" s="169"/>
      <c r="M310" s="169"/>
      <c r="N310" s="169"/>
      <c r="O310" s="169"/>
      <c r="P310" s="169"/>
      <c r="Q310" s="169"/>
      <c r="R310" s="169"/>
      <c r="S310" s="169"/>
      <c r="T310" s="170" t="str">
        <f t="shared" si="71"/>
        <v/>
      </c>
      <c r="U310" s="170" t="str">
        <f t="shared" si="72"/>
        <v/>
      </c>
      <c r="V310" s="170" t="str">
        <f t="shared" si="73"/>
        <v/>
      </c>
      <c r="W310" s="170" t="str">
        <f t="shared" si="74"/>
        <v/>
      </c>
      <c r="X310" s="170" t="str">
        <f t="shared" si="68"/>
        <v/>
      </c>
      <c r="Y310" s="170" t="str">
        <f t="shared" si="69"/>
        <v/>
      </c>
      <c r="Z310" s="170" t="str">
        <f t="shared" si="70"/>
        <v/>
      </c>
      <c r="AA310" s="170" t="str">
        <f t="shared" si="75"/>
        <v/>
      </c>
      <c r="AB310" s="170" t="str">
        <f t="shared" si="76"/>
        <v/>
      </c>
      <c r="AC310" s="172" t="str">
        <f t="shared" si="77"/>
        <v/>
      </c>
      <c r="AE310" s="182"/>
      <c r="AF310" s="182"/>
      <c r="AG310" s="182"/>
      <c r="AH310" s="182"/>
      <c r="AI310" s="182"/>
      <c r="AJ310" s="182"/>
      <c r="AK310" s="182"/>
      <c r="AL310" s="182"/>
      <c r="AM310" s="182"/>
      <c r="AN310" s="182"/>
      <c r="AO310" s="182"/>
      <c r="AP310" s="182"/>
      <c r="AQ310" s="182"/>
      <c r="AR310" s="182"/>
      <c r="AS310" s="182"/>
    </row>
    <row r="311" spans="1:45">
      <c r="A311" s="263"/>
      <c r="B311" s="260"/>
      <c r="C311" s="244"/>
      <c r="D311" s="184"/>
      <c r="E311" s="186"/>
      <c r="F311" s="186"/>
      <c r="G311" s="186"/>
      <c r="H311" s="186"/>
      <c r="I311" s="186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70" t="str">
        <f t="shared" si="71"/>
        <v/>
      </c>
      <c r="U311" s="170" t="str">
        <f t="shared" si="72"/>
        <v/>
      </c>
      <c r="V311" s="170" t="str">
        <f t="shared" si="73"/>
        <v/>
      </c>
      <c r="W311" s="170" t="str">
        <f t="shared" si="74"/>
        <v/>
      </c>
      <c r="X311" s="170" t="str">
        <f t="shared" si="68"/>
        <v/>
      </c>
      <c r="Y311" s="170" t="str">
        <f t="shared" si="69"/>
        <v/>
      </c>
      <c r="Z311" s="170" t="str">
        <f t="shared" si="70"/>
        <v/>
      </c>
      <c r="AA311" s="170" t="str">
        <f t="shared" si="75"/>
        <v/>
      </c>
      <c r="AB311" s="170" t="str">
        <f t="shared" si="76"/>
        <v/>
      </c>
      <c r="AC311" s="172" t="str">
        <f t="shared" si="77"/>
        <v/>
      </c>
      <c r="AE311" s="182"/>
      <c r="AF311" s="182"/>
      <c r="AG311" s="182"/>
      <c r="AH311" s="182"/>
      <c r="AI311" s="182"/>
      <c r="AJ311" s="182"/>
      <c r="AK311" s="182"/>
      <c r="AL311" s="182"/>
      <c r="AM311" s="182"/>
      <c r="AN311" s="182"/>
      <c r="AO311" s="182"/>
      <c r="AP311" s="182"/>
      <c r="AQ311" s="182"/>
      <c r="AR311" s="182"/>
      <c r="AS311" s="182"/>
    </row>
    <row r="312" spans="1:45" ht="15">
      <c r="A312" s="263"/>
      <c r="B312" s="260"/>
      <c r="C312" s="244"/>
      <c r="D312" s="193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70" t="str">
        <f t="shared" si="71"/>
        <v/>
      </c>
      <c r="U312" s="170" t="str">
        <f t="shared" si="72"/>
        <v/>
      </c>
      <c r="V312" s="170" t="str">
        <f t="shared" si="73"/>
        <v/>
      </c>
      <c r="W312" s="170" t="str">
        <f t="shared" si="74"/>
        <v/>
      </c>
      <c r="X312" s="170" t="str">
        <f t="shared" si="68"/>
        <v/>
      </c>
      <c r="Y312" s="170" t="str">
        <f t="shared" si="69"/>
        <v/>
      </c>
      <c r="Z312" s="170" t="str">
        <f t="shared" si="70"/>
        <v/>
      </c>
      <c r="AA312" s="170" t="str">
        <f t="shared" si="75"/>
        <v/>
      </c>
      <c r="AB312" s="170" t="str">
        <f t="shared" si="76"/>
        <v/>
      </c>
      <c r="AC312" s="172" t="str">
        <f t="shared" si="77"/>
        <v/>
      </c>
      <c r="AE312" s="182"/>
      <c r="AF312" s="182"/>
      <c r="AG312" s="182"/>
      <c r="AH312" s="182"/>
      <c r="AI312" s="182"/>
      <c r="AJ312" s="182"/>
      <c r="AK312" s="182"/>
      <c r="AL312" s="182"/>
      <c r="AM312" s="182"/>
      <c r="AN312" s="182"/>
      <c r="AO312" s="182"/>
      <c r="AP312" s="182"/>
      <c r="AQ312" s="182"/>
      <c r="AR312" s="182"/>
      <c r="AS312" s="182"/>
    </row>
    <row r="313" spans="1:45" ht="15">
      <c r="A313" s="263"/>
      <c r="B313" s="260"/>
      <c r="C313" s="244"/>
      <c r="D313" s="193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70" t="str">
        <f t="shared" si="71"/>
        <v/>
      </c>
      <c r="U313" s="170" t="str">
        <f t="shared" si="72"/>
        <v/>
      </c>
      <c r="V313" s="170" t="str">
        <f t="shared" si="73"/>
        <v/>
      </c>
      <c r="W313" s="170" t="str">
        <f t="shared" si="74"/>
        <v/>
      </c>
      <c r="X313" s="170" t="str">
        <f t="shared" si="68"/>
        <v/>
      </c>
      <c r="Y313" s="170" t="str">
        <f t="shared" si="69"/>
        <v/>
      </c>
      <c r="Z313" s="170" t="str">
        <f t="shared" si="70"/>
        <v/>
      </c>
      <c r="AA313" s="170" t="str">
        <f t="shared" si="75"/>
        <v/>
      </c>
      <c r="AB313" s="170" t="str">
        <f t="shared" si="76"/>
        <v/>
      </c>
      <c r="AC313" s="172" t="str">
        <f t="shared" si="77"/>
        <v/>
      </c>
      <c r="AE313" s="182"/>
      <c r="AF313" s="182"/>
      <c r="AG313" s="182"/>
      <c r="AH313" s="182"/>
      <c r="AI313" s="182"/>
      <c r="AJ313" s="182"/>
      <c r="AK313" s="182"/>
      <c r="AL313" s="182"/>
      <c r="AM313" s="182"/>
      <c r="AN313" s="182"/>
      <c r="AO313" s="182"/>
      <c r="AP313" s="182"/>
      <c r="AQ313" s="182"/>
      <c r="AR313" s="182"/>
      <c r="AS313" s="182"/>
    </row>
    <row r="314" spans="1:45" ht="15">
      <c r="A314" s="263"/>
      <c r="B314" s="260"/>
      <c r="C314" s="244"/>
      <c r="D314" s="193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70" t="str">
        <f t="shared" si="71"/>
        <v/>
      </c>
      <c r="U314" s="170" t="str">
        <f t="shared" si="72"/>
        <v/>
      </c>
      <c r="V314" s="170" t="str">
        <f t="shared" si="73"/>
        <v/>
      </c>
      <c r="W314" s="170" t="str">
        <f t="shared" si="74"/>
        <v/>
      </c>
      <c r="X314" s="170" t="str">
        <f t="shared" si="68"/>
        <v/>
      </c>
      <c r="Y314" s="170" t="str">
        <f t="shared" si="69"/>
        <v/>
      </c>
      <c r="Z314" s="170" t="str">
        <f t="shared" si="70"/>
        <v/>
      </c>
      <c r="AA314" s="170" t="str">
        <f t="shared" si="75"/>
        <v/>
      </c>
      <c r="AB314" s="170" t="str">
        <f t="shared" si="76"/>
        <v/>
      </c>
      <c r="AC314" s="172" t="str">
        <f t="shared" si="77"/>
        <v/>
      </c>
      <c r="AE314" s="182"/>
      <c r="AF314" s="182"/>
      <c r="AG314" s="182"/>
      <c r="AH314" s="182"/>
      <c r="AI314" s="182"/>
      <c r="AJ314" s="182"/>
      <c r="AK314" s="182"/>
      <c r="AL314" s="182"/>
      <c r="AM314" s="182"/>
      <c r="AN314" s="182"/>
      <c r="AO314" s="182"/>
      <c r="AP314" s="182"/>
      <c r="AQ314" s="182"/>
      <c r="AR314" s="182"/>
      <c r="AS314" s="182"/>
    </row>
    <row r="315" spans="1:45" ht="15">
      <c r="A315" s="263"/>
      <c r="B315" s="260"/>
      <c r="C315" s="244"/>
      <c r="D315" s="193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70" t="str">
        <f t="shared" si="71"/>
        <v/>
      </c>
      <c r="U315" s="170" t="str">
        <f t="shared" si="72"/>
        <v/>
      </c>
      <c r="V315" s="170" t="str">
        <f t="shared" si="73"/>
        <v/>
      </c>
      <c r="W315" s="170" t="str">
        <f t="shared" si="74"/>
        <v/>
      </c>
      <c r="X315" s="170" t="str">
        <f t="shared" si="68"/>
        <v/>
      </c>
      <c r="Y315" s="170" t="str">
        <f t="shared" si="69"/>
        <v/>
      </c>
      <c r="Z315" s="170" t="str">
        <f t="shared" si="70"/>
        <v/>
      </c>
      <c r="AA315" s="170" t="str">
        <f t="shared" si="75"/>
        <v/>
      </c>
      <c r="AB315" s="170" t="str">
        <f t="shared" si="76"/>
        <v/>
      </c>
      <c r="AC315" s="172" t="str">
        <f t="shared" si="77"/>
        <v/>
      </c>
      <c r="AE315" s="182"/>
      <c r="AF315" s="182"/>
      <c r="AG315" s="182"/>
      <c r="AH315" s="182"/>
      <c r="AI315" s="182"/>
      <c r="AJ315" s="182"/>
      <c r="AK315" s="182"/>
      <c r="AL315" s="182"/>
      <c r="AM315" s="182"/>
      <c r="AN315" s="182"/>
      <c r="AO315" s="182"/>
      <c r="AP315" s="182"/>
      <c r="AQ315" s="182"/>
      <c r="AR315" s="182"/>
      <c r="AS315" s="182"/>
    </row>
    <row r="316" spans="1:45" ht="15">
      <c r="A316" s="263"/>
      <c r="B316" s="260"/>
      <c r="C316" s="244"/>
      <c r="D316" s="193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70" t="str">
        <f t="shared" si="71"/>
        <v/>
      </c>
      <c r="U316" s="170" t="str">
        <f t="shared" si="72"/>
        <v/>
      </c>
      <c r="V316" s="170" t="str">
        <f t="shared" si="73"/>
        <v/>
      </c>
      <c r="W316" s="170" t="str">
        <f t="shared" si="74"/>
        <v/>
      </c>
      <c r="X316" s="170" t="str">
        <f t="shared" si="68"/>
        <v/>
      </c>
      <c r="Y316" s="170" t="str">
        <f t="shared" si="69"/>
        <v/>
      </c>
      <c r="Z316" s="170" t="str">
        <f t="shared" si="70"/>
        <v/>
      </c>
      <c r="AA316" s="170" t="str">
        <f t="shared" si="75"/>
        <v/>
      </c>
      <c r="AB316" s="170" t="str">
        <f t="shared" si="76"/>
        <v/>
      </c>
      <c r="AC316" s="172" t="str">
        <f t="shared" si="77"/>
        <v/>
      </c>
      <c r="AE316" s="182"/>
      <c r="AF316" s="182"/>
      <c r="AG316" s="182"/>
      <c r="AH316" s="182"/>
      <c r="AI316" s="182"/>
      <c r="AJ316" s="182"/>
      <c r="AK316" s="182"/>
      <c r="AL316" s="182"/>
      <c r="AM316" s="182"/>
      <c r="AN316" s="182"/>
      <c r="AO316" s="182"/>
      <c r="AP316" s="182"/>
      <c r="AQ316" s="182"/>
      <c r="AR316" s="182"/>
      <c r="AS316" s="182"/>
    </row>
    <row r="317" spans="1:45" ht="15">
      <c r="A317" s="263"/>
      <c r="B317" s="261"/>
      <c r="C317" s="245"/>
      <c r="D317" s="193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70" t="str">
        <f t="shared" si="71"/>
        <v/>
      </c>
      <c r="U317" s="170" t="str">
        <f t="shared" si="72"/>
        <v/>
      </c>
      <c r="V317" s="170" t="str">
        <f t="shared" si="73"/>
        <v/>
      </c>
      <c r="W317" s="170" t="str">
        <f t="shared" si="74"/>
        <v/>
      </c>
      <c r="X317" s="170" t="str">
        <f t="shared" si="68"/>
        <v/>
      </c>
      <c r="Y317" s="170" t="str">
        <f t="shared" si="69"/>
        <v/>
      </c>
      <c r="Z317" s="170"/>
      <c r="AA317" s="170" t="str">
        <f t="shared" si="75"/>
        <v/>
      </c>
      <c r="AB317" s="170" t="str">
        <f t="shared" si="76"/>
        <v/>
      </c>
      <c r="AC317" s="172" t="str">
        <f t="shared" si="77"/>
        <v/>
      </c>
      <c r="AE317" s="182"/>
      <c r="AF317" s="182"/>
      <c r="AG317" s="182"/>
      <c r="AH317" s="182"/>
      <c r="AI317" s="182"/>
      <c r="AJ317" s="182"/>
      <c r="AK317" s="182"/>
      <c r="AL317" s="182"/>
      <c r="AM317" s="182"/>
      <c r="AN317" s="182"/>
      <c r="AO317" s="182"/>
      <c r="AP317" s="182"/>
      <c r="AQ317" s="182"/>
      <c r="AR317" s="182"/>
      <c r="AS317" s="182"/>
    </row>
    <row r="318" spans="1:45">
      <c r="A318" s="263">
        <v>40</v>
      </c>
      <c r="B318" s="252"/>
      <c r="C318" s="243"/>
      <c r="D318" s="184"/>
      <c r="E318" s="189"/>
      <c r="F318" s="186"/>
      <c r="G318" s="186"/>
      <c r="H318" s="186"/>
      <c r="I318" s="186"/>
      <c r="J318" s="186"/>
      <c r="K318" s="186"/>
      <c r="L318" s="169"/>
      <c r="M318" s="169"/>
      <c r="N318" s="169"/>
      <c r="O318" s="169"/>
      <c r="P318" s="169"/>
      <c r="Q318" s="169"/>
      <c r="R318" s="169"/>
      <c r="S318" s="169"/>
      <c r="T318" s="170" t="str">
        <f t="shared" si="71"/>
        <v/>
      </c>
      <c r="U318" s="170" t="str">
        <f t="shared" si="72"/>
        <v/>
      </c>
      <c r="V318" s="170" t="str">
        <f t="shared" si="73"/>
        <v/>
      </c>
      <c r="W318" s="170" t="str">
        <f t="shared" si="74"/>
        <v/>
      </c>
      <c r="X318" s="170" t="str">
        <f t="shared" si="68"/>
        <v/>
      </c>
      <c r="Y318" s="170" t="str">
        <f t="shared" si="69"/>
        <v/>
      </c>
      <c r="Z318" s="170" t="str">
        <f t="shared" si="70"/>
        <v/>
      </c>
      <c r="AA318" s="170" t="str">
        <f t="shared" si="75"/>
        <v/>
      </c>
      <c r="AB318" s="170" t="str">
        <f t="shared" si="76"/>
        <v/>
      </c>
      <c r="AC318" s="172" t="str">
        <f t="shared" si="77"/>
        <v/>
      </c>
      <c r="AE318" s="182"/>
      <c r="AF318" s="182"/>
      <c r="AG318" s="182"/>
      <c r="AH318" s="182"/>
      <c r="AI318" s="182"/>
      <c r="AJ318" s="182"/>
      <c r="AK318" s="182"/>
      <c r="AL318" s="182"/>
      <c r="AM318" s="182"/>
      <c r="AN318" s="182"/>
      <c r="AO318" s="182"/>
      <c r="AP318" s="182"/>
      <c r="AQ318" s="182"/>
      <c r="AR318" s="182"/>
      <c r="AS318" s="182"/>
    </row>
    <row r="319" spans="1:45">
      <c r="A319" s="263"/>
      <c r="B319" s="260"/>
      <c r="C319" s="244"/>
      <c r="D319" s="184"/>
      <c r="E319" s="185"/>
      <c r="F319" s="169"/>
      <c r="G319" s="169"/>
      <c r="H319" s="169"/>
      <c r="I319" s="169"/>
      <c r="J319" s="169"/>
      <c r="K319" s="186"/>
      <c r="L319" s="169"/>
      <c r="M319" s="169"/>
      <c r="N319" s="169"/>
      <c r="O319" s="169"/>
      <c r="P319" s="169"/>
      <c r="Q319" s="169"/>
      <c r="R319" s="169"/>
      <c r="S319" s="169"/>
      <c r="T319" s="170" t="str">
        <f t="shared" si="71"/>
        <v/>
      </c>
      <c r="U319" s="170" t="str">
        <f t="shared" si="72"/>
        <v/>
      </c>
      <c r="V319" s="170" t="str">
        <f t="shared" si="73"/>
        <v/>
      </c>
      <c r="W319" s="170" t="str">
        <f t="shared" si="74"/>
        <v/>
      </c>
      <c r="X319" s="170" t="str">
        <f t="shared" si="68"/>
        <v/>
      </c>
      <c r="Y319" s="170" t="str">
        <f t="shared" si="69"/>
        <v/>
      </c>
      <c r="Z319" s="170" t="str">
        <f t="shared" si="70"/>
        <v/>
      </c>
      <c r="AA319" s="170" t="str">
        <f t="shared" si="75"/>
        <v/>
      </c>
      <c r="AB319" s="170" t="str">
        <f t="shared" si="76"/>
        <v/>
      </c>
      <c r="AC319" s="172" t="str">
        <f t="shared" si="77"/>
        <v/>
      </c>
      <c r="AE319" s="182"/>
      <c r="AF319" s="182"/>
      <c r="AG319" s="182"/>
      <c r="AH319" s="182"/>
      <c r="AI319" s="182"/>
      <c r="AJ319" s="182"/>
      <c r="AK319" s="182"/>
      <c r="AL319" s="182"/>
      <c r="AM319" s="182"/>
      <c r="AN319" s="182"/>
      <c r="AO319" s="182"/>
      <c r="AP319" s="182"/>
      <c r="AQ319" s="182"/>
      <c r="AR319" s="182"/>
      <c r="AS319" s="182"/>
    </row>
    <row r="320" spans="1:45">
      <c r="A320" s="263"/>
      <c r="B320" s="260"/>
      <c r="C320" s="244"/>
      <c r="D320" s="184"/>
      <c r="E320" s="185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70" t="str">
        <f t="shared" si="71"/>
        <v/>
      </c>
      <c r="U320" s="170" t="str">
        <f t="shared" si="72"/>
        <v/>
      </c>
      <c r="V320" s="170" t="str">
        <f t="shared" si="73"/>
        <v/>
      </c>
      <c r="W320" s="170" t="str">
        <f t="shared" si="74"/>
        <v/>
      </c>
      <c r="X320" s="170" t="str">
        <f t="shared" si="68"/>
        <v/>
      </c>
      <c r="Y320" s="170" t="str">
        <f t="shared" si="69"/>
        <v/>
      </c>
      <c r="Z320" s="170" t="str">
        <f t="shared" si="70"/>
        <v/>
      </c>
      <c r="AA320" s="170" t="str">
        <f t="shared" si="75"/>
        <v/>
      </c>
      <c r="AB320" s="170" t="str">
        <f t="shared" si="76"/>
        <v/>
      </c>
      <c r="AC320" s="172" t="str">
        <f t="shared" si="77"/>
        <v/>
      </c>
      <c r="AE320" s="182"/>
      <c r="AF320" s="182"/>
      <c r="AG320" s="182"/>
      <c r="AH320" s="182"/>
      <c r="AI320" s="182"/>
      <c r="AJ320" s="182"/>
      <c r="AK320" s="182"/>
      <c r="AL320" s="182"/>
      <c r="AM320" s="182"/>
      <c r="AN320" s="182"/>
      <c r="AO320" s="182"/>
      <c r="AP320" s="182"/>
      <c r="AQ320" s="182"/>
      <c r="AR320" s="182"/>
      <c r="AS320" s="182"/>
    </row>
    <row r="321" spans="1:45">
      <c r="A321" s="263"/>
      <c r="B321" s="260"/>
      <c r="C321" s="244"/>
      <c r="D321" s="184"/>
      <c r="E321" s="185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70" t="str">
        <f t="shared" si="71"/>
        <v/>
      </c>
      <c r="U321" s="170" t="str">
        <f t="shared" si="72"/>
        <v/>
      </c>
      <c r="V321" s="170" t="str">
        <f t="shared" si="73"/>
        <v/>
      </c>
      <c r="W321" s="170" t="str">
        <f t="shared" si="74"/>
        <v/>
      </c>
      <c r="X321" s="170" t="str">
        <f t="shared" si="68"/>
        <v/>
      </c>
      <c r="Y321" s="170" t="str">
        <f t="shared" si="69"/>
        <v/>
      </c>
      <c r="Z321" s="170" t="str">
        <f t="shared" si="70"/>
        <v/>
      </c>
      <c r="AA321" s="170" t="str">
        <f t="shared" si="75"/>
        <v/>
      </c>
      <c r="AB321" s="170" t="str">
        <f t="shared" si="76"/>
        <v/>
      </c>
      <c r="AC321" s="172" t="str">
        <f t="shared" si="77"/>
        <v/>
      </c>
      <c r="AE321" s="182"/>
      <c r="AF321" s="182"/>
      <c r="AG321" s="182"/>
      <c r="AH321" s="182"/>
      <c r="AI321" s="182"/>
      <c r="AJ321" s="182"/>
      <c r="AK321" s="182"/>
      <c r="AL321" s="182"/>
      <c r="AM321" s="182"/>
      <c r="AN321" s="182"/>
      <c r="AO321" s="182"/>
      <c r="AP321" s="182"/>
      <c r="AQ321" s="182"/>
      <c r="AR321" s="182"/>
      <c r="AS321" s="182"/>
    </row>
    <row r="322" spans="1:45">
      <c r="A322" s="263"/>
      <c r="B322" s="260"/>
      <c r="C322" s="244"/>
      <c r="D322" s="184"/>
      <c r="E322" s="185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70" t="str">
        <f t="shared" si="71"/>
        <v/>
      </c>
      <c r="U322" s="170" t="str">
        <f t="shared" si="72"/>
        <v/>
      </c>
      <c r="V322" s="170" t="str">
        <f t="shared" si="73"/>
        <v/>
      </c>
      <c r="W322" s="170" t="str">
        <f t="shared" si="74"/>
        <v/>
      </c>
      <c r="X322" s="170" t="str">
        <f t="shared" si="68"/>
        <v/>
      </c>
      <c r="Y322" s="170" t="str">
        <f t="shared" si="69"/>
        <v/>
      </c>
      <c r="Z322" s="170" t="str">
        <f t="shared" si="70"/>
        <v/>
      </c>
      <c r="AA322" s="170" t="str">
        <f t="shared" si="75"/>
        <v/>
      </c>
      <c r="AB322" s="170" t="str">
        <f t="shared" si="76"/>
        <v/>
      </c>
      <c r="AC322" s="172" t="str">
        <f t="shared" si="77"/>
        <v/>
      </c>
      <c r="AE322" s="182"/>
      <c r="AF322" s="182"/>
      <c r="AG322" s="182"/>
      <c r="AH322" s="182"/>
      <c r="AI322" s="182"/>
      <c r="AJ322" s="182"/>
      <c r="AK322" s="182"/>
      <c r="AL322" s="182"/>
      <c r="AM322" s="182"/>
      <c r="AN322" s="182"/>
      <c r="AO322" s="182"/>
      <c r="AP322" s="182"/>
      <c r="AQ322" s="182"/>
      <c r="AR322" s="182"/>
      <c r="AS322" s="182"/>
    </row>
    <row r="323" spans="1:45">
      <c r="A323" s="263"/>
      <c r="B323" s="260"/>
      <c r="C323" s="244"/>
      <c r="D323" s="184"/>
      <c r="E323" s="185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70" t="str">
        <f t="shared" si="71"/>
        <v/>
      </c>
      <c r="U323" s="170" t="str">
        <f t="shared" si="72"/>
        <v/>
      </c>
      <c r="V323" s="170" t="str">
        <f t="shared" si="73"/>
        <v/>
      </c>
      <c r="W323" s="170" t="str">
        <f t="shared" si="74"/>
        <v/>
      </c>
      <c r="X323" s="170" t="str">
        <f t="shared" si="68"/>
        <v/>
      </c>
      <c r="Y323" s="170" t="str">
        <f t="shared" si="69"/>
        <v/>
      </c>
      <c r="Z323" s="170" t="str">
        <f t="shared" si="70"/>
        <v/>
      </c>
      <c r="AA323" s="170" t="str">
        <f t="shared" si="75"/>
        <v/>
      </c>
      <c r="AB323" s="170" t="str">
        <f t="shared" si="76"/>
        <v/>
      </c>
      <c r="AC323" s="172" t="str">
        <f t="shared" si="77"/>
        <v/>
      </c>
      <c r="AE323" s="182"/>
      <c r="AF323" s="182"/>
      <c r="AG323" s="182"/>
      <c r="AH323" s="182"/>
      <c r="AI323" s="182"/>
      <c r="AJ323" s="182"/>
      <c r="AK323" s="182"/>
      <c r="AL323" s="182"/>
      <c r="AM323" s="182"/>
      <c r="AN323" s="182"/>
      <c r="AO323" s="182"/>
      <c r="AP323" s="182"/>
      <c r="AQ323" s="182"/>
      <c r="AR323" s="182"/>
      <c r="AS323" s="182"/>
    </row>
    <row r="324" spans="1:45">
      <c r="A324" s="263"/>
      <c r="B324" s="260"/>
      <c r="C324" s="244"/>
      <c r="D324" s="184"/>
      <c r="E324" s="185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70" t="str">
        <f t="shared" si="71"/>
        <v/>
      </c>
      <c r="U324" s="170" t="str">
        <f t="shared" si="72"/>
        <v/>
      </c>
      <c r="V324" s="170" t="str">
        <f t="shared" si="73"/>
        <v/>
      </c>
      <c r="W324" s="170" t="str">
        <f t="shared" si="74"/>
        <v/>
      </c>
      <c r="X324" s="170" t="str">
        <f t="shared" si="68"/>
        <v/>
      </c>
      <c r="Y324" s="170" t="str">
        <f t="shared" si="69"/>
        <v/>
      </c>
      <c r="Z324" s="170" t="str">
        <f t="shared" si="70"/>
        <v/>
      </c>
      <c r="AA324" s="170" t="str">
        <f t="shared" si="75"/>
        <v/>
      </c>
      <c r="AB324" s="170" t="str">
        <f t="shared" si="76"/>
        <v/>
      </c>
      <c r="AC324" s="172" t="str">
        <f t="shared" si="77"/>
        <v/>
      </c>
      <c r="AE324" s="182"/>
      <c r="AF324" s="182"/>
      <c r="AG324" s="182"/>
      <c r="AH324" s="182"/>
      <c r="AI324" s="182"/>
      <c r="AJ324" s="182"/>
      <c r="AK324" s="182"/>
      <c r="AL324" s="182"/>
      <c r="AM324" s="182"/>
      <c r="AN324" s="182"/>
      <c r="AO324" s="182"/>
      <c r="AP324" s="182"/>
      <c r="AQ324" s="182"/>
      <c r="AR324" s="182"/>
      <c r="AS324" s="182"/>
    </row>
    <row r="325" spans="1:45">
      <c r="A325" s="263"/>
      <c r="B325" s="261"/>
      <c r="C325" s="245"/>
      <c r="D325" s="184"/>
      <c r="E325" s="185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70" t="str">
        <f t="shared" si="71"/>
        <v/>
      </c>
      <c r="U325" s="170" t="str">
        <f t="shared" si="72"/>
        <v/>
      </c>
      <c r="V325" s="170" t="str">
        <f t="shared" si="73"/>
        <v/>
      </c>
      <c r="W325" s="170" t="str">
        <f t="shared" si="74"/>
        <v/>
      </c>
      <c r="X325" s="170" t="str">
        <f t="shared" si="68"/>
        <v/>
      </c>
      <c r="Y325" s="170" t="str">
        <f t="shared" si="69"/>
        <v/>
      </c>
      <c r="Z325" s="170"/>
      <c r="AA325" s="170" t="str">
        <f t="shared" si="75"/>
        <v/>
      </c>
      <c r="AB325" s="170" t="str">
        <f t="shared" si="76"/>
        <v/>
      </c>
      <c r="AC325" s="172" t="str">
        <f t="shared" si="77"/>
        <v/>
      </c>
      <c r="AE325" s="182"/>
      <c r="AF325" s="182"/>
      <c r="AG325" s="182"/>
      <c r="AH325" s="182"/>
      <c r="AI325" s="182"/>
      <c r="AJ325" s="182"/>
      <c r="AK325" s="182"/>
      <c r="AL325" s="182"/>
      <c r="AM325" s="182"/>
      <c r="AN325" s="182"/>
      <c r="AO325" s="182"/>
      <c r="AP325" s="182"/>
      <c r="AQ325" s="182"/>
      <c r="AR325" s="182"/>
      <c r="AS325" s="182"/>
    </row>
    <row r="326" spans="1:45">
      <c r="A326" s="263">
        <v>41</v>
      </c>
      <c r="B326" s="252"/>
      <c r="C326" s="243"/>
      <c r="D326" s="184"/>
      <c r="E326" s="189"/>
      <c r="F326" s="186"/>
      <c r="G326" s="186"/>
      <c r="H326" s="186"/>
      <c r="I326" s="186"/>
      <c r="J326" s="186"/>
      <c r="K326" s="169"/>
      <c r="L326" s="169"/>
      <c r="M326" s="169"/>
      <c r="N326" s="169"/>
      <c r="O326" s="169"/>
      <c r="P326" s="169"/>
      <c r="Q326" s="169"/>
      <c r="R326" s="169"/>
      <c r="S326" s="169"/>
      <c r="T326" s="170" t="str">
        <f t="shared" si="71"/>
        <v/>
      </c>
      <c r="U326" s="170" t="str">
        <f t="shared" si="72"/>
        <v/>
      </c>
      <c r="V326" s="170" t="str">
        <f t="shared" si="73"/>
        <v/>
      </c>
      <c r="W326" s="170" t="str">
        <f t="shared" si="74"/>
        <v/>
      </c>
      <c r="X326" s="170" t="str">
        <f t="shared" si="68"/>
        <v/>
      </c>
      <c r="Y326" s="170" t="str">
        <f t="shared" si="69"/>
        <v/>
      </c>
      <c r="Z326" s="170" t="str">
        <f t="shared" si="70"/>
        <v/>
      </c>
      <c r="AA326" s="170" t="str">
        <f t="shared" si="75"/>
        <v/>
      </c>
      <c r="AB326" s="170" t="str">
        <f t="shared" si="76"/>
        <v/>
      </c>
      <c r="AC326" s="172" t="str">
        <f t="shared" si="77"/>
        <v/>
      </c>
      <c r="AE326" s="182"/>
      <c r="AF326" s="182"/>
      <c r="AG326" s="182"/>
      <c r="AH326" s="182"/>
      <c r="AI326" s="182"/>
      <c r="AJ326" s="182"/>
      <c r="AK326" s="182"/>
      <c r="AL326" s="182"/>
      <c r="AM326" s="182"/>
      <c r="AN326" s="182"/>
      <c r="AO326" s="182"/>
      <c r="AP326" s="182"/>
      <c r="AQ326" s="182"/>
      <c r="AR326" s="182"/>
      <c r="AS326" s="182"/>
    </row>
    <row r="327" spans="1:45">
      <c r="A327" s="263"/>
      <c r="B327" s="260"/>
      <c r="C327" s="244"/>
      <c r="D327" s="184"/>
      <c r="E327" s="185"/>
      <c r="F327" s="169"/>
      <c r="G327" s="169"/>
      <c r="H327" s="186"/>
      <c r="I327" s="186"/>
      <c r="J327" s="186"/>
      <c r="K327" s="169"/>
      <c r="L327" s="169"/>
      <c r="M327" s="169"/>
      <c r="N327" s="169"/>
      <c r="O327" s="169"/>
      <c r="P327" s="169"/>
      <c r="Q327" s="169"/>
      <c r="R327" s="169"/>
      <c r="S327" s="169"/>
      <c r="T327" s="170" t="str">
        <f t="shared" si="71"/>
        <v/>
      </c>
      <c r="U327" s="170" t="str">
        <f t="shared" si="72"/>
        <v/>
      </c>
      <c r="V327" s="170" t="str">
        <f t="shared" si="73"/>
        <v/>
      </c>
      <c r="W327" s="170" t="str">
        <f t="shared" si="74"/>
        <v/>
      </c>
      <c r="X327" s="170" t="str">
        <f t="shared" ref="X327:X390" si="78">IF(COUNT(E327:S327)=0,"",V327-1*W327)</f>
        <v/>
      </c>
      <c r="Y327" s="170" t="str">
        <f t="shared" ref="Y327:Y390" si="79">IF(COUNT(E327:S327)=0,"",V327+1*W327)</f>
        <v/>
      </c>
      <c r="Z327" s="170" t="str">
        <f t="shared" ref="Z327:Z390" si="80">IF(COUNT(E327:S327)=0,"",SUM(IF(AND(E327&gt;X327,E327&lt;Y327),E327,0),IF(AND(F327&gt;X327,F327&lt;Y327),F327,0),IF(AND(G327&gt;X327,G327&lt;Y327),G327,0),IF(AND(H327&gt;X327,H327&lt;Y327),H327,0),IF(AND(I327&gt;X327,I327&lt;Y327),I327,0),IF(AND(J327&gt;X327,J327&lt;Y327),J327,0),IF(AND(K327&gt;X327,K327&lt;Y327),K327,0),IF(AND(L327&gt;X327,L327&lt;Y327),L327,0),IF(AND(M327&gt;X327,M327&lt;Y327),M327,0),IF(AND(N327&gt;X327,N327&lt;Y327),N327,0),IF(AND(O327&gt;X327,O327&lt;Y327),O327,0),IF(AND(P327&gt;X327,P327&lt;Y327),P327,0),IF(AND(Q327&gt;X327,Q327&lt;Y327),Q327,0),IF(AND(R327&gt;X327,R327&lt;Y327),R327,0),IF(AND(S327&gt;X327,S327&lt;Y327),S327,0))/SUM(IF(AND(E327&gt;X327,E327&lt;Y327,E327&lt;&gt;0),1,0),IF(AND(F327&gt;X327,F327&lt;Y327,F327&lt;&gt;0),1,0),IF(AND(G327&gt;X327,G327&lt;Y327,G327&lt;&gt;0),1,0),IF(AND(H327&gt;X327,H327&lt;Y327,H327&lt;&gt;0),1,0),IF(AND(I327&gt;X327,I327&lt;Y327,I327&lt;&gt;0),1,0),IF(AND(J327&gt;X327,J327&lt;Y327,J327&lt;&gt;0),1,0),IF(AND(K327&gt;X327,K327&lt;Y327,K327&lt;&gt;0),1,0),IF(AND(L327&gt;X327,L327&lt;Y327,L327&lt;&gt;0),1,0),IF(AND(M327&gt;X327,M327&lt;Y327,M327&lt;&gt;0),1,0),IF(AND(N327&gt;X327,N327&lt;Y327,N327&lt;&gt;0),1,0),IF(AND(O327&gt;X327,O327&lt;Y327,O327&lt;&gt;0),1,0),IF(AND(P327&gt;X327,P327&lt;Y327,P327&lt;&gt;0),1,0),IF(AND(Q327&gt;X327,Q327&lt;Y327,Q327&lt;&gt;0),1,0),IF(AND(R327&gt;X327,R327&lt;Y327,R327&lt;&gt;0),1,0),IF(AND(S327&gt;X327,S327&lt;Y327,S327&lt;&gt;0),1,0)))</f>
        <v/>
      </c>
      <c r="AA327" s="170" t="str">
        <f t="shared" si="75"/>
        <v/>
      </c>
      <c r="AB327" s="170" t="str">
        <f t="shared" si="76"/>
        <v/>
      </c>
      <c r="AC327" s="172" t="str">
        <f t="shared" si="77"/>
        <v/>
      </c>
      <c r="AE327" s="182"/>
      <c r="AF327" s="182"/>
      <c r="AG327" s="182"/>
      <c r="AH327" s="182"/>
      <c r="AI327" s="182"/>
      <c r="AJ327" s="182"/>
      <c r="AK327" s="182"/>
      <c r="AL327" s="182"/>
      <c r="AM327" s="182"/>
      <c r="AN327" s="182"/>
      <c r="AO327" s="182"/>
      <c r="AP327" s="182"/>
      <c r="AQ327" s="182"/>
      <c r="AR327" s="182"/>
      <c r="AS327" s="182"/>
    </row>
    <row r="328" spans="1:45">
      <c r="A328" s="263"/>
      <c r="B328" s="260"/>
      <c r="C328" s="244"/>
      <c r="D328" s="184"/>
      <c r="E328" s="185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70" t="str">
        <f t="shared" si="71"/>
        <v/>
      </c>
      <c r="U328" s="170" t="str">
        <f t="shared" si="72"/>
        <v/>
      </c>
      <c r="V328" s="170" t="str">
        <f t="shared" si="73"/>
        <v/>
      </c>
      <c r="W328" s="170" t="str">
        <f t="shared" si="74"/>
        <v/>
      </c>
      <c r="X328" s="170" t="str">
        <f t="shared" si="78"/>
        <v/>
      </c>
      <c r="Y328" s="170" t="str">
        <f t="shared" si="79"/>
        <v/>
      </c>
      <c r="Z328" s="170" t="str">
        <f t="shared" si="80"/>
        <v/>
      </c>
      <c r="AA328" s="170" t="str">
        <f t="shared" si="75"/>
        <v/>
      </c>
      <c r="AB328" s="170" t="str">
        <f t="shared" si="76"/>
        <v/>
      </c>
      <c r="AC328" s="172" t="str">
        <f t="shared" si="77"/>
        <v/>
      </c>
      <c r="AE328" s="182"/>
      <c r="AF328" s="182"/>
      <c r="AG328" s="182"/>
      <c r="AH328" s="182"/>
      <c r="AI328" s="182"/>
      <c r="AJ328" s="182"/>
      <c r="AK328" s="182"/>
      <c r="AL328" s="182"/>
      <c r="AM328" s="182"/>
      <c r="AN328" s="182"/>
      <c r="AO328" s="182"/>
      <c r="AP328" s="182"/>
      <c r="AQ328" s="182"/>
      <c r="AR328" s="182"/>
      <c r="AS328" s="182"/>
    </row>
    <row r="329" spans="1:45">
      <c r="A329" s="263"/>
      <c r="B329" s="260"/>
      <c r="C329" s="244"/>
      <c r="D329" s="184"/>
      <c r="E329" s="185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70" t="str">
        <f t="shared" si="71"/>
        <v/>
      </c>
      <c r="U329" s="170" t="str">
        <f t="shared" si="72"/>
        <v/>
      </c>
      <c r="V329" s="170" t="str">
        <f t="shared" si="73"/>
        <v/>
      </c>
      <c r="W329" s="170" t="str">
        <f t="shared" si="74"/>
        <v/>
      </c>
      <c r="X329" s="170" t="str">
        <f t="shared" si="78"/>
        <v/>
      </c>
      <c r="Y329" s="170" t="str">
        <f t="shared" si="79"/>
        <v/>
      </c>
      <c r="Z329" s="170" t="str">
        <f t="shared" si="80"/>
        <v/>
      </c>
      <c r="AA329" s="170" t="str">
        <f t="shared" si="75"/>
        <v/>
      </c>
      <c r="AB329" s="170" t="str">
        <f t="shared" si="76"/>
        <v/>
      </c>
      <c r="AC329" s="172" t="str">
        <f t="shared" si="77"/>
        <v/>
      </c>
      <c r="AE329" s="182"/>
      <c r="AF329" s="182"/>
      <c r="AG329" s="182"/>
      <c r="AH329" s="182"/>
      <c r="AI329" s="182"/>
      <c r="AJ329" s="182"/>
      <c r="AK329" s="182"/>
      <c r="AL329" s="182"/>
      <c r="AM329" s="182"/>
      <c r="AN329" s="182"/>
      <c r="AO329" s="182"/>
      <c r="AP329" s="182"/>
      <c r="AQ329" s="182"/>
      <c r="AR329" s="182"/>
      <c r="AS329" s="182"/>
    </row>
    <row r="330" spans="1:45">
      <c r="A330" s="263"/>
      <c r="B330" s="260"/>
      <c r="C330" s="244"/>
      <c r="D330" s="184"/>
      <c r="E330" s="185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70" t="str">
        <f t="shared" si="71"/>
        <v/>
      </c>
      <c r="U330" s="170" t="str">
        <f t="shared" si="72"/>
        <v/>
      </c>
      <c r="V330" s="170" t="str">
        <f t="shared" si="73"/>
        <v/>
      </c>
      <c r="W330" s="170" t="str">
        <f t="shared" si="74"/>
        <v/>
      </c>
      <c r="X330" s="170" t="str">
        <f t="shared" si="78"/>
        <v/>
      </c>
      <c r="Y330" s="170" t="str">
        <f t="shared" si="79"/>
        <v/>
      </c>
      <c r="Z330" s="170" t="str">
        <f t="shared" si="80"/>
        <v/>
      </c>
      <c r="AA330" s="170" t="str">
        <f t="shared" si="75"/>
        <v/>
      </c>
      <c r="AB330" s="170" t="str">
        <f t="shared" si="76"/>
        <v/>
      </c>
      <c r="AC330" s="172" t="str">
        <f t="shared" si="77"/>
        <v/>
      </c>
      <c r="AE330" s="182"/>
      <c r="AF330" s="182"/>
      <c r="AG330" s="182"/>
      <c r="AH330" s="182"/>
      <c r="AI330" s="182"/>
      <c r="AJ330" s="182"/>
      <c r="AK330" s="182"/>
      <c r="AL330" s="182"/>
      <c r="AM330" s="182"/>
      <c r="AN330" s="182"/>
      <c r="AO330" s="182"/>
      <c r="AP330" s="182"/>
      <c r="AQ330" s="182"/>
      <c r="AR330" s="182"/>
      <c r="AS330" s="182"/>
    </row>
    <row r="331" spans="1:45">
      <c r="A331" s="263"/>
      <c r="B331" s="260"/>
      <c r="C331" s="244"/>
      <c r="D331" s="184"/>
      <c r="E331" s="185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70" t="str">
        <f t="shared" si="71"/>
        <v/>
      </c>
      <c r="U331" s="170" t="str">
        <f t="shared" si="72"/>
        <v/>
      </c>
      <c r="V331" s="170" t="str">
        <f t="shared" si="73"/>
        <v/>
      </c>
      <c r="W331" s="170" t="str">
        <f t="shared" si="74"/>
        <v/>
      </c>
      <c r="X331" s="170" t="str">
        <f t="shared" si="78"/>
        <v/>
      </c>
      <c r="Y331" s="170" t="str">
        <f t="shared" si="79"/>
        <v/>
      </c>
      <c r="Z331" s="170" t="str">
        <f t="shared" si="80"/>
        <v/>
      </c>
      <c r="AA331" s="170" t="str">
        <f t="shared" si="75"/>
        <v/>
      </c>
      <c r="AB331" s="170" t="str">
        <f t="shared" si="76"/>
        <v/>
      </c>
      <c r="AC331" s="172" t="str">
        <f t="shared" si="77"/>
        <v/>
      </c>
      <c r="AE331" s="182"/>
      <c r="AF331" s="182"/>
      <c r="AG331" s="182"/>
      <c r="AH331" s="182"/>
      <c r="AI331" s="182"/>
      <c r="AJ331" s="182"/>
      <c r="AK331" s="182"/>
      <c r="AL331" s="182"/>
      <c r="AM331" s="182"/>
      <c r="AN331" s="182"/>
      <c r="AO331" s="182"/>
      <c r="AP331" s="182"/>
      <c r="AQ331" s="182"/>
      <c r="AR331" s="182"/>
      <c r="AS331" s="182"/>
    </row>
    <row r="332" spans="1:45">
      <c r="A332" s="263"/>
      <c r="B332" s="260"/>
      <c r="C332" s="244"/>
      <c r="D332" s="184"/>
      <c r="E332" s="185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70" t="str">
        <f t="shared" si="71"/>
        <v/>
      </c>
      <c r="U332" s="170" t="str">
        <f t="shared" si="72"/>
        <v/>
      </c>
      <c r="V332" s="170" t="str">
        <f t="shared" si="73"/>
        <v/>
      </c>
      <c r="W332" s="170" t="str">
        <f t="shared" si="74"/>
        <v/>
      </c>
      <c r="X332" s="170" t="str">
        <f t="shared" si="78"/>
        <v/>
      </c>
      <c r="Y332" s="170" t="str">
        <f t="shared" si="79"/>
        <v/>
      </c>
      <c r="Z332" s="170" t="str">
        <f t="shared" si="80"/>
        <v/>
      </c>
      <c r="AA332" s="170" t="str">
        <f t="shared" si="75"/>
        <v/>
      </c>
      <c r="AB332" s="170" t="str">
        <f t="shared" si="76"/>
        <v/>
      </c>
      <c r="AC332" s="172" t="str">
        <f t="shared" si="77"/>
        <v/>
      </c>
      <c r="AE332" s="182"/>
      <c r="AF332" s="182"/>
      <c r="AG332" s="182"/>
      <c r="AH332" s="182"/>
      <c r="AI332" s="182"/>
      <c r="AJ332" s="182"/>
      <c r="AK332" s="182"/>
      <c r="AL332" s="182"/>
      <c r="AM332" s="182"/>
      <c r="AN332" s="182"/>
      <c r="AO332" s="182"/>
      <c r="AP332" s="182"/>
      <c r="AQ332" s="182"/>
      <c r="AR332" s="182"/>
      <c r="AS332" s="182"/>
    </row>
    <row r="333" spans="1:45">
      <c r="A333" s="263"/>
      <c r="B333" s="261"/>
      <c r="C333" s="245"/>
      <c r="D333" s="184"/>
      <c r="E333" s="185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70" t="str">
        <f t="shared" si="71"/>
        <v/>
      </c>
      <c r="U333" s="170" t="str">
        <f t="shared" si="72"/>
        <v/>
      </c>
      <c r="V333" s="170" t="str">
        <f t="shared" si="73"/>
        <v/>
      </c>
      <c r="W333" s="170" t="str">
        <f t="shared" si="74"/>
        <v/>
      </c>
      <c r="X333" s="170" t="str">
        <f t="shared" si="78"/>
        <v/>
      </c>
      <c r="Y333" s="170" t="str">
        <f t="shared" si="79"/>
        <v/>
      </c>
      <c r="Z333" s="170"/>
      <c r="AA333" s="170" t="str">
        <f t="shared" si="75"/>
        <v/>
      </c>
      <c r="AB333" s="170" t="str">
        <f t="shared" si="76"/>
        <v/>
      </c>
      <c r="AC333" s="172" t="str">
        <f t="shared" si="77"/>
        <v/>
      </c>
      <c r="AE333" s="182"/>
      <c r="AF333" s="182"/>
      <c r="AG333" s="182"/>
      <c r="AH333" s="182"/>
      <c r="AI333" s="182"/>
      <c r="AJ333" s="182"/>
      <c r="AK333" s="182"/>
      <c r="AL333" s="182"/>
      <c r="AM333" s="182"/>
      <c r="AN333" s="182"/>
      <c r="AO333" s="182"/>
      <c r="AP333" s="182"/>
      <c r="AQ333" s="182"/>
      <c r="AR333" s="182"/>
      <c r="AS333" s="182"/>
    </row>
    <row r="334" spans="1:45">
      <c r="A334" s="263">
        <v>42</v>
      </c>
      <c r="B334" s="252"/>
      <c r="C334" s="243"/>
      <c r="D334" s="184"/>
      <c r="E334" s="189"/>
      <c r="F334" s="186"/>
      <c r="G334" s="186"/>
      <c r="H334" s="186"/>
      <c r="I334" s="186"/>
      <c r="J334" s="186"/>
      <c r="K334" s="169"/>
      <c r="L334" s="169"/>
      <c r="M334" s="169"/>
      <c r="N334" s="169"/>
      <c r="O334" s="169"/>
      <c r="P334" s="169"/>
      <c r="Q334" s="169"/>
      <c r="R334" s="169"/>
      <c r="S334" s="169"/>
      <c r="T334" s="170" t="str">
        <f t="shared" si="71"/>
        <v/>
      </c>
      <c r="U334" s="170" t="str">
        <f t="shared" si="72"/>
        <v/>
      </c>
      <c r="V334" s="170" t="str">
        <f t="shared" si="73"/>
        <v/>
      </c>
      <c r="W334" s="170" t="str">
        <f t="shared" si="74"/>
        <v/>
      </c>
      <c r="X334" s="170" t="str">
        <f t="shared" si="78"/>
        <v/>
      </c>
      <c r="Y334" s="170" t="str">
        <f t="shared" si="79"/>
        <v/>
      </c>
      <c r="Z334" s="170" t="str">
        <f t="shared" si="80"/>
        <v/>
      </c>
      <c r="AA334" s="170" t="str">
        <f t="shared" si="75"/>
        <v/>
      </c>
      <c r="AB334" s="170" t="str">
        <f t="shared" si="76"/>
        <v/>
      </c>
      <c r="AC334" s="172" t="str">
        <f t="shared" si="77"/>
        <v/>
      </c>
      <c r="AE334" s="182"/>
      <c r="AF334" s="182"/>
      <c r="AG334" s="182"/>
      <c r="AH334" s="182"/>
      <c r="AI334" s="182"/>
      <c r="AJ334" s="182"/>
      <c r="AK334" s="182"/>
      <c r="AL334" s="182"/>
      <c r="AM334" s="182"/>
      <c r="AN334" s="182"/>
      <c r="AO334" s="182"/>
      <c r="AP334" s="182"/>
      <c r="AQ334" s="182"/>
      <c r="AR334" s="182"/>
      <c r="AS334" s="182"/>
    </row>
    <row r="335" spans="1:45">
      <c r="A335" s="263"/>
      <c r="B335" s="260"/>
      <c r="C335" s="244"/>
      <c r="D335" s="184"/>
      <c r="E335" s="189"/>
      <c r="F335" s="186"/>
      <c r="G335" s="186"/>
      <c r="H335" s="186"/>
      <c r="I335" s="186"/>
      <c r="J335" s="186"/>
      <c r="K335" s="169"/>
      <c r="L335" s="169"/>
      <c r="M335" s="169"/>
      <c r="N335" s="169"/>
      <c r="O335" s="169"/>
      <c r="P335" s="169"/>
      <c r="Q335" s="169"/>
      <c r="R335" s="169"/>
      <c r="S335" s="169"/>
      <c r="T335" s="170" t="str">
        <f t="shared" si="71"/>
        <v/>
      </c>
      <c r="U335" s="170" t="str">
        <f t="shared" si="72"/>
        <v/>
      </c>
      <c r="V335" s="170" t="str">
        <f t="shared" si="73"/>
        <v/>
      </c>
      <c r="W335" s="170" t="str">
        <f t="shared" si="74"/>
        <v/>
      </c>
      <c r="X335" s="170" t="str">
        <f t="shared" si="78"/>
        <v/>
      </c>
      <c r="Y335" s="170" t="str">
        <f t="shared" si="79"/>
        <v/>
      </c>
      <c r="Z335" s="170" t="str">
        <f t="shared" si="80"/>
        <v/>
      </c>
      <c r="AA335" s="170" t="str">
        <f t="shared" si="75"/>
        <v/>
      </c>
      <c r="AB335" s="170" t="str">
        <f t="shared" si="76"/>
        <v/>
      </c>
      <c r="AC335" s="172" t="str">
        <f t="shared" si="77"/>
        <v/>
      </c>
      <c r="AE335" s="182"/>
      <c r="AF335" s="182"/>
      <c r="AG335" s="182"/>
      <c r="AH335" s="182"/>
      <c r="AI335" s="182"/>
      <c r="AJ335" s="182"/>
      <c r="AK335" s="182"/>
      <c r="AL335" s="182"/>
      <c r="AM335" s="182"/>
      <c r="AN335" s="182"/>
      <c r="AO335" s="182"/>
      <c r="AP335" s="182"/>
      <c r="AQ335" s="182"/>
      <c r="AR335" s="182"/>
      <c r="AS335" s="182"/>
    </row>
    <row r="336" spans="1:45">
      <c r="A336" s="263"/>
      <c r="B336" s="260"/>
      <c r="C336" s="244"/>
      <c r="D336" s="184"/>
      <c r="E336" s="185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70" t="str">
        <f t="shared" si="71"/>
        <v/>
      </c>
      <c r="U336" s="170" t="str">
        <f t="shared" si="72"/>
        <v/>
      </c>
      <c r="V336" s="170" t="str">
        <f t="shared" si="73"/>
        <v/>
      </c>
      <c r="W336" s="170" t="str">
        <f t="shared" si="74"/>
        <v/>
      </c>
      <c r="X336" s="170" t="str">
        <f t="shared" si="78"/>
        <v/>
      </c>
      <c r="Y336" s="170" t="str">
        <f t="shared" si="79"/>
        <v/>
      </c>
      <c r="Z336" s="170" t="str">
        <f t="shared" si="80"/>
        <v/>
      </c>
      <c r="AA336" s="170" t="str">
        <f t="shared" si="75"/>
        <v/>
      </c>
      <c r="AB336" s="170" t="str">
        <f t="shared" si="76"/>
        <v/>
      </c>
      <c r="AC336" s="172" t="str">
        <f t="shared" si="77"/>
        <v/>
      </c>
      <c r="AE336" s="182"/>
      <c r="AF336" s="182"/>
      <c r="AG336" s="182"/>
      <c r="AH336" s="182"/>
      <c r="AI336" s="182"/>
      <c r="AJ336" s="182"/>
      <c r="AK336" s="182"/>
      <c r="AL336" s="182"/>
      <c r="AM336" s="182"/>
      <c r="AN336" s="182"/>
      <c r="AO336" s="182"/>
      <c r="AP336" s="182"/>
      <c r="AQ336" s="182"/>
      <c r="AR336" s="182"/>
      <c r="AS336" s="182"/>
    </row>
    <row r="337" spans="1:45">
      <c r="A337" s="263"/>
      <c r="B337" s="260"/>
      <c r="C337" s="244"/>
      <c r="D337" s="184"/>
      <c r="E337" s="185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70" t="str">
        <f t="shared" si="71"/>
        <v/>
      </c>
      <c r="U337" s="170" t="str">
        <f t="shared" si="72"/>
        <v/>
      </c>
      <c r="V337" s="170" t="str">
        <f t="shared" si="73"/>
        <v/>
      </c>
      <c r="W337" s="170" t="str">
        <f t="shared" si="74"/>
        <v/>
      </c>
      <c r="X337" s="170" t="str">
        <f t="shared" si="78"/>
        <v/>
      </c>
      <c r="Y337" s="170" t="str">
        <f t="shared" si="79"/>
        <v/>
      </c>
      <c r="Z337" s="170" t="str">
        <f t="shared" si="80"/>
        <v/>
      </c>
      <c r="AA337" s="170" t="str">
        <f t="shared" si="75"/>
        <v/>
      </c>
      <c r="AB337" s="170" t="str">
        <f t="shared" si="76"/>
        <v/>
      </c>
      <c r="AC337" s="172" t="str">
        <f t="shared" si="77"/>
        <v/>
      </c>
      <c r="AE337" s="182"/>
      <c r="AF337" s="182"/>
      <c r="AG337" s="182"/>
      <c r="AH337" s="182"/>
      <c r="AI337" s="182"/>
      <c r="AJ337" s="182"/>
      <c r="AK337" s="182"/>
      <c r="AL337" s="182"/>
      <c r="AM337" s="182"/>
      <c r="AN337" s="182"/>
      <c r="AO337" s="182"/>
      <c r="AP337" s="182"/>
      <c r="AQ337" s="182"/>
      <c r="AR337" s="182"/>
      <c r="AS337" s="182"/>
    </row>
    <row r="338" spans="1:45">
      <c r="A338" s="263"/>
      <c r="B338" s="260"/>
      <c r="C338" s="244"/>
      <c r="D338" s="184"/>
      <c r="E338" s="185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70" t="str">
        <f t="shared" si="71"/>
        <v/>
      </c>
      <c r="U338" s="170" t="str">
        <f t="shared" si="72"/>
        <v/>
      </c>
      <c r="V338" s="170" t="str">
        <f t="shared" si="73"/>
        <v/>
      </c>
      <c r="W338" s="170" t="str">
        <f t="shared" si="74"/>
        <v/>
      </c>
      <c r="X338" s="170" t="str">
        <f t="shared" si="78"/>
        <v/>
      </c>
      <c r="Y338" s="170" t="str">
        <f t="shared" si="79"/>
        <v/>
      </c>
      <c r="Z338" s="170" t="str">
        <f t="shared" si="80"/>
        <v/>
      </c>
      <c r="AA338" s="170" t="str">
        <f t="shared" si="75"/>
        <v/>
      </c>
      <c r="AB338" s="170" t="str">
        <f t="shared" si="76"/>
        <v/>
      </c>
      <c r="AC338" s="172" t="str">
        <f t="shared" si="77"/>
        <v/>
      </c>
      <c r="AE338" s="182"/>
      <c r="AF338" s="182"/>
      <c r="AG338" s="182"/>
      <c r="AH338" s="182"/>
      <c r="AI338" s="182"/>
      <c r="AJ338" s="182"/>
      <c r="AK338" s="182"/>
      <c r="AL338" s="182"/>
      <c r="AM338" s="182"/>
      <c r="AN338" s="182"/>
      <c r="AO338" s="182"/>
      <c r="AP338" s="182"/>
      <c r="AQ338" s="182"/>
      <c r="AR338" s="182"/>
      <c r="AS338" s="182"/>
    </row>
    <row r="339" spans="1:45">
      <c r="A339" s="263"/>
      <c r="B339" s="260"/>
      <c r="C339" s="244"/>
      <c r="D339" s="184"/>
      <c r="E339" s="185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70" t="str">
        <f t="shared" si="71"/>
        <v/>
      </c>
      <c r="U339" s="170" t="str">
        <f t="shared" si="72"/>
        <v/>
      </c>
      <c r="V339" s="170" t="str">
        <f t="shared" si="73"/>
        <v/>
      </c>
      <c r="W339" s="170" t="str">
        <f t="shared" si="74"/>
        <v/>
      </c>
      <c r="X339" s="170" t="str">
        <f t="shared" si="78"/>
        <v/>
      </c>
      <c r="Y339" s="170" t="str">
        <f t="shared" si="79"/>
        <v/>
      </c>
      <c r="Z339" s="170" t="str">
        <f t="shared" si="80"/>
        <v/>
      </c>
      <c r="AA339" s="170" t="str">
        <f t="shared" si="75"/>
        <v/>
      </c>
      <c r="AB339" s="170" t="str">
        <f t="shared" si="76"/>
        <v/>
      </c>
      <c r="AC339" s="172" t="str">
        <f t="shared" si="77"/>
        <v/>
      </c>
      <c r="AE339" s="182"/>
      <c r="AF339" s="182"/>
      <c r="AG339" s="182"/>
      <c r="AH339" s="182"/>
      <c r="AI339" s="182"/>
      <c r="AJ339" s="182"/>
      <c r="AK339" s="182"/>
      <c r="AL339" s="182"/>
      <c r="AM339" s="182"/>
      <c r="AN339" s="182"/>
      <c r="AO339" s="182"/>
      <c r="AP339" s="182"/>
      <c r="AQ339" s="182"/>
      <c r="AR339" s="182"/>
      <c r="AS339" s="182"/>
    </row>
    <row r="340" spans="1:45">
      <c r="A340" s="263"/>
      <c r="B340" s="260"/>
      <c r="C340" s="244"/>
      <c r="D340" s="184"/>
      <c r="E340" s="185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70" t="str">
        <f t="shared" si="71"/>
        <v/>
      </c>
      <c r="U340" s="170" t="str">
        <f t="shared" si="72"/>
        <v/>
      </c>
      <c r="V340" s="170" t="str">
        <f t="shared" si="73"/>
        <v/>
      </c>
      <c r="W340" s="170" t="str">
        <f t="shared" si="74"/>
        <v/>
      </c>
      <c r="X340" s="170" t="str">
        <f t="shared" si="78"/>
        <v/>
      </c>
      <c r="Y340" s="170" t="str">
        <f t="shared" si="79"/>
        <v/>
      </c>
      <c r="Z340" s="170" t="str">
        <f t="shared" si="80"/>
        <v/>
      </c>
      <c r="AA340" s="170" t="str">
        <f t="shared" si="75"/>
        <v/>
      </c>
      <c r="AB340" s="170" t="str">
        <f t="shared" si="76"/>
        <v/>
      </c>
      <c r="AC340" s="172" t="str">
        <f t="shared" si="77"/>
        <v/>
      </c>
      <c r="AE340" s="182"/>
      <c r="AF340" s="182"/>
      <c r="AG340" s="182"/>
      <c r="AH340" s="182"/>
      <c r="AI340" s="182"/>
      <c r="AJ340" s="182"/>
      <c r="AK340" s="182"/>
      <c r="AL340" s="182"/>
      <c r="AM340" s="182"/>
      <c r="AN340" s="182"/>
      <c r="AO340" s="182"/>
      <c r="AP340" s="182"/>
      <c r="AQ340" s="182"/>
      <c r="AR340" s="182"/>
      <c r="AS340" s="182"/>
    </row>
    <row r="341" spans="1:45">
      <c r="A341" s="263"/>
      <c r="B341" s="261"/>
      <c r="C341" s="245"/>
      <c r="D341" s="184"/>
      <c r="E341" s="185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70" t="str">
        <f t="shared" si="71"/>
        <v/>
      </c>
      <c r="U341" s="170" t="str">
        <f t="shared" si="72"/>
        <v/>
      </c>
      <c r="V341" s="170" t="str">
        <f t="shared" si="73"/>
        <v/>
      </c>
      <c r="W341" s="170" t="str">
        <f t="shared" si="74"/>
        <v/>
      </c>
      <c r="X341" s="170" t="str">
        <f t="shared" si="78"/>
        <v/>
      </c>
      <c r="Y341" s="170" t="str">
        <f t="shared" si="79"/>
        <v/>
      </c>
      <c r="Z341" s="170"/>
      <c r="AA341" s="170" t="str">
        <f t="shared" si="75"/>
        <v/>
      </c>
      <c r="AB341" s="170" t="str">
        <f t="shared" si="76"/>
        <v/>
      </c>
      <c r="AC341" s="172" t="str">
        <f t="shared" si="77"/>
        <v/>
      </c>
      <c r="AE341" s="182"/>
      <c r="AF341" s="182"/>
      <c r="AG341" s="182"/>
      <c r="AH341" s="182"/>
      <c r="AI341" s="182"/>
      <c r="AJ341" s="182"/>
      <c r="AK341" s="182"/>
      <c r="AL341" s="182"/>
      <c r="AM341" s="182"/>
      <c r="AN341" s="182"/>
      <c r="AO341" s="182"/>
      <c r="AP341" s="182"/>
      <c r="AQ341" s="182"/>
      <c r="AR341" s="182"/>
      <c r="AS341" s="182"/>
    </row>
    <row r="342" spans="1:45">
      <c r="A342" s="263">
        <v>43</v>
      </c>
      <c r="B342" s="252"/>
      <c r="C342" s="243"/>
      <c r="D342" s="184"/>
      <c r="E342" s="189"/>
      <c r="F342" s="186"/>
      <c r="G342" s="186"/>
      <c r="H342" s="186"/>
      <c r="I342" s="186"/>
      <c r="J342" s="186"/>
      <c r="K342" s="169"/>
      <c r="L342" s="169"/>
      <c r="M342" s="169"/>
      <c r="N342" s="169"/>
      <c r="O342" s="169"/>
      <c r="P342" s="169"/>
      <c r="Q342" s="169"/>
      <c r="R342" s="169"/>
      <c r="S342" s="169"/>
      <c r="T342" s="170" t="str">
        <f t="shared" si="71"/>
        <v/>
      </c>
      <c r="U342" s="170" t="str">
        <f t="shared" si="72"/>
        <v/>
      </c>
      <c r="V342" s="170" t="str">
        <f t="shared" si="73"/>
        <v/>
      </c>
      <c r="W342" s="170" t="str">
        <f t="shared" si="74"/>
        <v/>
      </c>
      <c r="X342" s="170" t="str">
        <f t="shared" si="78"/>
        <v/>
      </c>
      <c r="Y342" s="170" t="str">
        <f t="shared" si="79"/>
        <v/>
      </c>
      <c r="Z342" s="170" t="str">
        <f t="shared" si="80"/>
        <v/>
      </c>
      <c r="AA342" s="170" t="str">
        <f t="shared" si="75"/>
        <v/>
      </c>
      <c r="AB342" s="170" t="str">
        <f t="shared" si="76"/>
        <v/>
      </c>
      <c r="AC342" s="172" t="str">
        <f t="shared" si="77"/>
        <v/>
      </c>
      <c r="AE342" s="182"/>
      <c r="AF342" s="182"/>
      <c r="AG342" s="182"/>
      <c r="AH342" s="182"/>
      <c r="AI342" s="182"/>
      <c r="AJ342" s="182"/>
      <c r="AK342" s="182"/>
      <c r="AL342" s="182"/>
      <c r="AM342" s="182"/>
      <c r="AN342" s="182"/>
      <c r="AO342" s="182"/>
      <c r="AP342" s="182"/>
      <c r="AQ342" s="182"/>
      <c r="AR342" s="182"/>
      <c r="AS342" s="182"/>
    </row>
    <row r="343" spans="1:45">
      <c r="A343" s="263"/>
      <c r="B343" s="260"/>
      <c r="C343" s="244"/>
      <c r="D343" s="184"/>
      <c r="E343" s="185"/>
      <c r="F343" s="169"/>
      <c r="G343" s="169"/>
      <c r="H343" s="169"/>
      <c r="I343" s="186"/>
      <c r="J343" s="186"/>
      <c r="K343" s="169"/>
      <c r="L343" s="169"/>
      <c r="M343" s="169"/>
      <c r="N343" s="169"/>
      <c r="O343" s="169"/>
      <c r="P343" s="169"/>
      <c r="Q343" s="169"/>
      <c r="R343" s="169"/>
      <c r="S343" s="169"/>
      <c r="T343" s="170" t="str">
        <f t="shared" si="71"/>
        <v/>
      </c>
      <c r="U343" s="170" t="str">
        <f t="shared" si="72"/>
        <v/>
      </c>
      <c r="V343" s="170" t="str">
        <f t="shared" si="73"/>
        <v/>
      </c>
      <c r="W343" s="170" t="str">
        <f t="shared" si="74"/>
        <v/>
      </c>
      <c r="X343" s="170" t="str">
        <f t="shared" si="78"/>
        <v/>
      </c>
      <c r="Y343" s="170" t="str">
        <f t="shared" si="79"/>
        <v/>
      </c>
      <c r="Z343" s="170" t="str">
        <f t="shared" si="80"/>
        <v/>
      </c>
      <c r="AA343" s="170" t="str">
        <f t="shared" si="75"/>
        <v/>
      </c>
      <c r="AB343" s="170" t="str">
        <f t="shared" si="76"/>
        <v/>
      </c>
      <c r="AC343" s="172" t="str">
        <f t="shared" si="77"/>
        <v/>
      </c>
      <c r="AE343" s="182"/>
      <c r="AF343" s="182"/>
      <c r="AG343" s="182"/>
      <c r="AH343" s="182"/>
      <c r="AI343" s="182"/>
      <c r="AJ343" s="182"/>
      <c r="AK343" s="182"/>
      <c r="AL343" s="182"/>
      <c r="AM343" s="182"/>
      <c r="AN343" s="182"/>
      <c r="AO343" s="182"/>
      <c r="AP343" s="182"/>
      <c r="AQ343" s="182"/>
      <c r="AR343" s="182"/>
      <c r="AS343" s="182"/>
    </row>
    <row r="344" spans="1:45">
      <c r="A344" s="263"/>
      <c r="B344" s="260"/>
      <c r="C344" s="244"/>
      <c r="D344" s="184"/>
      <c r="E344" s="185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70" t="str">
        <f t="shared" si="71"/>
        <v/>
      </c>
      <c r="U344" s="170" t="str">
        <f t="shared" si="72"/>
        <v/>
      </c>
      <c r="V344" s="170" t="str">
        <f t="shared" si="73"/>
        <v/>
      </c>
      <c r="W344" s="170" t="str">
        <f t="shared" si="74"/>
        <v/>
      </c>
      <c r="X344" s="170" t="str">
        <f t="shared" si="78"/>
        <v/>
      </c>
      <c r="Y344" s="170" t="str">
        <f t="shared" si="79"/>
        <v/>
      </c>
      <c r="Z344" s="170" t="str">
        <f t="shared" si="80"/>
        <v/>
      </c>
      <c r="AA344" s="170" t="str">
        <f t="shared" si="75"/>
        <v/>
      </c>
      <c r="AB344" s="170" t="str">
        <f t="shared" si="76"/>
        <v/>
      </c>
      <c r="AC344" s="172" t="str">
        <f t="shared" si="77"/>
        <v/>
      </c>
      <c r="AE344" s="182"/>
      <c r="AF344" s="182"/>
      <c r="AG344" s="182"/>
      <c r="AH344" s="182"/>
      <c r="AI344" s="182"/>
      <c r="AJ344" s="182"/>
      <c r="AK344" s="182"/>
      <c r="AL344" s="182"/>
      <c r="AM344" s="182"/>
      <c r="AN344" s="182"/>
      <c r="AO344" s="182"/>
      <c r="AP344" s="182"/>
      <c r="AQ344" s="182"/>
      <c r="AR344" s="182"/>
      <c r="AS344" s="182"/>
    </row>
    <row r="345" spans="1:45">
      <c r="A345" s="263"/>
      <c r="B345" s="260"/>
      <c r="C345" s="244"/>
      <c r="D345" s="184"/>
      <c r="E345" s="185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70" t="str">
        <f t="shared" si="71"/>
        <v/>
      </c>
      <c r="U345" s="170" t="str">
        <f t="shared" si="72"/>
        <v/>
      </c>
      <c r="V345" s="170" t="str">
        <f t="shared" si="73"/>
        <v/>
      </c>
      <c r="W345" s="170" t="str">
        <f t="shared" si="74"/>
        <v/>
      </c>
      <c r="X345" s="170" t="str">
        <f t="shared" si="78"/>
        <v/>
      </c>
      <c r="Y345" s="170" t="str">
        <f t="shared" si="79"/>
        <v/>
      </c>
      <c r="Z345" s="170" t="str">
        <f t="shared" si="80"/>
        <v/>
      </c>
      <c r="AA345" s="170" t="str">
        <f t="shared" si="75"/>
        <v/>
      </c>
      <c r="AB345" s="170" t="str">
        <f t="shared" si="76"/>
        <v/>
      </c>
      <c r="AC345" s="172" t="str">
        <f t="shared" si="77"/>
        <v/>
      </c>
      <c r="AE345" s="182"/>
      <c r="AF345" s="182"/>
      <c r="AG345" s="182"/>
      <c r="AH345" s="182"/>
      <c r="AI345" s="182"/>
      <c r="AJ345" s="182"/>
      <c r="AK345" s="182"/>
      <c r="AL345" s="182"/>
      <c r="AM345" s="182"/>
      <c r="AN345" s="182"/>
      <c r="AO345" s="182"/>
      <c r="AP345" s="182"/>
      <c r="AQ345" s="182"/>
      <c r="AR345" s="182"/>
      <c r="AS345" s="182"/>
    </row>
    <row r="346" spans="1:45">
      <c r="A346" s="263"/>
      <c r="B346" s="260"/>
      <c r="C346" s="244"/>
      <c r="D346" s="184"/>
      <c r="E346" s="185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70" t="str">
        <f t="shared" si="71"/>
        <v/>
      </c>
      <c r="U346" s="170" t="str">
        <f t="shared" si="72"/>
        <v/>
      </c>
      <c r="V346" s="170" t="str">
        <f t="shared" si="73"/>
        <v/>
      </c>
      <c r="W346" s="170" t="str">
        <f t="shared" si="74"/>
        <v/>
      </c>
      <c r="X346" s="170" t="str">
        <f t="shared" si="78"/>
        <v/>
      </c>
      <c r="Y346" s="170" t="str">
        <f t="shared" si="79"/>
        <v/>
      </c>
      <c r="Z346" s="170" t="str">
        <f t="shared" si="80"/>
        <v/>
      </c>
      <c r="AA346" s="170" t="str">
        <f t="shared" si="75"/>
        <v/>
      </c>
      <c r="AB346" s="170" t="str">
        <f t="shared" si="76"/>
        <v/>
      </c>
      <c r="AC346" s="172" t="str">
        <f t="shared" si="77"/>
        <v/>
      </c>
      <c r="AE346" s="182"/>
      <c r="AF346" s="182"/>
      <c r="AG346" s="182"/>
      <c r="AH346" s="182"/>
      <c r="AI346" s="182"/>
      <c r="AJ346" s="182"/>
      <c r="AK346" s="182"/>
      <c r="AL346" s="182"/>
      <c r="AM346" s="182"/>
      <c r="AN346" s="182"/>
      <c r="AO346" s="182"/>
      <c r="AP346" s="182"/>
      <c r="AQ346" s="182"/>
      <c r="AR346" s="182"/>
      <c r="AS346" s="182"/>
    </row>
    <row r="347" spans="1:45">
      <c r="A347" s="263"/>
      <c r="B347" s="260"/>
      <c r="C347" s="244"/>
      <c r="D347" s="184"/>
      <c r="E347" s="185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70" t="str">
        <f t="shared" si="71"/>
        <v/>
      </c>
      <c r="U347" s="170" t="str">
        <f t="shared" si="72"/>
        <v/>
      </c>
      <c r="V347" s="170" t="str">
        <f t="shared" si="73"/>
        <v/>
      </c>
      <c r="W347" s="170" t="str">
        <f t="shared" si="74"/>
        <v/>
      </c>
      <c r="X347" s="170" t="str">
        <f t="shared" si="78"/>
        <v/>
      </c>
      <c r="Y347" s="170" t="str">
        <f t="shared" si="79"/>
        <v/>
      </c>
      <c r="Z347" s="170" t="str">
        <f t="shared" si="80"/>
        <v/>
      </c>
      <c r="AA347" s="170" t="str">
        <f t="shared" si="75"/>
        <v/>
      </c>
      <c r="AB347" s="170" t="str">
        <f t="shared" si="76"/>
        <v/>
      </c>
      <c r="AC347" s="172" t="str">
        <f t="shared" si="77"/>
        <v/>
      </c>
      <c r="AE347" s="182"/>
      <c r="AF347" s="182"/>
      <c r="AG347" s="182"/>
      <c r="AH347" s="182"/>
      <c r="AI347" s="182"/>
      <c r="AJ347" s="182"/>
      <c r="AK347" s="182"/>
      <c r="AL347" s="182"/>
      <c r="AM347" s="182"/>
      <c r="AN347" s="182"/>
      <c r="AO347" s="182"/>
      <c r="AP347" s="182"/>
      <c r="AQ347" s="182"/>
      <c r="AR347" s="182"/>
      <c r="AS347" s="182"/>
    </row>
    <row r="348" spans="1:45">
      <c r="A348" s="263"/>
      <c r="B348" s="260"/>
      <c r="C348" s="244"/>
      <c r="D348" s="184"/>
      <c r="E348" s="185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70" t="str">
        <f t="shared" si="71"/>
        <v/>
      </c>
      <c r="U348" s="170" t="str">
        <f t="shared" si="72"/>
        <v/>
      </c>
      <c r="V348" s="170" t="str">
        <f t="shared" si="73"/>
        <v/>
      </c>
      <c r="W348" s="170" t="str">
        <f t="shared" si="74"/>
        <v/>
      </c>
      <c r="X348" s="170" t="str">
        <f t="shared" si="78"/>
        <v/>
      </c>
      <c r="Y348" s="170" t="str">
        <f t="shared" si="79"/>
        <v/>
      </c>
      <c r="Z348" s="170" t="str">
        <f t="shared" si="80"/>
        <v/>
      </c>
      <c r="AA348" s="170" t="str">
        <f t="shared" si="75"/>
        <v/>
      </c>
      <c r="AB348" s="170" t="str">
        <f t="shared" si="76"/>
        <v/>
      </c>
      <c r="AC348" s="172" t="str">
        <f t="shared" si="77"/>
        <v/>
      </c>
      <c r="AE348" s="182"/>
      <c r="AF348" s="182"/>
      <c r="AG348" s="182"/>
      <c r="AH348" s="182"/>
      <c r="AI348" s="182"/>
      <c r="AJ348" s="182"/>
      <c r="AK348" s="182"/>
      <c r="AL348" s="182"/>
      <c r="AM348" s="182"/>
      <c r="AN348" s="182"/>
      <c r="AO348" s="182"/>
      <c r="AP348" s="182"/>
      <c r="AQ348" s="182"/>
      <c r="AR348" s="182"/>
      <c r="AS348" s="182"/>
    </row>
    <row r="349" spans="1:45">
      <c r="A349" s="263"/>
      <c r="B349" s="261"/>
      <c r="C349" s="245"/>
      <c r="D349" s="184"/>
      <c r="E349" s="185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70" t="str">
        <f t="shared" si="71"/>
        <v/>
      </c>
      <c r="U349" s="170" t="str">
        <f t="shared" si="72"/>
        <v/>
      </c>
      <c r="V349" s="170" t="str">
        <f t="shared" si="73"/>
        <v/>
      </c>
      <c r="W349" s="170" t="str">
        <f t="shared" si="74"/>
        <v/>
      </c>
      <c r="X349" s="170" t="str">
        <f t="shared" si="78"/>
        <v/>
      </c>
      <c r="Y349" s="170" t="str">
        <f t="shared" si="79"/>
        <v/>
      </c>
      <c r="Z349" s="170"/>
      <c r="AA349" s="170" t="str">
        <f t="shared" si="75"/>
        <v/>
      </c>
      <c r="AB349" s="170" t="str">
        <f t="shared" si="76"/>
        <v/>
      </c>
      <c r="AC349" s="172" t="str">
        <f t="shared" si="77"/>
        <v/>
      </c>
      <c r="AE349" s="182"/>
      <c r="AF349" s="182"/>
      <c r="AG349" s="182"/>
      <c r="AH349" s="182"/>
      <c r="AI349" s="182"/>
      <c r="AJ349" s="182"/>
      <c r="AK349" s="182"/>
      <c r="AL349" s="182"/>
      <c r="AM349" s="182"/>
      <c r="AN349" s="182"/>
      <c r="AO349" s="182"/>
      <c r="AP349" s="182"/>
      <c r="AQ349" s="182"/>
      <c r="AR349" s="182"/>
      <c r="AS349" s="182"/>
    </row>
    <row r="350" spans="1:45">
      <c r="A350" s="263">
        <v>44</v>
      </c>
      <c r="B350" s="252"/>
      <c r="C350" s="243"/>
      <c r="D350" s="184"/>
      <c r="E350" s="186"/>
      <c r="F350" s="186"/>
      <c r="G350" s="186"/>
      <c r="H350" s="186"/>
      <c r="I350" s="186"/>
      <c r="J350" s="186"/>
      <c r="K350" s="169"/>
      <c r="L350" s="169"/>
      <c r="M350" s="169"/>
      <c r="N350" s="169"/>
      <c r="O350" s="169"/>
      <c r="P350" s="169"/>
      <c r="Q350" s="169"/>
      <c r="R350" s="169"/>
      <c r="S350" s="169"/>
      <c r="T350" s="170" t="str">
        <f t="shared" si="71"/>
        <v/>
      </c>
      <c r="U350" s="170" t="str">
        <f t="shared" si="72"/>
        <v/>
      </c>
      <c r="V350" s="170" t="str">
        <f t="shared" si="73"/>
        <v/>
      </c>
      <c r="W350" s="170" t="str">
        <f t="shared" si="74"/>
        <v/>
      </c>
      <c r="X350" s="170" t="str">
        <f t="shared" si="78"/>
        <v/>
      </c>
      <c r="Y350" s="170" t="str">
        <f t="shared" si="79"/>
        <v/>
      </c>
      <c r="Z350" s="170" t="str">
        <f t="shared" si="80"/>
        <v/>
      </c>
      <c r="AA350" s="170" t="str">
        <f t="shared" si="75"/>
        <v/>
      </c>
      <c r="AB350" s="170" t="str">
        <f t="shared" si="76"/>
        <v/>
      </c>
      <c r="AC350" s="172" t="str">
        <f t="shared" si="77"/>
        <v/>
      </c>
      <c r="AE350" s="182"/>
      <c r="AF350" s="182"/>
      <c r="AG350" s="182"/>
      <c r="AH350" s="182"/>
      <c r="AI350" s="182"/>
      <c r="AJ350" s="182"/>
      <c r="AK350" s="182"/>
      <c r="AL350" s="182"/>
      <c r="AM350" s="182"/>
      <c r="AN350" s="182"/>
      <c r="AO350" s="182"/>
      <c r="AP350" s="182"/>
      <c r="AQ350" s="182"/>
      <c r="AR350" s="182"/>
      <c r="AS350" s="182"/>
    </row>
    <row r="351" spans="1:45">
      <c r="A351" s="263"/>
      <c r="B351" s="260"/>
      <c r="C351" s="244"/>
      <c r="D351" s="184"/>
      <c r="E351" s="186"/>
      <c r="F351" s="186"/>
      <c r="G351" s="186"/>
      <c r="H351" s="186"/>
      <c r="I351" s="186"/>
      <c r="J351" s="186"/>
      <c r="K351" s="169"/>
      <c r="L351" s="169"/>
      <c r="M351" s="169"/>
      <c r="N351" s="169"/>
      <c r="O351" s="169"/>
      <c r="P351" s="169"/>
      <c r="Q351" s="169"/>
      <c r="R351" s="169"/>
      <c r="S351" s="169"/>
      <c r="T351" s="170" t="str">
        <f t="shared" si="71"/>
        <v/>
      </c>
      <c r="U351" s="170" t="str">
        <f t="shared" si="72"/>
        <v/>
      </c>
      <c r="V351" s="170" t="str">
        <f t="shared" si="73"/>
        <v/>
      </c>
      <c r="W351" s="170" t="str">
        <f t="shared" si="74"/>
        <v/>
      </c>
      <c r="X351" s="170" t="str">
        <f t="shared" si="78"/>
        <v/>
      </c>
      <c r="Y351" s="170" t="str">
        <f t="shared" si="79"/>
        <v/>
      </c>
      <c r="Z351" s="170" t="str">
        <f t="shared" si="80"/>
        <v/>
      </c>
      <c r="AA351" s="170" t="str">
        <f t="shared" si="75"/>
        <v/>
      </c>
      <c r="AB351" s="170" t="str">
        <f t="shared" si="76"/>
        <v/>
      </c>
      <c r="AC351" s="172" t="str">
        <f t="shared" si="77"/>
        <v/>
      </c>
      <c r="AE351" s="182"/>
      <c r="AF351" s="182"/>
      <c r="AG351" s="182"/>
      <c r="AH351" s="182"/>
      <c r="AI351" s="182"/>
      <c r="AJ351" s="182"/>
      <c r="AK351" s="182"/>
      <c r="AL351" s="182"/>
      <c r="AM351" s="182"/>
      <c r="AN351" s="182"/>
      <c r="AO351" s="182"/>
      <c r="AP351" s="182"/>
      <c r="AQ351" s="182"/>
      <c r="AR351" s="182"/>
      <c r="AS351" s="182"/>
    </row>
    <row r="352" spans="1:45" ht="15">
      <c r="A352" s="263"/>
      <c r="B352" s="260"/>
      <c r="C352" s="244"/>
      <c r="D352" s="193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70" t="str">
        <f t="shared" si="71"/>
        <v/>
      </c>
      <c r="U352" s="170" t="str">
        <f t="shared" si="72"/>
        <v/>
      </c>
      <c r="V352" s="170" t="str">
        <f t="shared" si="73"/>
        <v/>
      </c>
      <c r="W352" s="170" t="str">
        <f t="shared" si="74"/>
        <v/>
      </c>
      <c r="X352" s="170" t="str">
        <f t="shared" si="78"/>
        <v/>
      </c>
      <c r="Y352" s="170" t="str">
        <f t="shared" si="79"/>
        <v/>
      </c>
      <c r="Z352" s="170" t="str">
        <f t="shared" si="80"/>
        <v/>
      </c>
      <c r="AA352" s="170" t="str">
        <f t="shared" si="75"/>
        <v/>
      </c>
      <c r="AB352" s="170" t="str">
        <f t="shared" si="76"/>
        <v/>
      </c>
      <c r="AC352" s="172" t="str">
        <f t="shared" si="77"/>
        <v/>
      </c>
      <c r="AE352" s="182"/>
      <c r="AF352" s="182"/>
      <c r="AG352" s="182"/>
      <c r="AH352" s="182"/>
      <c r="AI352" s="182"/>
      <c r="AJ352" s="182"/>
      <c r="AK352" s="182"/>
      <c r="AL352" s="182"/>
      <c r="AM352" s="182"/>
      <c r="AN352" s="182"/>
      <c r="AO352" s="182"/>
      <c r="AP352" s="182"/>
      <c r="AQ352" s="182"/>
      <c r="AR352" s="182"/>
      <c r="AS352" s="182"/>
    </row>
    <row r="353" spans="1:45" ht="15">
      <c r="A353" s="263"/>
      <c r="B353" s="260"/>
      <c r="C353" s="244"/>
      <c r="D353" s="193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70" t="str">
        <f t="shared" si="71"/>
        <v/>
      </c>
      <c r="U353" s="170" t="str">
        <f t="shared" si="72"/>
        <v/>
      </c>
      <c r="V353" s="170" t="str">
        <f t="shared" si="73"/>
        <v/>
      </c>
      <c r="W353" s="170" t="str">
        <f t="shared" si="74"/>
        <v/>
      </c>
      <c r="X353" s="170" t="str">
        <f t="shared" si="78"/>
        <v/>
      </c>
      <c r="Y353" s="170" t="str">
        <f t="shared" si="79"/>
        <v/>
      </c>
      <c r="Z353" s="170" t="str">
        <f t="shared" si="80"/>
        <v/>
      </c>
      <c r="AA353" s="170" t="str">
        <f t="shared" si="75"/>
        <v/>
      </c>
      <c r="AB353" s="170" t="str">
        <f t="shared" si="76"/>
        <v/>
      </c>
      <c r="AC353" s="172" t="str">
        <f t="shared" si="77"/>
        <v/>
      </c>
      <c r="AE353" s="182"/>
      <c r="AF353" s="182"/>
      <c r="AG353" s="182"/>
      <c r="AH353" s="182"/>
      <c r="AI353" s="182"/>
      <c r="AJ353" s="182"/>
      <c r="AK353" s="182"/>
      <c r="AL353" s="182"/>
      <c r="AM353" s="182"/>
      <c r="AN353" s="182"/>
      <c r="AO353" s="182"/>
      <c r="AP353" s="182"/>
      <c r="AQ353" s="182"/>
      <c r="AR353" s="182"/>
      <c r="AS353" s="182"/>
    </row>
    <row r="354" spans="1:45" ht="15">
      <c r="A354" s="263"/>
      <c r="B354" s="260"/>
      <c r="C354" s="244"/>
      <c r="D354" s="193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70" t="str">
        <f t="shared" si="71"/>
        <v/>
      </c>
      <c r="U354" s="170" t="str">
        <f t="shared" si="72"/>
        <v/>
      </c>
      <c r="V354" s="170" t="str">
        <f t="shared" si="73"/>
        <v/>
      </c>
      <c r="W354" s="170" t="str">
        <f t="shared" si="74"/>
        <v/>
      </c>
      <c r="X354" s="170" t="str">
        <f t="shared" si="78"/>
        <v/>
      </c>
      <c r="Y354" s="170" t="str">
        <f t="shared" si="79"/>
        <v/>
      </c>
      <c r="Z354" s="170" t="str">
        <f t="shared" si="80"/>
        <v/>
      </c>
      <c r="AA354" s="170" t="str">
        <f t="shared" si="75"/>
        <v/>
      </c>
      <c r="AB354" s="170" t="str">
        <f t="shared" si="76"/>
        <v/>
      </c>
      <c r="AC354" s="172" t="str">
        <f t="shared" si="77"/>
        <v/>
      </c>
      <c r="AE354" s="182"/>
      <c r="AF354" s="182"/>
      <c r="AG354" s="182"/>
      <c r="AH354" s="182"/>
      <c r="AI354" s="182"/>
      <c r="AJ354" s="182"/>
      <c r="AK354" s="182"/>
      <c r="AL354" s="182"/>
      <c r="AM354" s="182"/>
      <c r="AN354" s="182"/>
      <c r="AO354" s="182"/>
      <c r="AP354" s="182"/>
      <c r="AQ354" s="182"/>
      <c r="AR354" s="182"/>
      <c r="AS354" s="182"/>
    </row>
    <row r="355" spans="1:45" ht="15">
      <c r="A355" s="263"/>
      <c r="B355" s="260"/>
      <c r="C355" s="244"/>
      <c r="D355" s="193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70" t="str">
        <f t="shared" si="71"/>
        <v/>
      </c>
      <c r="U355" s="170" t="str">
        <f t="shared" si="72"/>
        <v/>
      </c>
      <c r="V355" s="170" t="str">
        <f t="shared" si="73"/>
        <v/>
      </c>
      <c r="W355" s="170" t="str">
        <f t="shared" si="74"/>
        <v/>
      </c>
      <c r="X355" s="170" t="str">
        <f t="shared" si="78"/>
        <v/>
      </c>
      <c r="Y355" s="170" t="str">
        <f t="shared" si="79"/>
        <v/>
      </c>
      <c r="Z355" s="170" t="str">
        <f t="shared" si="80"/>
        <v/>
      </c>
      <c r="AA355" s="170" t="str">
        <f t="shared" si="75"/>
        <v/>
      </c>
      <c r="AB355" s="170" t="str">
        <f t="shared" si="76"/>
        <v/>
      </c>
      <c r="AC355" s="172" t="str">
        <f t="shared" si="77"/>
        <v/>
      </c>
      <c r="AE355" s="182"/>
      <c r="AF355" s="182"/>
      <c r="AG355" s="182"/>
      <c r="AH355" s="182"/>
      <c r="AI355" s="182"/>
      <c r="AJ355" s="182"/>
      <c r="AK355" s="182"/>
      <c r="AL355" s="182"/>
      <c r="AM355" s="182"/>
      <c r="AN355" s="182"/>
      <c r="AO355" s="182"/>
      <c r="AP355" s="182"/>
      <c r="AQ355" s="182"/>
      <c r="AR355" s="182"/>
      <c r="AS355" s="182"/>
    </row>
    <row r="356" spans="1:45" ht="15">
      <c r="A356" s="263"/>
      <c r="B356" s="260"/>
      <c r="C356" s="244"/>
      <c r="D356" s="193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70" t="str">
        <f t="shared" si="71"/>
        <v/>
      </c>
      <c r="U356" s="170" t="str">
        <f t="shared" si="72"/>
        <v/>
      </c>
      <c r="V356" s="170" t="str">
        <f t="shared" si="73"/>
        <v/>
      </c>
      <c r="W356" s="170" t="str">
        <f t="shared" si="74"/>
        <v/>
      </c>
      <c r="X356" s="170" t="str">
        <f t="shared" si="78"/>
        <v/>
      </c>
      <c r="Y356" s="170" t="str">
        <f t="shared" si="79"/>
        <v/>
      </c>
      <c r="Z356" s="170" t="str">
        <f t="shared" si="80"/>
        <v/>
      </c>
      <c r="AA356" s="170" t="str">
        <f t="shared" si="75"/>
        <v/>
      </c>
      <c r="AB356" s="170" t="str">
        <f t="shared" si="76"/>
        <v/>
      </c>
      <c r="AC356" s="172" t="str">
        <f t="shared" si="77"/>
        <v/>
      </c>
      <c r="AE356" s="182"/>
      <c r="AF356" s="182"/>
      <c r="AG356" s="182"/>
      <c r="AH356" s="182"/>
      <c r="AI356" s="182"/>
      <c r="AJ356" s="182"/>
      <c r="AK356" s="182"/>
      <c r="AL356" s="182"/>
      <c r="AM356" s="182"/>
      <c r="AN356" s="182"/>
      <c r="AO356" s="182"/>
      <c r="AP356" s="182"/>
      <c r="AQ356" s="182"/>
      <c r="AR356" s="182"/>
      <c r="AS356" s="182"/>
    </row>
    <row r="357" spans="1:45" ht="15">
      <c r="A357" s="263"/>
      <c r="B357" s="261"/>
      <c r="C357" s="245"/>
      <c r="D357" s="193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70" t="str">
        <f t="shared" si="71"/>
        <v/>
      </c>
      <c r="U357" s="170" t="str">
        <f t="shared" si="72"/>
        <v/>
      </c>
      <c r="V357" s="170" t="str">
        <f t="shared" si="73"/>
        <v/>
      </c>
      <c r="W357" s="170" t="str">
        <f t="shared" si="74"/>
        <v/>
      </c>
      <c r="X357" s="170" t="str">
        <f t="shared" si="78"/>
        <v/>
      </c>
      <c r="Y357" s="170" t="str">
        <f t="shared" si="79"/>
        <v/>
      </c>
      <c r="Z357" s="170"/>
      <c r="AA357" s="170" t="str">
        <f t="shared" si="75"/>
        <v/>
      </c>
      <c r="AB357" s="170" t="str">
        <f t="shared" si="76"/>
        <v/>
      </c>
      <c r="AC357" s="172" t="str">
        <f t="shared" si="77"/>
        <v/>
      </c>
      <c r="AE357" s="182"/>
      <c r="AF357" s="182"/>
      <c r="AG357" s="182"/>
      <c r="AH357" s="182"/>
      <c r="AI357" s="182"/>
      <c r="AJ357" s="182"/>
      <c r="AK357" s="182"/>
      <c r="AL357" s="182"/>
      <c r="AM357" s="182"/>
      <c r="AN357" s="182"/>
      <c r="AO357" s="182"/>
      <c r="AP357" s="182"/>
      <c r="AQ357" s="182"/>
      <c r="AR357" s="182"/>
      <c r="AS357" s="182"/>
    </row>
    <row r="358" spans="1:45" ht="15">
      <c r="A358" s="263">
        <v>45</v>
      </c>
      <c r="B358" s="252"/>
      <c r="C358" s="243"/>
      <c r="D358" s="194"/>
      <c r="E358" s="186"/>
      <c r="F358" s="186"/>
      <c r="G358" s="186"/>
      <c r="H358" s="186"/>
      <c r="I358" s="186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70" t="str">
        <f t="shared" ref="T358:T405" si="81">IF(COUNT(E358:S358)=0,"",SUM(E358:S358))</f>
        <v/>
      </c>
      <c r="U358" s="170" t="str">
        <f t="shared" ref="U358:U405" si="82">IF(COUNT(E358:S358)=0,"",SUMSQ(E358:S358))</f>
        <v/>
      </c>
      <c r="V358" s="170" t="str">
        <f t="shared" ref="V358:V405" si="83">IF(COUNT(E358:S358)=0,"",AVERAGE(E358:S358))</f>
        <v/>
      </c>
      <c r="W358" s="170" t="str">
        <f t="shared" ref="W358:W405" si="84">IF(COUNT(E358:S358)=0,"",STDEVP(E358:S358))</f>
        <v/>
      </c>
      <c r="X358" s="170" t="str">
        <f t="shared" si="78"/>
        <v/>
      </c>
      <c r="Y358" s="170" t="str">
        <f t="shared" si="79"/>
        <v/>
      </c>
      <c r="Z358" s="170" t="str">
        <f t="shared" si="80"/>
        <v/>
      </c>
      <c r="AA358" s="170" t="str">
        <f t="shared" ref="AA358:AA405" si="85">IF(COUNT(E358:S358)=0,"",SUM(IF(AND(E358&gt;X358,E358&lt;Y358),E358,0),IF(AND(F358&gt;X358,F358&lt;Y358),F358,0),IF(AND(G358&gt;X358,G358&lt;Y358),G358,0),IF(AND(H358&gt;X358,H358&lt;Y358),H358,0),IF(AND(I358&gt;X358,I358&lt;Y358),I358,0),IF(AND(J358&gt;X358,J358&lt;Y358),J358,0),IF(AND(K358&gt;X358,K358&lt;Y358),K358,0),IF(AND(L358&gt;X358,L358&lt;Y358),L358,0),IF(AND(M358&gt;X358,M358&lt;Y358),M358,0),IF(AND(N358&gt;X358,N358&lt;Y358),N358,0),IF(AND(O358&gt;X358,O358&lt;Y358),O358,0),IF(AND(P358&gt;X358,P358&lt;Y358),P358,0),IF(AND(Q358&gt;X358,Q358&lt;Y358),Q358,0),IF(AND(R358&gt;X358,R358&lt;Y358),R358,0),IF(AND(S358&gt;X358,S358&lt;Y358),S358,0)))</f>
        <v/>
      </c>
      <c r="AB358" s="170" t="str">
        <f t="shared" ref="AB358:AB405" si="86">IF(COUNT(E358:S358)=0,"",SUMSQ(IF(AND(E358&gt;X358,E358&lt;Y358),E358,0),IF(AND(F358&gt;X358,F358&lt;Y358),F358,0),IF(AND(G358&gt;X358,G358&lt;Y358),G358,0),IF(AND(H358&gt;X358,H358&lt;Y358),H358,0),IF(AND(I358&gt;X358,I358&lt;Y358),I358,0),IF(AND(J358&gt;X358,J358&lt;Y358),J358,0),IF(AND(K358&gt;X358,K358&lt;Y358),K358,0),IF(AND(L358&gt;X358,L358&lt;Y358),L358,0),IF(AND(M358&gt;X358,M358&lt;Y358),M358,0),IF(AND(N358&gt;X358,N358&lt;Y358),N358,0),IF(AND(O358&gt;X358,O358&lt;Y358),O358,0),IF(AND(P358&gt;X358,P358&lt;Y358),P358,0),IF(AND(Q358&gt;X358,Q358&lt;Y358),Q358,0),IF(AND(R358&gt;X358,R358&lt;Y358),R358,0),IF(AND(S358&gt;X358,S358&lt;Y358),S358,0)))</f>
        <v/>
      </c>
      <c r="AC358" s="172" t="str">
        <f t="shared" ref="AC358:AC405" si="87">IF(COUNT(E358:S358)=0,"",POWER(40*SQRT(SUM(IF(AND(E358&gt;X358,E358&lt;Y358),1,0),IF(AND(F358&gt;X358,F358&lt;Y358),1,0),IF(AND(G358&gt;X358,G358&lt;Y358),1,0),IF(AND(H358&gt;X358,H358&lt;Y358),1,0),IF(AND(I358&gt;X358,I358&lt;Y358),1,0),IF(AND(J358&gt;X358,J358&lt;Y358),1,0),IF(AND(K358&gt;X358,K358&lt;Y358),1,0),IF(AND(L358&gt;X358,L358&lt;Y358),1,0),IF(AND(M358&gt;X358,M358&lt;Y358),1,0),IF(AND(N358&gt;X358,N358&lt;Y358),1,0),IF(AND(O358&gt;X358,O358&lt;Y358),1,0),IF(AND(P358&gt;X358,P358&lt;Y358),1,0),IF(AND(Q358&gt;X358,Q358&lt;Y358),1,0),IF(AND(R358&gt;X358,R358&lt;Y358),1,0),IF(AND(S358&gt;X358,S358&lt;Y358),1,0))*AB358-POWER(AA358,2))/AA358,2))</f>
        <v/>
      </c>
      <c r="AE358" s="182"/>
      <c r="AF358" s="182"/>
      <c r="AG358" s="182"/>
      <c r="AH358" s="182"/>
      <c r="AI358" s="182"/>
      <c r="AJ358" s="182"/>
      <c r="AK358" s="182"/>
      <c r="AL358" s="182"/>
      <c r="AM358" s="182"/>
      <c r="AN358" s="182"/>
      <c r="AO358" s="182"/>
      <c r="AP358" s="182"/>
      <c r="AQ358" s="182"/>
      <c r="AR358" s="182"/>
      <c r="AS358" s="182"/>
    </row>
    <row r="359" spans="1:45" ht="15">
      <c r="A359" s="263"/>
      <c r="B359" s="260"/>
      <c r="C359" s="244"/>
      <c r="D359" s="194"/>
      <c r="E359" s="186"/>
      <c r="F359" s="186"/>
      <c r="G359" s="186"/>
      <c r="H359" s="186"/>
      <c r="I359" s="186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70" t="str">
        <f t="shared" si="81"/>
        <v/>
      </c>
      <c r="U359" s="170" t="str">
        <f t="shared" si="82"/>
        <v/>
      </c>
      <c r="V359" s="170" t="str">
        <f t="shared" si="83"/>
        <v/>
      </c>
      <c r="W359" s="170" t="str">
        <f t="shared" si="84"/>
        <v/>
      </c>
      <c r="X359" s="170" t="str">
        <f t="shared" si="78"/>
        <v/>
      </c>
      <c r="Y359" s="170" t="str">
        <f t="shared" si="79"/>
        <v/>
      </c>
      <c r="Z359" s="170" t="str">
        <f t="shared" si="80"/>
        <v/>
      </c>
      <c r="AA359" s="170" t="str">
        <f t="shared" si="85"/>
        <v/>
      </c>
      <c r="AB359" s="170" t="str">
        <f t="shared" si="86"/>
        <v/>
      </c>
      <c r="AC359" s="172" t="str">
        <f t="shared" si="87"/>
        <v/>
      </c>
      <c r="AE359" s="182"/>
      <c r="AF359" s="182"/>
      <c r="AG359" s="182"/>
      <c r="AH359" s="182"/>
      <c r="AI359" s="182"/>
      <c r="AJ359" s="182"/>
      <c r="AK359" s="182"/>
      <c r="AL359" s="182"/>
      <c r="AM359" s="182"/>
      <c r="AN359" s="182"/>
      <c r="AO359" s="182"/>
      <c r="AP359" s="182"/>
      <c r="AQ359" s="182"/>
      <c r="AR359" s="182"/>
      <c r="AS359" s="182"/>
    </row>
    <row r="360" spans="1:45" ht="15">
      <c r="A360" s="263"/>
      <c r="B360" s="260"/>
      <c r="C360" s="244"/>
      <c r="D360" s="193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70" t="str">
        <f t="shared" si="81"/>
        <v/>
      </c>
      <c r="U360" s="170" t="str">
        <f t="shared" si="82"/>
        <v/>
      </c>
      <c r="V360" s="170" t="str">
        <f t="shared" si="83"/>
        <v/>
      </c>
      <c r="W360" s="170" t="str">
        <f t="shared" si="84"/>
        <v/>
      </c>
      <c r="X360" s="170" t="str">
        <f t="shared" si="78"/>
        <v/>
      </c>
      <c r="Y360" s="170" t="str">
        <f t="shared" si="79"/>
        <v/>
      </c>
      <c r="Z360" s="170" t="str">
        <f t="shared" si="80"/>
        <v/>
      </c>
      <c r="AA360" s="170" t="str">
        <f t="shared" si="85"/>
        <v/>
      </c>
      <c r="AB360" s="170" t="str">
        <f t="shared" si="86"/>
        <v/>
      </c>
      <c r="AC360" s="172" t="str">
        <f t="shared" si="87"/>
        <v/>
      </c>
      <c r="AE360" s="182"/>
      <c r="AF360" s="182"/>
      <c r="AG360" s="182"/>
      <c r="AH360" s="182"/>
      <c r="AI360" s="182"/>
      <c r="AJ360" s="182"/>
      <c r="AK360" s="182"/>
      <c r="AL360" s="182"/>
      <c r="AM360" s="182"/>
      <c r="AN360" s="182"/>
      <c r="AO360" s="182"/>
      <c r="AP360" s="182"/>
      <c r="AQ360" s="182"/>
      <c r="AR360" s="182"/>
      <c r="AS360" s="182"/>
    </row>
    <row r="361" spans="1:45" ht="15">
      <c r="A361" s="263"/>
      <c r="B361" s="260"/>
      <c r="C361" s="244"/>
      <c r="D361" s="193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70" t="str">
        <f t="shared" si="81"/>
        <v/>
      </c>
      <c r="U361" s="170" t="str">
        <f t="shared" si="82"/>
        <v/>
      </c>
      <c r="V361" s="170" t="str">
        <f t="shared" si="83"/>
        <v/>
      </c>
      <c r="W361" s="170" t="str">
        <f t="shared" si="84"/>
        <v/>
      </c>
      <c r="X361" s="170" t="str">
        <f t="shared" si="78"/>
        <v/>
      </c>
      <c r="Y361" s="170" t="str">
        <f t="shared" si="79"/>
        <v/>
      </c>
      <c r="Z361" s="170" t="str">
        <f t="shared" si="80"/>
        <v/>
      </c>
      <c r="AA361" s="170" t="str">
        <f t="shared" si="85"/>
        <v/>
      </c>
      <c r="AB361" s="170" t="str">
        <f t="shared" si="86"/>
        <v/>
      </c>
      <c r="AC361" s="172" t="str">
        <f t="shared" si="87"/>
        <v/>
      </c>
      <c r="AE361" s="182"/>
      <c r="AF361" s="182"/>
      <c r="AG361" s="182"/>
      <c r="AH361" s="182"/>
      <c r="AI361" s="182"/>
      <c r="AJ361" s="182"/>
      <c r="AK361" s="182"/>
      <c r="AL361" s="182"/>
      <c r="AM361" s="182"/>
      <c r="AN361" s="182"/>
      <c r="AO361" s="182"/>
      <c r="AP361" s="182"/>
      <c r="AQ361" s="182"/>
      <c r="AR361" s="182"/>
      <c r="AS361" s="182"/>
    </row>
    <row r="362" spans="1:45" ht="15">
      <c r="A362" s="263"/>
      <c r="B362" s="260"/>
      <c r="C362" s="244"/>
      <c r="D362" s="193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70" t="str">
        <f t="shared" si="81"/>
        <v/>
      </c>
      <c r="U362" s="170" t="str">
        <f t="shared" si="82"/>
        <v/>
      </c>
      <c r="V362" s="170" t="str">
        <f t="shared" si="83"/>
        <v/>
      </c>
      <c r="W362" s="170" t="str">
        <f t="shared" si="84"/>
        <v/>
      </c>
      <c r="X362" s="170" t="str">
        <f t="shared" si="78"/>
        <v/>
      </c>
      <c r="Y362" s="170" t="str">
        <f t="shared" si="79"/>
        <v/>
      </c>
      <c r="Z362" s="170" t="str">
        <f t="shared" si="80"/>
        <v/>
      </c>
      <c r="AA362" s="170" t="str">
        <f t="shared" si="85"/>
        <v/>
      </c>
      <c r="AB362" s="170" t="str">
        <f t="shared" si="86"/>
        <v/>
      </c>
      <c r="AC362" s="172" t="str">
        <f t="shared" si="87"/>
        <v/>
      </c>
      <c r="AE362" s="182"/>
      <c r="AF362" s="182"/>
      <c r="AG362" s="182"/>
      <c r="AH362" s="182"/>
      <c r="AI362" s="182"/>
      <c r="AJ362" s="182"/>
      <c r="AK362" s="182"/>
      <c r="AL362" s="182"/>
      <c r="AM362" s="182"/>
      <c r="AN362" s="182"/>
      <c r="AO362" s="182"/>
      <c r="AP362" s="182"/>
      <c r="AQ362" s="182"/>
      <c r="AR362" s="182"/>
      <c r="AS362" s="182"/>
    </row>
    <row r="363" spans="1:45" ht="15">
      <c r="A363" s="263"/>
      <c r="B363" s="260"/>
      <c r="C363" s="244"/>
      <c r="D363" s="193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70" t="str">
        <f t="shared" si="81"/>
        <v/>
      </c>
      <c r="U363" s="170" t="str">
        <f t="shared" si="82"/>
        <v/>
      </c>
      <c r="V363" s="170" t="str">
        <f t="shared" si="83"/>
        <v/>
      </c>
      <c r="W363" s="170" t="str">
        <f t="shared" si="84"/>
        <v/>
      </c>
      <c r="X363" s="170" t="str">
        <f t="shared" si="78"/>
        <v/>
      </c>
      <c r="Y363" s="170" t="str">
        <f t="shared" si="79"/>
        <v/>
      </c>
      <c r="Z363" s="170" t="str">
        <f t="shared" si="80"/>
        <v/>
      </c>
      <c r="AA363" s="170" t="str">
        <f t="shared" si="85"/>
        <v/>
      </c>
      <c r="AB363" s="170" t="str">
        <f t="shared" si="86"/>
        <v/>
      </c>
      <c r="AC363" s="172" t="str">
        <f t="shared" si="87"/>
        <v/>
      </c>
      <c r="AE363" s="182"/>
      <c r="AF363" s="182"/>
      <c r="AG363" s="182"/>
      <c r="AH363" s="182"/>
      <c r="AI363" s="182"/>
      <c r="AJ363" s="182"/>
      <c r="AK363" s="182"/>
      <c r="AL363" s="182"/>
      <c r="AM363" s="182"/>
      <c r="AN363" s="182"/>
      <c r="AO363" s="182"/>
      <c r="AP363" s="182"/>
      <c r="AQ363" s="182"/>
      <c r="AR363" s="182"/>
      <c r="AS363" s="182"/>
    </row>
    <row r="364" spans="1:45" ht="15">
      <c r="A364" s="263"/>
      <c r="B364" s="260"/>
      <c r="C364" s="244"/>
      <c r="D364" s="193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70" t="str">
        <f t="shared" si="81"/>
        <v/>
      </c>
      <c r="U364" s="170" t="str">
        <f t="shared" si="82"/>
        <v/>
      </c>
      <c r="V364" s="170" t="str">
        <f t="shared" si="83"/>
        <v/>
      </c>
      <c r="W364" s="170" t="str">
        <f t="shared" si="84"/>
        <v/>
      </c>
      <c r="X364" s="170" t="str">
        <f t="shared" si="78"/>
        <v/>
      </c>
      <c r="Y364" s="170" t="str">
        <f t="shared" si="79"/>
        <v/>
      </c>
      <c r="Z364" s="170" t="str">
        <f t="shared" si="80"/>
        <v/>
      </c>
      <c r="AA364" s="170" t="str">
        <f t="shared" si="85"/>
        <v/>
      </c>
      <c r="AB364" s="170" t="str">
        <f t="shared" si="86"/>
        <v/>
      </c>
      <c r="AC364" s="172" t="str">
        <f t="shared" si="87"/>
        <v/>
      </c>
      <c r="AE364" s="182"/>
      <c r="AF364" s="182"/>
      <c r="AG364" s="182"/>
      <c r="AH364" s="182"/>
      <c r="AI364" s="182"/>
      <c r="AJ364" s="182"/>
      <c r="AK364" s="182"/>
      <c r="AL364" s="182"/>
      <c r="AM364" s="182"/>
      <c r="AN364" s="182"/>
      <c r="AO364" s="182"/>
      <c r="AP364" s="182"/>
      <c r="AQ364" s="182"/>
      <c r="AR364" s="182"/>
      <c r="AS364" s="182"/>
    </row>
    <row r="365" spans="1:45" ht="15">
      <c r="A365" s="263"/>
      <c r="B365" s="261"/>
      <c r="C365" s="245"/>
      <c r="D365" s="193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70" t="str">
        <f t="shared" si="81"/>
        <v/>
      </c>
      <c r="U365" s="170" t="str">
        <f t="shared" si="82"/>
        <v/>
      </c>
      <c r="V365" s="170" t="str">
        <f t="shared" si="83"/>
        <v/>
      </c>
      <c r="W365" s="170" t="str">
        <f t="shared" si="84"/>
        <v/>
      </c>
      <c r="X365" s="170" t="str">
        <f t="shared" si="78"/>
        <v/>
      </c>
      <c r="Y365" s="170" t="str">
        <f t="shared" si="79"/>
        <v/>
      </c>
      <c r="Z365" s="170"/>
      <c r="AA365" s="170" t="str">
        <f t="shared" si="85"/>
        <v/>
      </c>
      <c r="AB365" s="170" t="str">
        <f t="shared" si="86"/>
        <v/>
      </c>
      <c r="AC365" s="172" t="str">
        <f t="shared" si="87"/>
        <v/>
      </c>
      <c r="AE365" s="182"/>
      <c r="AF365" s="182"/>
      <c r="AG365" s="182"/>
      <c r="AH365" s="182"/>
      <c r="AI365" s="182"/>
      <c r="AJ365" s="182"/>
      <c r="AK365" s="182"/>
      <c r="AL365" s="182"/>
      <c r="AM365" s="182"/>
      <c r="AN365" s="182"/>
      <c r="AO365" s="182"/>
      <c r="AP365" s="182"/>
      <c r="AQ365" s="182"/>
      <c r="AR365" s="182"/>
      <c r="AS365" s="182"/>
    </row>
    <row r="366" spans="1:45" ht="15">
      <c r="A366" s="263">
        <v>46</v>
      </c>
      <c r="B366" s="252"/>
      <c r="C366" s="243"/>
      <c r="D366" s="194"/>
      <c r="E366" s="186"/>
      <c r="F366" s="186"/>
      <c r="G366" s="186"/>
      <c r="H366" s="186"/>
      <c r="I366" s="186"/>
      <c r="J366" s="186"/>
      <c r="K366" s="169"/>
      <c r="L366" s="169"/>
      <c r="M366" s="169"/>
      <c r="N366" s="169"/>
      <c r="O366" s="169"/>
      <c r="P366" s="169"/>
      <c r="Q366" s="169"/>
      <c r="R366" s="169"/>
      <c r="S366" s="169"/>
      <c r="T366" s="170" t="str">
        <f t="shared" si="81"/>
        <v/>
      </c>
      <c r="U366" s="170" t="str">
        <f t="shared" si="82"/>
        <v/>
      </c>
      <c r="V366" s="170" t="str">
        <f t="shared" si="83"/>
        <v/>
      </c>
      <c r="W366" s="170" t="str">
        <f t="shared" si="84"/>
        <v/>
      </c>
      <c r="X366" s="170" t="str">
        <f t="shared" si="78"/>
        <v/>
      </c>
      <c r="Y366" s="170" t="str">
        <f t="shared" si="79"/>
        <v/>
      </c>
      <c r="Z366" s="170" t="str">
        <f t="shared" si="80"/>
        <v/>
      </c>
      <c r="AA366" s="170" t="str">
        <f t="shared" si="85"/>
        <v/>
      </c>
      <c r="AB366" s="170" t="str">
        <f t="shared" si="86"/>
        <v/>
      </c>
      <c r="AC366" s="172" t="str">
        <f t="shared" si="87"/>
        <v/>
      </c>
      <c r="AE366" s="182"/>
      <c r="AF366" s="182"/>
      <c r="AG366" s="182"/>
      <c r="AH366" s="182"/>
      <c r="AI366" s="182"/>
      <c r="AJ366" s="182"/>
      <c r="AK366" s="182"/>
      <c r="AL366" s="182"/>
      <c r="AM366" s="182"/>
      <c r="AN366" s="182"/>
      <c r="AO366" s="182"/>
      <c r="AP366" s="182"/>
      <c r="AQ366" s="182"/>
      <c r="AR366" s="182"/>
      <c r="AS366" s="182"/>
    </row>
    <row r="367" spans="1:45" ht="15">
      <c r="A367" s="263"/>
      <c r="B367" s="260"/>
      <c r="C367" s="244"/>
      <c r="D367" s="194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70" t="str">
        <f t="shared" si="81"/>
        <v/>
      </c>
      <c r="U367" s="170" t="str">
        <f t="shared" si="82"/>
        <v/>
      </c>
      <c r="V367" s="170" t="str">
        <f t="shared" si="83"/>
        <v/>
      </c>
      <c r="W367" s="170" t="str">
        <f t="shared" si="84"/>
        <v/>
      </c>
      <c r="X367" s="170" t="str">
        <f t="shared" si="78"/>
        <v/>
      </c>
      <c r="Y367" s="170" t="str">
        <f t="shared" si="79"/>
        <v/>
      </c>
      <c r="Z367" s="170" t="str">
        <f t="shared" si="80"/>
        <v/>
      </c>
      <c r="AA367" s="170" t="str">
        <f t="shared" si="85"/>
        <v/>
      </c>
      <c r="AB367" s="170" t="str">
        <f t="shared" si="86"/>
        <v/>
      </c>
      <c r="AC367" s="172" t="str">
        <f t="shared" si="87"/>
        <v/>
      </c>
      <c r="AE367" s="182"/>
      <c r="AF367" s="182"/>
      <c r="AG367" s="182"/>
      <c r="AH367" s="182"/>
      <c r="AI367" s="182"/>
      <c r="AJ367" s="182"/>
      <c r="AK367" s="182"/>
      <c r="AL367" s="182"/>
      <c r="AM367" s="182"/>
      <c r="AN367" s="182"/>
      <c r="AO367" s="182"/>
      <c r="AP367" s="182"/>
      <c r="AQ367" s="182"/>
      <c r="AR367" s="182"/>
      <c r="AS367" s="182"/>
    </row>
    <row r="368" spans="1:45" ht="15">
      <c r="A368" s="263"/>
      <c r="B368" s="260"/>
      <c r="C368" s="244"/>
      <c r="D368" s="193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70" t="str">
        <f t="shared" si="81"/>
        <v/>
      </c>
      <c r="U368" s="170" t="str">
        <f t="shared" si="82"/>
        <v/>
      </c>
      <c r="V368" s="170" t="str">
        <f t="shared" si="83"/>
        <v/>
      </c>
      <c r="W368" s="170" t="str">
        <f t="shared" si="84"/>
        <v/>
      </c>
      <c r="X368" s="170" t="str">
        <f t="shared" si="78"/>
        <v/>
      </c>
      <c r="Y368" s="170" t="str">
        <f t="shared" si="79"/>
        <v/>
      </c>
      <c r="Z368" s="170" t="str">
        <f t="shared" si="80"/>
        <v/>
      </c>
      <c r="AA368" s="170" t="str">
        <f t="shared" si="85"/>
        <v/>
      </c>
      <c r="AB368" s="170" t="str">
        <f t="shared" si="86"/>
        <v/>
      </c>
      <c r="AC368" s="172" t="str">
        <f t="shared" si="87"/>
        <v/>
      </c>
      <c r="AE368" s="182"/>
      <c r="AF368" s="182"/>
      <c r="AG368" s="182"/>
      <c r="AH368" s="182"/>
      <c r="AI368" s="182"/>
      <c r="AJ368" s="182"/>
      <c r="AK368" s="182"/>
      <c r="AL368" s="182"/>
      <c r="AM368" s="182"/>
      <c r="AN368" s="182"/>
      <c r="AO368" s="182"/>
      <c r="AP368" s="182"/>
      <c r="AQ368" s="182"/>
      <c r="AR368" s="182"/>
      <c r="AS368" s="182"/>
    </row>
    <row r="369" spans="1:45" ht="15">
      <c r="A369" s="263"/>
      <c r="B369" s="260"/>
      <c r="C369" s="244"/>
      <c r="D369" s="193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70" t="str">
        <f t="shared" si="81"/>
        <v/>
      </c>
      <c r="U369" s="170" t="str">
        <f t="shared" si="82"/>
        <v/>
      </c>
      <c r="V369" s="170" t="str">
        <f t="shared" si="83"/>
        <v/>
      </c>
      <c r="W369" s="170" t="str">
        <f t="shared" si="84"/>
        <v/>
      </c>
      <c r="X369" s="170" t="str">
        <f t="shared" si="78"/>
        <v/>
      </c>
      <c r="Y369" s="170" t="str">
        <f t="shared" si="79"/>
        <v/>
      </c>
      <c r="Z369" s="170" t="str">
        <f t="shared" si="80"/>
        <v/>
      </c>
      <c r="AA369" s="170" t="str">
        <f t="shared" si="85"/>
        <v/>
      </c>
      <c r="AB369" s="170" t="str">
        <f t="shared" si="86"/>
        <v/>
      </c>
      <c r="AC369" s="172" t="str">
        <f t="shared" si="87"/>
        <v/>
      </c>
      <c r="AE369" s="182"/>
      <c r="AF369" s="182"/>
      <c r="AG369" s="182"/>
      <c r="AH369" s="182"/>
      <c r="AI369" s="182"/>
      <c r="AJ369" s="182"/>
      <c r="AK369" s="182"/>
      <c r="AL369" s="182"/>
      <c r="AM369" s="182"/>
      <c r="AN369" s="182"/>
      <c r="AO369" s="182"/>
      <c r="AP369" s="182"/>
      <c r="AQ369" s="182"/>
      <c r="AR369" s="182"/>
      <c r="AS369" s="182"/>
    </row>
    <row r="370" spans="1:45" ht="15">
      <c r="A370" s="263"/>
      <c r="B370" s="260"/>
      <c r="C370" s="244"/>
      <c r="D370" s="193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70" t="str">
        <f t="shared" si="81"/>
        <v/>
      </c>
      <c r="U370" s="170" t="str">
        <f t="shared" si="82"/>
        <v/>
      </c>
      <c r="V370" s="170" t="str">
        <f t="shared" si="83"/>
        <v/>
      </c>
      <c r="W370" s="170" t="str">
        <f t="shared" si="84"/>
        <v/>
      </c>
      <c r="X370" s="170" t="str">
        <f t="shared" si="78"/>
        <v/>
      </c>
      <c r="Y370" s="170" t="str">
        <f t="shared" si="79"/>
        <v/>
      </c>
      <c r="Z370" s="170" t="str">
        <f t="shared" si="80"/>
        <v/>
      </c>
      <c r="AA370" s="170" t="str">
        <f t="shared" si="85"/>
        <v/>
      </c>
      <c r="AB370" s="170" t="str">
        <f t="shared" si="86"/>
        <v/>
      </c>
      <c r="AC370" s="172" t="str">
        <f t="shared" si="87"/>
        <v/>
      </c>
      <c r="AE370" s="182"/>
      <c r="AF370" s="182"/>
      <c r="AG370" s="182"/>
      <c r="AH370" s="182"/>
      <c r="AI370" s="182"/>
      <c r="AJ370" s="182"/>
      <c r="AK370" s="182"/>
      <c r="AL370" s="182"/>
      <c r="AM370" s="182"/>
      <c r="AN370" s="182"/>
      <c r="AO370" s="182"/>
      <c r="AP370" s="182"/>
      <c r="AQ370" s="182"/>
      <c r="AR370" s="182"/>
      <c r="AS370" s="182"/>
    </row>
    <row r="371" spans="1:45" ht="15">
      <c r="A371" s="263"/>
      <c r="B371" s="260"/>
      <c r="C371" s="244"/>
      <c r="D371" s="193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70" t="str">
        <f t="shared" si="81"/>
        <v/>
      </c>
      <c r="U371" s="170" t="str">
        <f t="shared" si="82"/>
        <v/>
      </c>
      <c r="V371" s="170" t="str">
        <f t="shared" si="83"/>
        <v/>
      </c>
      <c r="W371" s="170" t="str">
        <f t="shared" si="84"/>
        <v/>
      </c>
      <c r="X371" s="170" t="str">
        <f t="shared" si="78"/>
        <v/>
      </c>
      <c r="Y371" s="170" t="str">
        <f t="shared" si="79"/>
        <v/>
      </c>
      <c r="Z371" s="170" t="str">
        <f t="shared" si="80"/>
        <v/>
      </c>
      <c r="AA371" s="170" t="str">
        <f t="shared" si="85"/>
        <v/>
      </c>
      <c r="AB371" s="170" t="str">
        <f t="shared" si="86"/>
        <v/>
      </c>
      <c r="AC371" s="172" t="str">
        <f t="shared" si="87"/>
        <v/>
      </c>
      <c r="AE371" s="182"/>
      <c r="AF371" s="182"/>
      <c r="AG371" s="182"/>
      <c r="AH371" s="182"/>
      <c r="AI371" s="182"/>
      <c r="AJ371" s="182"/>
      <c r="AK371" s="182"/>
      <c r="AL371" s="182"/>
      <c r="AM371" s="182"/>
      <c r="AN371" s="182"/>
      <c r="AO371" s="182"/>
      <c r="AP371" s="182"/>
      <c r="AQ371" s="182"/>
      <c r="AR371" s="182"/>
      <c r="AS371" s="182"/>
    </row>
    <row r="372" spans="1:45" ht="15">
      <c r="A372" s="263"/>
      <c r="B372" s="260"/>
      <c r="C372" s="244"/>
      <c r="D372" s="193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70" t="str">
        <f t="shared" si="81"/>
        <v/>
      </c>
      <c r="U372" s="170" t="str">
        <f t="shared" si="82"/>
        <v/>
      </c>
      <c r="V372" s="170" t="str">
        <f t="shared" si="83"/>
        <v/>
      </c>
      <c r="W372" s="170" t="str">
        <f t="shared" si="84"/>
        <v/>
      </c>
      <c r="X372" s="170" t="str">
        <f t="shared" si="78"/>
        <v/>
      </c>
      <c r="Y372" s="170" t="str">
        <f t="shared" si="79"/>
        <v/>
      </c>
      <c r="Z372" s="170" t="str">
        <f t="shared" si="80"/>
        <v/>
      </c>
      <c r="AA372" s="170" t="str">
        <f t="shared" si="85"/>
        <v/>
      </c>
      <c r="AB372" s="170" t="str">
        <f t="shared" si="86"/>
        <v/>
      </c>
      <c r="AC372" s="172" t="str">
        <f t="shared" si="87"/>
        <v/>
      </c>
      <c r="AE372" s="182"/>
      <c r="AF372" s="182"/>
      <c r="AG372" s="182"/>
      <c r="AH372" s="182"/>
      <c r="AI372" s="182"/>
      <c r="AJ372" s="182"/>
      <c r="AK372" s="182"/>
      <c r="AL372" s="182"/>
      <c r="AM372" s="182"/>
      <c r="AN372" s="182"/>
      <c r="AO372" s="182"/>
      <c r="AP372" s="182"/>
      <c r="AQ372" s="182"/>
      <c r="AR372" s="182"/>
      <c r="AS372" s="182"/>
    </row>
    <row r="373" spans="1:45" ht="15">
      <c r="A373" s="263"/>
      <c r="B373" s="261"/>
      <c r="C373" s="245"/>
      <c r="D373" s="193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70" t="str">
        <f t="shared" si="81"/>
        <v/>
      </c>
      <c r="U373" s="170" t="str">
        <f t="shared" si="82"/>
        <v/>
      </c>
      <c r="V373" s="170" t="str">
        <f t="shared" si="83"/>
        <v/>
      </c>
      <c r="W373" s="170" t="str">
        <f t="shared" si="84"/>
        <v/>
      </c>
      <c r="X373" s="170" t="str">
        <f t="shared" si="78"/>
        <v/>
      </c>
      <c r="Y373" s="170" t="str">
        <f t="shared" si="79"/>
        <v/>
      </c>
      <c r="Z373" s="170"/>
      <c r="AA373" s="170" t="str">
        <f t="shared" si="85"/>
        <v/>
      </c>
      <c r="AB373" s="170" t="str">
        <f t="shared" si="86"/>
        <v/>
      </c>
      <c r="AC373" s="172" t="str">
        <f t="shared" si="87"/>
        <v/>
      </c>
      <c r="AE373" s="182"/>
      <c r="AF373" s="182"/>
      <c r="AG373" s="182"/>
      <c r="AH373" s="182"/>
      <c r="AI373" s="182"/>
      <c r="AJ373" s="182"/>
      <c r="AK373" s="182"/>
      <c r="AL373" s="182"/>
      <c r="AM373" s="182"/>
      <c r="AN373" s="182"/>
      <c r="AO373" s="182"/>
      <c r="AP373" s="182"/>
      <c r="AQ373" s="182"/>
      <c r="AR373" s="182"/>
      <c r="AS373" s="182"/>
    </row>
    <row r="374" spans="1:45" ht="16.5" customHeight="1">
      <c r="A374" s="263">
        <v>47</v>
      </c>
      <c r="B374" s="252"/>
      <c r="C374" s="243"/>
      <c r="D374" s="194"/>
      <c r="E374" s="186"/>
      <c r="F374" s="186"/>
      <c r="G374" s="186"/>
      <c r="H374" s="186"/>
      <c r="I374" s="186"/>
      <c r="J374" s="186"/>
      <c r="K374" s="169"/>
      <c r="L374" s="169"/>
      <c r="M374" s="169"/>
      <c r="N374" s="169"/>
      <c r="O374" s="169"/>
      <c r="P374" s="169"/>
      <c r="Q374" s="169"/>
      <c r="R374" s="169"/>
      <c r="S374" s="169"/>
      <c r="T374" s="170" t="str">
        <f t="shared" si="81"/>
        <v/>
      </c>
      <c r="U374" s="170" t="str">
        <f t="shared" si="82"/>
        <v/>
      </c>
      <c r="V374" s="170" t="str">
        <f t="shared" si="83"/>
        <v/>
      </c>
      <c r="W374" s="170" t="str">
        <f t="shared" si="84"/>
        <v/>
      </c>
      <c r="X374" s="170" t="str">
        <f t="shared" si="78"/>
        <v/>
      </c>
      <c r="Y374" s="170" t="str">
        <f t="shared" si="79"/>
        <v/>
      </c>
      <c r="Z374" s="170" t="str">
        <f t="shared" si="80"/>
        <v/>
      </c>
      <c r="AA374" s="170" t="str">
        <f t="shared" si="85"/>
        <v/>
      </c>
      <c r="AB374" s="170" t="str">
        <f t="shared" si="86"/>
        <v/>
      </c>
      <c r="AC374" s="172" t="str">
        <f t="shared" si="87"/>
        <v/>
      </c>
      <c r="AE374" s="182"/>
      <c r="AF374" s="182"/>
      <c r="AG374" s="182"/>
      <c r="AH374" s="182"/>
      <c r="AI374" s="182"/>
      <c r="AJ374" s="182"/>
      <c r="AK374" s="182"/>
      <c r="AL374" s="182"/>
      <c r="AM374" s="182"/>
      <c r="AN374" s="182"/>
      <c r="AO374" s="182"/>
      <c r="AP374" s="182"/>
      <c r="AQ374" s="182"/>
      <c r="AR374" s="182"/>
      <c r="AS374" s="182"/>
    </row>
    <row r="375" spans="1:45" ht="15">
      <c r="A375" s="263"/>
      <c r="B375" s="260"/>
      <c r="C375" s="244"/>
      <c r="D375" s="194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70" t="str">
        <f t="shared" si="81"/>
        <v/>
      </c>
      <c r="U375" s="170" t="str">
        <f t="shared" si="82"/>
        <v/>
      </c>
      <c r="V375" s="170" t="str">
        <f t="shared" si="83"/>
        <v/>
      </c>
      <c r="W375" s="170" t="str">
        <f t="shared" si="84"/>
        <v/>
      </c>
      <c r="X375" s="170" t="str">
        <f t="shared" si="78"/>
        <v/>
      </c>
      <c r="Y375" s="170" t="str">
        <f t="shared" si="79"/>
        <v/>
      </c>
      <c r="Z375" s="170" t="str">
        <f t="shared" si="80"/>
        <v/>
      </c>
      <c r="AA375" s="170" t="str">
        <f t="shared" si="85"/>
        <v/>
      </c>
      <c r="AB375" s="170" t="str">
        <f t="shared" si="86"/>
        <v/>
      </c>
      <c r="AC375" s="172" t="str">
        <f t="shared" si="87"/>
        <v/>
      </c>
      <c r="AE375" s="182"/>
      <c r="AF375" s="182"/>
      <c r="AG375" s="182"/>
      <c r="AH375" s="182"/>
      <c r="AI375" s="182"/>
      <c r="AJ375" s="182"/>
      <c r="AK375" s="182"/>
      <c r="AL375" s="182"/>
      <c r="AM375" s="182"/>
      <c r="AN375" s="182"/>
      <c r="AO375" s="182"/>
      <c r="AP375" s="182"/>
      <c r="AQ375" s="182"/>
      <c r="AR375" s="182"/>
      <c r="AS375" s="182"/>
    </row>
    <row r="376" spans="1:45" ht="15">
      <c r="A376" s="263"/>
      <c r="B376" s="260"/>
      <c r="C376" s="244"/>
      <c r="D376" s="193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70" t="str">
        <f t="shared" si="81"/>
        <v/>
      </c>
      <c r="U376" s="170" t="str">
        <f t="shared" si="82"/>
        <v/>
      </c>
      <c r="V376" s="170" t="str">
        <f t="shared" si="83"/>
        <v/>
      </c>
      <c r="W376" s="170" t="str">
        <f t="shared" si="84"/>
        <v/>
      </c>
      <c r="X376" s="170" t="str">
        <f t="shared" si="78"/>
        <v/>
      </c>
      <c r="Y376" s="170" t="str">
        <f t="shared" si="79"/>
        <v/>
      </c>
      <c r="Z376" s="170" t="str">
        <f t="shared" si="80"/>
        <v/>
      </c>
      <c r="AA376" s="170" t="str">
        <f t="shared" si="85"/>
        <v/>
      </c>
      <c r="AB376" s="170" t="str">
        <f t="shared" si="86"/>
        <v/>
      </c>
      <c r="AC376" s="172" t="str">
        <f t="shared" si="87"/>
        <v/>
      </c>
      <c r="AE376" s="182"/>
      <c r="AF376" s="182"/>
      <c r="AG376" s="182"/>
      <c r="AH376" s="182"/>
      <c r="AI376" s="182"/>
      <c r="AJ376" s="182"/>
      <c r="AK376" s="182"/>
      <c r="AL376" s="182"/>
      <c r="AM376" s="182"/>
      <c r="AN376" s="182"/>
      <c r="AO376" s="182"/>
      <c r="AP376" s="182"/>
      <c r="AQ376" s="182"/>
      <c r="AR376" s="182"/>
      <c r="AS376" s="182"/>
    </row>
    <row r="377" spans="1:45" ht="15">
      <c r="A377" s="263"/>
      <c r="B377" s="260"/>
      <c r="C377" s="244"/>
      <c r="D377" s="193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70" t="str">
        <f t="shared" si="81"/>
        <v/>
      </c>
      <c r="U377" s="170" t="str">
        <f t="shared" si="82"/>
        <v/>
      </c>
      <c r="V377" s="170" t="str">
        <f t="shared" si="83"/>
        <v/>
      </c>
      <c r="W377" s="170" t="str">
        <f t="shared" si="84"/>
        <v/>
      </c>
      <c r="X377" s="170" t="str">
        <f t="shared" si="78"/>
        <v/>
      </c>
      <c r="Y377" s="170" t="str">
        <f t="shared" si="79"/>
        <v/>
      </c>
      <c r="Z377" s="170" t="str">
        <f t="shared" si="80"/>
        <v/>
      </c>
      <c r="AA377" s="170" t="str">
        <f t="shared" si="85"/>
        <v/>
      </c>
      <c r="AB377" s="170" t="str">
        <f t="shared" si="86"/>
        <v/>
      </c>
      <c r="AC377" s="172" t="str">
        <f t="shared" si="87"/>
        <v/>
      </c>
      <c r="AE377" s="182"/>
      <c r="AF377" s="182"/>
      <c r="AG377" s="182"/>
      <c r="AH377" s="182"/>
      <c r="AI377" s="182"/>
      <c r="AJ377" s="182"/>
      <c r="AK377" s="182"/>
      <c r="AL377" s="182"/>
      <c r="AM377" s="182"/>
      <c r="AN377" s="182"/>
      <c r="AO377" s="182"/>
      <c r="AP377" s="182"/>
      <c r="AQ377" s="182"/>
      <c r="AR377" s="182"/>
      <c r="AS377" s="182"/>
    </row>
    <row r="378" spans="1:45" ht="15">
      <c r="A378" s="263"/>
      <c r="B378" s="260"/>
      <c r="C378" s="244"/>
      <c r="D378" s="193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70" t="str">
        <f t="shared" si="81"/>
        <v/>
      </c>
      <c r="U378" s="170" t="str">
        <f t="shared" si="82"/>
        <v/>
      </c>
      <c r="V378" s="170" t="str">
        <f t="shared" si="83"/>
        <v/>
      </c>
      <c r="W378" s="170" t="str">
        <f t="shared" si="84"/>
        <v/>
      </c>
      <c r="X378" s="170" t="str">
        <f t="shared" si="78"/>
        <v/>
      </c>
      <c r="Y378" s="170" t="str">
        <f t="shared" si="79"/>
        <v/>
      </c>
      <c r="Z378" s="170" t="str">
        <f t="shared" si="80"/>
        <v/>
      </c>
      <c r="AA378" s="170" t="str">
        <f t="shared" si="85"/>
        <v/>
      </c>
      <c r="AB378" s="170" t="str">
        <f t="shared" si="86"/>
        <v/>
      </c>
      <c r="AC378" s="172" t="str">
        <f t="shared" si="87"/>
        <v/>
      </c>
      <c r="AE378" s="182"/>
      <c r="AF378" s="182"/>
      <c r="AG378" s="182"/>
      <c r="AH378" s="182"/>
      <c r="AI378" s="182"/>
      <c r="AJ378" s="182"/>
      <c r="AK378" s="182"/>
      <c r="AL378" s="182"/>
      <c r="AM378" s="182"/>
      <c r="AN378" s="182"/>
      <c r="AO378" s="182"/>
      <c r="AP378" s="182"/>
      <c r="AQ378" s="182"/>
      <c r="AR378" s="182"/>
      <c r="AS378" s="182"/>
    </row>
    <row r="379" spans="1:45" ht="15">
      <c r="A379" s="263"/>
      <c r="B379" s="260"/>
      <c r="C379" s="244"/>
      <c r="D379" s="193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70" t="str">
        <f t="shared" si="81"/>
        <v/>
      </c>
      <c r="U379" s="170" t="str">
        <f t="shared" si="82"/>
        <v/>
      </c>
      <c r="V379" s="170" t="str">
        <f t="shared" si="83"/>
        <v/>
      </c>
      <c r="W379" s="170" t="str">
        <f t="shared" si="84"/>
        <v/>
      </c>
      <c r="X379" s="170" t="str">
        <f t="shared" si="78"/>
        <v/>
      </c>
      <c r="Y379" s="170" t="str">
        <f t="shared" si="79"/>
        <v/>
      </c>
      <c r="Z379" s="170" t="str">
        <f t="shared" si="80"/>
        <v/>
      </c>
      <c r="AA379" s="170" t="str">
        <f t="shared" si="85"/>
        <v/>
      </c>
      <c r="AB379" s="170" t="str">
        <f t="shared" si="86"/>
        <v/>
      </c>
      <c r="AC379" s="172" t="str">
        <f t="shared" si="87"/>
        <v/>
      </c>
      <c r="AE379" s="182"/>
      <c r="AF379" s="182"/>
      <c r="AG379" s="182"/>
      <c r="AH379" s="182"/>
      <c r="AI379" s="182"/>
      <c r="AJ379" s="182"/>
      <c r="AK379" s="182"/>
      <c r="AL379" s="182"/>
      <c r="AM379" s="182"/>
      <c r="AN379" s="182"/>
      <c r="AO379" s="182"/>
      <c r="AP379" s="182"/>
      <c r="AQ379" s="182"/>
      <c r="AR379" s="182"/>
      <c r="AS379" s="182"/>
    </row>
    <row r="380" spans="1:45" ht="15">
      <c r="A380" s="263"/>
      <c r="B380" s="260"/>
      <c r="C380" s="244"/>
      <c r="D380" s="193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70" t="str">
        <f t="shared" si="81"/>
        <v/>
      </c>
      <c r="U380" s="170" t="str">
        <f t="shared" si="82"/>
        <v/>
      </c>
      <c r="V380" s="170" t="str">
        <f t="shared" si="83"/>
        <v/>
      </c>
      <c r="W380" s="170" t="str">
        <f t="shared" si="84"/>
        <v/>
      </c>
      <c r="X380" s="170" t="str">
        <f t="shared" si="78"/>
        <v/>
      </c>
      <c r="Y380" s="170" t="str">
        <f t="shared" si="79"/>
        <v/>
      </c>
      <c r="Z380" s="170" t="str">
        <f t="shared" si="80"/>
        <v/>
      </c>
      <c r="AA380" s="170" t="str">
        <f t="shared" si="85"/>
        <v/>
      </c>
      <c r="AB380" s="170" t="str">
        <f t="shared" si="86"/>
        <v/>
      </c>
      <c r="AC380" s="172" t="str">
        <f t="shared" si="87"/>
        <v/>
      </c>
      <c r="AE380" s="182"/>
      <c r="AF380" s="182"/>
      <c r="AG380" s="182"/>
      <c r="AH380" s="182"/>
      <c r="AI380" s="182"/>
      <c r="AJ380" s="182"/>
      <c r="AK380" s="182"/>
      <c r="AL380" s="182"/>
      <c r="AM380" s="182"/>
      <c r="AN380" s="182"/>
      <c r="AO380" s="182"/>
      <c r="AP380" s="182"/>
      <c r="AQ380" s="182"/>
      <c r="AR380" s="182"/>
      <c r="AS380" s="182"/>
    </row>
    <row r="381" spans="1:45" ht="15">
      <c r="A381" s="263"/>
      <c r="B381" s="261"/>
      <c r="C381" s="245"/>
      <c r="D381" s="193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70" t="str">
        <f t="shared" si="81"/>
        <v/>
      </c>
      <c r="U381" s="170" t="str">
        <f t="shared" si="82"/>
        <v/>
      </c>
      <c r="V381" s="170" t="str">
        <f t="shared" si="83"/>
        <v/>
      </c>
      <c r="W381" s="170" t="str">
        <f t="shared" si="84"/>
        <v/>
      </c>
      <c r="X381" s="170" t="str">
        <f t="shared" si="78"/>
        <v/>
      </c>
      <c r="Y381" s="170" t="str">
        <f t="shared" si="79"/>
        <v/>
      </c>
      <c r="Z381" s="170"/>
      <c r="AA381" s="170" t="str">
        <f t="shared" si="85"/>
        <v/>
      </c>
      <c r="AB381" s="170" t="str">
        <f t="shared" si="86"/>
        <v/>
      </c>
      <c r="AC381" s="172" t="str">
        <f t="shared" si="87"/>
        <v/>
      </c>
      <c r="AE381" s="182"/>
      <c r="AF381" s="182"/>
      <c r="AG381" s="182"/>
      <c r="AH381" s="182"/>
      <c r="AI381" s="182"/>
      <c r="AJ381" s="182"/>
      <c r="AK381" s="182"/>
      <c r="AL381" s="182"/>
      <c r="AM381" s="182"/>
      <c r="AN381" s="182"/>
      <c r="AO381" s="182"/>
      <c r="AP381" s="182"/>
      <c r="AQ381" s="182"/>
      <c r="AR381" s="182"/>
      <c r="AS381" s="182"/>
    </row>
    <row r="382" spans="1:45" ht="15">
      <c r="A382" s="263">
        <v>48</v>
      </c>
      <c r="B382" s="252"/>
      <c r="C382" s="243"/>
      <c r="D382" s="194"/>
      <c r="E382" s="169"/>
      <c r="F382" s="186"/>
      <c r="G382" s="169"/>
      <c r="H382" s="169"/>
      <c r="I382" s="186"/>
      <c r="J382" s="186"/>
      <c r="K382" s="186"/>
      <c r="L382" s="169"/>
      <c r="M382" s="169"/>
      <c r="N382" s="169"/>
      <c r="O382" s="169"/>
      <c r="P382" s="169"/>
      <c r="Q382" s="169"/>
      <c r="R382" s="169"/>
      <c r="S382" s="169"/>
      <c r="T382" s="170" t="str">
        <f t="shared" si="81"/>
        <v/>
      </c>
      <c r="U382" s="170" t="str">
        <f t="shared" si="82"/>
        <v/>
      </c>
      <c r="V382" s="170" t="str">
        <f t="shared" si="83"/>
        <v/>
      </c>
      <c r="W382" s="170" t="str">
        <f t="shared" si="84"/>
        <v/>
      </c>
      <c r="X382" s="170" t="str">
        <f t="shared" si="78"/>
        <v/>
      </c>
      <c r="Y382" s="170" t="str">
        <f t="shared" si="79"/>
        <v/>
      </c>
      <c r="Z382" s="170" t="str">
        <f t="shared" si="80"/>
        <v/>
      </c>
      <c r="AA382" s="170" t="str">
        <f t="shared" si="85"/>
        <v/>
      </c>
      <c r="AB382" s="170" t="str">
        <f t="shared" si="86"/>
        <v/>
      </c>
      <c r="AC382" s="172" t="str">
        <f t="shared" si="87"/>
        <v/>
      </c>
      <c r="AE382" s="182"/>
      <c r="AF382" s="182"/>
      <c r="AG382" s="182"/>
      <c r="AH382" s="182"/>
      <c r="AI382" s="182"/>
      <c r="AJ382" s="182"/>
      <c r="AK382" s="182"/>
      <c r="AL382" s="182"/>
      <c r="AM382" s="182"/>
      <c r="AN382" s="182"/>
      <c r="AO382" s="182"/>
      <c r="AP382" s="182"/>
      <c r="AQ382" s="182"/>
      <c r="AR382" s="182"/>
      <c r="AS382" s="182"/>
    </row>
    <row r="383" spans="1:45" ht="15">
      <c r="A383" s="263"/>
      <c r="B383" s="260"/>
      <c r="C383" s="244"/>
      <c r="D383" s="193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70" t="str">
        <f t="shared" si="81"/>
        <v/>
      </c>
      <c r="U383" s="170" t="str">
        <f t="shared" si="82"/>
        <v/>
      </c>
      <c r="V383" s="170" t="str">
        <f t="shared" si="83"/>
        <v/>
      </c>
      <c r="W383" s="170" t="str">
        <f t="shared" si="84"/>
        <v/>
      </c>
      <c r="X383" s="170" t="str">
        <f t="shared" si="78"/>
        <v/>
      </c>
      <c r="Y383" s="170" t="str">
        <f t="shared" si="79"/>
        <v/>
      </c>
      <c r="Z383" s="170" t="str">
        <f t="shared" si="80"/>
        <v/>
      </c>
      <c r="AA383" s="170" t="str">
        <f t="shared" si="85"/>
        <v/>
      </c>
      <c r="AB383" s="170" t="str">
        <f t="shared" si="86"/>
        <v/>
      </c>
      <c r="AC383" s="172" t="str">
        <f t="shared" si="87"/>
        <v/>
      </c>
      <c r="AE383" s="182"/>
      <c r="AF383" s="182"/>
      <c r="AG383" s="182"/>
      <c r="AH383" s="182"/>
      <c r="AI383" s="182"/>
      <c r="AJ383" s="182"/>
      <c r="AK383" s="182"/>
      <c r="AL383" s="182"/>
      <c r="AM383" s="182"/>
      <c r="AN383" s="182"/>
      <c r="AO383" s="182"/>
      <c r="AP383" s="182"/>
      <c r="AQ383" s="182"/>
      <c r="AR383" s="182"/>
      <c r="AS383" s="182"/>
    </row>
    <row r="384" spans="1:45" ht="15">
      <c r="A384" s="263"/>
      <c r="B384" s="260"/>
      <c r="C384" s="244"/>
      <c r="D384" s="193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70" t="str">
        <f t="shared" si="81"/>
        <v/>
      </c>
      <c r="U384" s="170" t="str">
        <f t="shared" si="82"/>
        <v/>
      </c>
      <c r="V384" s="170" t="str">
        <f t="shared" si="83"/>
        <v/>
      </c>
      <c r="W384" s="170" t="str">
        <f t="shared" si="84"/>
        <v/>
      </c>
      <c r="X384" s="170" t="str">
        <f t="shared" si="78"/>
        <v/>
      </c>
      <c r="Y384" s="170" t="str">
        <f t="shared" si="79"/>
        <v/>
      </c>
      <c r="Z384" s="170" t="str">
        <f t="shared" si="80"/>
        <v/>
      </c>
      <c r="AA384" s="170" t="str">
        <f t="shared" si="85"/>
        <v/>
      </c>
      <c r="AB384" s="170" t="str">
        <f t="shared" si="86"/>
        <v/>
      </c>
      <c r="AC384" s="172" t="str">
        <f t="shared" si="87"/>
        <v/>
      </c>
      <c r="AE384" s="182"/>
      <c r="AF384" s="182"/>
      <c r="AG384" s="182"/>
      <c r="AH384" s="182"/>
      <c r="AI384" s="182"/>
      <c r="AJ384" s="182"/>
      <c r="AK384" s="182"/>
      <c r="AL384" s="182"/>
      <c r="AM384" s="182"/>
      <c r="AN384" s="182"/>
      <c r="AO384" s="182"/>
      <c r="AP384" s="182"/>
      <c r="AQ384" s="182"/>
      <c r="AR384" s="182"/>
      <c r="AS384" s="182"/>
    </row>
    <row r="385" spans="1:45" ht="15">
      <c r="A385" s="263"/>
      <c r="B385" s="260"/>
      <c r="C385" s="244"/>
      <c r="D385" s="193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70" t="str">
        <f t="shared" si="81"/>
        <v/>
      </c>
      <c r="U385" s="170" t="str">
        <f t="shared" si="82"/>
        <v/>
      </c>
      <c r="V385" s="170" t="str">
        <f t="shared" si="83"/>
        <v/>
      </c>
      <c r="W385" s="170" t="str">
        <f t="shared" si="84"/>
        <v/>
      </c>
      <c r="X385" s="170" t="str">
        <f t="shared" si="78"/>
        <v/>
      </c>
      <c r="Y385" s="170" t="str">
        <f t="shared" si="79"/>
        <v/>
      </c>
      <c r="Z385" s="170" t="str">
        <f t="shared" si="80"/>
        <v/>
      </c>
      <c r="AA385" s="170" t="str">
        <f t="shared" si="85"/>
        <v/>
      </c>
      <c r="AB385" s="170" t="str">
        <f t="shared" si="86"/>
        <v/>
      </c>
      <c r="AC385" s="172" t="str">
        <f t="shared" si="87"/>
        <v/>
      </c>
      <c r="AE385" s="182"/>
      <c r="AF385" s="182"/>
      <c r="AG385" s="182"/>
      <c r="AH385" s="182"/>
      <c r="AI385" s="182"/>
      <c r="AJ385" s="182"/>
      <c r="AK385" s="182"/>
      <c r="AL385" s="182"/>
      <c r="AM385" s="182"/>
      <c r="AN385" s="182"/>
      <c r="AO385" s="182"/>
      <c r="AP385" s="182"/>
      <c r="AQ385" s="182"/>
      <c r="AR385" s="182"/>
      <c r="AS385" s="182"/>
    </row>
    <row r="386" spans="1:45" ht="15">
      <c r="A386" s="263"/>
      <c r="B386" s="260"/>
      <c r="C386" s="244"/>
      <c r="D386" s="193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70" t="str">
        <f t="shared" si="81"/>
        <v/>
      </c>
      <c r="U386" s="170" t="str">
        <f t="shared" si="82"/>
        <v/>
      </c>
      <c r="V386" s="170" t="str">
        <f t="shared" si="83"/>
        <v/>
      </c>
      <c r="W386" s="170" t="str">
        <f t="shared" si="84"/>
        <v/>
      </c>
      <c r="X386" s="170" t="str">
        <f t="shared" si="78"/>
        <v/>
      </c>
      <c r="Y386" s="170" t="str">
        <f t="shared" si="79"/>
        <v/>
      </c>
      <c r="Z386" s="170" t="str">
        <f t="shared" si="80"/>
        <v/>
      </c>
      <c r="AA386" s="170" t="str">
        <f t="shared" si="85"/>
        <v/>
      </c>
      <c r="AB386" s="170" t="str">
        <f t="shared" si="86"/>
        <v/>
      </c>
      <c r="AC386" s="172" t="str">
        <f t="shared" si="87"/>
        <v/>
      </c>
      <c r="AE386" s="182"/>
      <c r="AF386" s="182"/>
      <c r="AG386" s="182"/>
      <c r="AH386" s="182"/>
      <c r="AI386" s="182"/>
      <c r="AJ386" s="182"/>
      <c r="AK386" s="182"/>
      <c r="AL386" s="182"/>
      <c r="AM386" s="182"/>
      <c r="AN386" s="182"/>
      <c r="AO386" s="182"/>
      <c r="AP386" s="182"/>
      <c r="AQ386" s="182"/>
      <c r="AR386" s="182"/>
      <c r="AS386" s="182"/>
    </row>
    <row r="387" spans="1:45" ht="15">
      <c r="A387" s="263"/>
      <c r="B387" s="260"/>
      <c r="C387" s="244"/>
      <c r="D387" s="193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70" t="str">
        <f t="shared" si="81"/>
        <v/>
      </c>
      <c r="U387" s="170" t="str">
        <f t="shared" si="82"/>
        <v/>
      </c>
      <c r="V387" s="170" t="str">
        <f t="shared" si="83"/>
        <v/>
      </c>
      <c r="W387" s="170" t="str">
        <f t="shared" si="84"/>
        <v/>
      </c>
      <c r="X387" s="170" t="str">
        <f t="shared" si="78"/>
        <v/>
      </c>
      <c r="Y387" s="170" t="str">
        <f t="shared" si="79"/>
        <v/>
      </c>
      <c r="Z387" s="170" t="str">
        <f t="shared" si="80"/>
        <v/>
      </c>
      <c r="AA387" s="170" t="str">
        <f t="shared" si="85"/>
        <v/>
      </c>
      <c r="AB387" s="170" t="str">
        <f t="shared" si="86"/>
        <v/>
      </c>
      <c r="AC387" s="172" t="str">
        <f t="shared" si="87"/>
        <v/>
      </c>
      <c r="AE387" s="182"/>
      <c r="AF387" s="182"/>
      <c r="AG387" s="182"/>
      <c r="AH387" s="182"/>
      <c r="AI387" s="182"/>
      <c r="AJ387" s="182"/>
      <c r="AK387" s="182"/>
      <c r="AL387" s="182"/>
      <c r="AM387" s="182"/>
      <c r="AN387" s="182"/>
      <c r="AO387" s="182"/>
      <c r="AP387" s="182"/>
      <c r="AQ387" s="182"/>
      <c r="AR387" s="182"/>
      <c r="AS387" s="182"/>
    </row>
    <row r="388" spans="1:45" ht="15">
      <c r="A388" s="263"/>
      <c r="B388" s="260"/>
      <c r="C388" s="244"/>
      <c r="D388" s="193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70" t="str">
        <f t="shared" si="81"/>
        <v/>
      </c>
      <c r="U388" s="170" t="str">
        <f t="shared" si="82"/>
        <v/>
      </c>
      <c r="V388" s="170" t="str">
        <f t="shared" si="83"/>
        <v/>
      </c>
      <c r="W388" s="170" t="str">
        <f t="shared" si="84"/>
        <v/>
      </c>
      <c r="X388" s="170" t="str">
        <f t="shared" si="78"/>
        <v/>
      </c>
      <c r="Y388" s="170" t="str">
        <f t="shared" si="79"/>
        <v/>
      </c>
      <c r="Z388" s="170" t="str">
        <f t="shared" si="80"/>
        <v/>
      </c>
      <c r="AA388" s="170" t="str">
        <f t="shared" si="85"/>
        <v/>
      </c>
      <c r="AB388" s="170" t="str">
        <f t="shared" si="86"/>
        <v/>
      </c>
      <c r="AC388" s="172" t="str">
        <f t="shared" si="87"/>
        <v/>
      </c>
      <c r="AE388" s="182"/>
      <c r="AF388" s="182"/>
      <c r="AG388" s="182"/>
      <c r="AH388" s="182"/>
      <c r="AI388" s="182"/>
      <c r="AJ388" s="182"/>
      <c r="AK388" s="182"/>
      <c r="AL388" s="182"/>
      <c r="AM388" s="182"/>
      <c r="AN388" s="182"/>
      <c r="AO388" s="182"/>
      <c r="AP388" s="182"/>
      <c r="AQ388" s="182"/>
      <c r="AR388" s="182"/>
      <c r="AS388" s="182"/>
    </row>
    <row r="389" spans="1:45" ht="15">
      <c r="A389" s="263"/>
      <c r="B389" s="261"/>
      <c r="C389" s="245"/>
      <c r="D389" s="193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70" t="str">
        <f t="shared" si="81"/>
        <v/>
      </c>
      <c r="U389" s="170" t="str">
        <f t="shared" si="82"/>
        <v/>
      </c>
      <c r="V389" s="170" t="str">
        <f t="shared" si="83"/>
        <v/>
      </c>
      <c r="W389" s="170" t="str">
        <f t="shared" si="84"/>
        <v/>
      </c>
      <c r="X389" s="170" t="str">
        <f t="shared" si="78"/>
        <v/>
      </c>
      <c r="Y389" s="170" t="str">
        <f t="shared" si="79"/>
        <v/>
      </c>
      <c r="Z389" s="170"/>
      <c r="AA389" s="170" t="str">
        <f t="shared" si="85"/>
        <v/>
      </c>
      <c r="AB389" s="170" t="str">
        <f t="shared" si="86"/>
        <v/>
      </c>
      <c r="AC389" s="172" t="str">
        <f t="shared" si="87"/>
        <v/>
      </c>
      <c r="AE389" s="182"/>
      <c r="AF389" s="182"/>
      <c r="AG389" s="182"/>
      <c r="AH389" s="182"/>
      <c r="AI389" s="182"/>
      <c r="AJ389" s="182"/>
      <c r="AK389" s="182"/>
      <c r="AL389" s="182"/>
      <c r="AM389" s="182"/>
      <c r="AN389" s="182"/>
      <c r="AO389" s="182"/>
      <c r="AP389" s="182"/>
      <c r="AQ389" s="182"/>
      <c r="AR389" s="182"/>
      <c r="AS389" s="182"/>
    </row>
    <row r="390" spans="1:45">
      <c r="A390" s="263">
        <v>49</v>
      </c>
      <c r="B390" s="252"/>
      <c r="C390" s="243"/>
      <c r="D390" s="184"/>
      <c r="E390" s="186"/>
      <c r="F390" s="186"/>
      <c r="G390" s="186"/>
      <c r="H390" s="186"/>
      <c r="I390" s="186"/>
      <c r="J390" s="186"/>
      <c r="K390" s="169"/>
      <c r="L390" s="169"/>
      <c r="M390" s="169"/>
      <c r="N390" s="169"/>
      <c r="O390" s="169"/>
      <c r="P390" s="169"/>
      <c r="Q390" s="169"/>
      <c r="R390" s="169"/>
      <c r="S390" s="169"/>
      <c r="T390" s="170" t="str">
        <f t="shared" si="81"/>
        <v/>
      </c>
      <c r="U390" s="170" t="str">
        <f t="shared" si="82"/>
        <v/>
      </c>
      <c r="V390" s="170" t="str">
        <f t="shared" si="83"/>
        <v/>
      </c>
      <c r="W390" s="170" t="str">
        <f t="shared" si="84"/>
        <v/>
      </c>
      <c r="X390" s="170" t="str">
        <f t="shared" si="78"/>
        <v/>
      </c>
      <c r="Y390" s="170" t="str">
        <f t="shared" si="79"/>
        <v/>
      </c>
      <c r="Z390" s="171" t="str">
        <f t="shared" si="80"/>
        <v/>
      </c>
      <c r="AA390" s="170" t="str">
        <f t="shared" si="85"/>
        <v/>
      </c>
      <c r="AB390" s="170" t="str">
        <f t="shared" si="86"/>
        <v/>
      </c>
      <c r="AC390" s="172" t="str">
        <f t="shared" si="87"/>
        <v/>
      </c>
      <c r="AE390" s="182"/>
      <c r="AF390" s="182"/>
      <c r="AG390" s="182"/>
      <c r="AH390" s="182"/>
      <c r="AI390" s="182"/>
      <c r="AJ390" s="182"/>
      <c r="AK390" s="182"/>
      <c r="AL390" s="182"/>
      <c r="AM390" s="182"/>
      <c r="AN390" s="182"/>
      <c r="AO390" s="182"/>
      <c r="AP390" s="182"/>
      <c r="AQ390" s="182"/>
      <c r="AR390" s="182"/>
      <c r="AS390" s="182"/>
    </row>
    <row r="391" spans="1:45">
      <c r="A391" s="263"/>
      <c r="B391" s="260"/>
      <c r="C391" s="244"/>
      <c r="D391" s="184"/>
      <c r="E391" s="186"/>
      <c r="F391" s="186"/>
      <c r="G391" s="186"/>
      <c r="H391" s="186"/>
      <c r="I391" s="186"/>
      <c r="J391" s="186"/>
      <c r="K391" s="169"/>
      <c r="L391" s="169"/>
      <c r="M391" s="169"/>
      <c r="N391" s="169"/>
      <c r="O391" s="169"/>
      <c r="P391" s="169"/>
      <c r="Q391" s="169"/>
      <c r="R391" s="169"/>
      <c r="S391" s="169"/>
      <c r="T391" s="170" t="str">
        <f t="shared" si="81"/>
        <v/>
      </c>
      <c r="U391" s="170" t="str">
        <f t="shared" si="82"/>
        <v/>
      </c>
      <c r="V391" s="170" t="str">
        <f t="shared" si="83"/>
        <v/>
      </c>
      <c r="W391" s="170" t="str">
        <f t="shared" si="84"/>
        <v/>
      </c>
      <c r="X391" s="170" t="str">
        <f t="shared" ref="X391:X454" si="88">IF(COUNT(E391:S391)=0,"",V391-1*W391)</f>
        <v/>
      </c>
      <c r="Y391" s="170" t="str">
        <f t="shared" ref="Y391:Y454" si="89">IF(COUNT(E391:S391)=0,"",V391+1*W391)</f>
        <v/>
      </c>
      <c r="Z391" s="171" t="str">
        <f t="shared" ref="Z391:Z454" si="90">IF(COUNT(E391:S391)=0,"",SUM(IF(AND(E391&gt;X391,E391&lt;Y391),E391,0),IF(AND(F391&gt;X391,F391&lt;Y391),F391,0),IF(AND(G391&gt;X391,G391&lt;Y391),G391,0),IF(AND(H391&gt;X391,H391&lt;Y391),H391,0),IF(AND(I391&gt;X391,I391&lt;Y391),I391,0),IF(AND(J391&gt;X391,J391&lt;Y391),J391,0),IF(AND(K391&gt;X391,K391&lt;Y391),K391,0),IF(AND(L391&gt;X391,L391&lt;Y391),L391,0),IF(AND(M391&gt;X391,M391&lt;Y391),M391,0),IF(AND(N391&gt;X391,N391&lt;Y391),N391,0),IF(AND(O391&gt;X391,O391&lt;Y391),O391,0),IF(AND(P391&gt;X391,P391&lt;Y391),P391,0),IF(AND(Q391&gt;X391,Q391&lt;Y391),Q391,0),IF(AND(R391&gt;X391,R391&lt;Y391),R391,0),IF(AND(S391&gt;X391,S391&lt;Y391),S391,0))/SUM(IF(AND(E391&gt;X391,E391&lt;Y391,E391&lt;&gt;0),1,0),IF(AND(F391&gt;X391,F391&lt;Y391,F391&lt;&gt;0),1,0),IF(AND(G391&gt;X391,G391&lt;Y391,G391&lt;&gt;0),1,0),IF(AND(H391&gt;X391,H391&lt;Y391,H391&lt;&gt;0),1,0),IF(AND(I391&gt;X391,I391&lt;Y391,I391&lt;&gt;0),1,0),IF(AND(J391&gt;X391,J391&lt;Y391,J391&lt;&gt;0),1,0),IF(AND(K391&gt;X391,K391&lt;Y391,K391&lt;&gt;0),1,0),IF(AND(L391&gt;X391,L391&lt;Y391,L391&lt;&gt;0),1,0),IF(AND(M391&gt;X391,M391&lt;Y391,M391&lt;&gt;0),1,0),IF(AND(N391&gt;X391,N391&lt;Y391,N391&lt;&gt;0),1,0),IF(AND(O391&gt;X391,O391&lt;Y391,O391&lt;&gt;0),1,0),IF(AND(P391&gt;X391,P391&lt;Y391,P391&lt;&gt;0),1,0),IF(AND(Q391&gt;X391,Q391&lt;Y391,Q391&lt;&gt;0),1,0),IF(AND(R391&gt;X391,R391&lt;Y391,R391&lt;&gt;0),1,0),IF(AND(S391&gt;X391,S391&lt;Y391,S391&lt;&gt;0),1,0)))</f>
        <v/>
      </c>
      <c r="AA391" s="170" t="str">
        <f t="shared" si="85"/>
        <v/>
      </c>
      <c r="AB391" s="170" t="str">
        <f t="shared" si="86"/>
        <v/>
      </c>
      <c r="AC391" s="172" t="str">
        <f t="shared" si="87"/>
        <v/>
      </c>
      <c r="AE391" s="182"/>
      <c r="AF391" s="182"/>
      <c r="AG391" s="182"/>
      <c r="AH391" s="182"/>
      <c r="AI391" s="182"/>
      <c r="AJ391" s="182"/>
      <c r="AK391" s="182"/>
      <c r="AL391" s="182"/>
      <c r="AM391" s="182"/>
      <c r="AN391" s="182"/>
      <c r="AO391" s="182"/>
      <c r="AP391" s="182"/>
      <c r="AQ391" s="182"/>
      <c r="AR391" s="182"/>
      <c r="AS391" s="182"/>
    </row>
    <row r="392" spans="1:45" ht="15">
      <c r="A392" s="263"/>
      <c r="B392" s="260"/>
      <c r="C392" s="244"/>
      <c r="D392" s="194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70" t="str">
        <f t="shared" si="81"/>
        <v/>
      </c>
      <c r="U392" s="170" t="str">
        <f t="shared" si="82"/>
        <v/>
      </c>
      <c r="V392" s="170" t="str">
        <f t="shared" si="83"/>
        <v/>
      </c>
      <c r="W392" s="170" t="str">
        <f t="shared" si="84"/>
        <v/>
      </c>
      <c r="X392" s="170" t="str">
        <f t="shared" si="88"/>
        <v/>
      </c>
      <c r="Y392" s="170" t="str">
        <f t="shared" si="89"/>
        <v/>
      </c>
      <c r="Z392" s="171" t="str">
        <f t="shared" si="90"/>
        <v/>
      </c>
      <c r="AA392" s="170" t="str">
        <f t="shared" si="85"/>
        <v/>
      </c>
      <c r="AB392" s="170" t="str">
        <f t="shared" si="86"/>
        <v/>
      </c>
      <c r="AC392" s="172" t="str">
        <f t="shared" si="87"/>
        <v/>
      </c>
      <c r="AE392" s="182"/>
      <c r="AF392" s="182"/>
      <c r="AG392" s="182"/>
      <c r="AH392" s="182"/>
      <c r="AI392" s="182"/>
      <c r="AJ392" s="182"/>
      <c r="AK392" s="182"/>
      <c r="AL392" s="182"/>
      <c r="AM392" s="182"/>
      <c r="AN392" s="182"/>
      <c r="AO392" s="182"/>
      <c r="AP392" s="182"/>
      <c r="AQ392" s="182"/>
      <c r="AR392" s="182"/>
      <c r="AS392" s="182"/>
    </row>
    <row r="393" spans="1:45" ht="15">
      <c r="A393" s="263"/>
      <c r="B393" s="260"/>
      <c r="C393" s="244"/>
      <c r="D393" s="193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70" t="str">
        <f t="shared" si="81"/>
        <v/>
      </c>
      <c r="U393" s="170" t="str">
        <f t="shared" si="82"/>
        <v/>
      </c>
      <c r="V393" s="170" t="str">
        <f t="shared" si="83"/>
        <v/>
      </c>
      <c r="W393" s="170" t="str">
        <f t="shared" si="84"/>
        <v/>
      </c>
      <c r="X393" s="170" t="str">
        <f t="shared" si="88"/>
        <v/>
      </c>
      <c r="Y393" s="170" t="str">
        <f t="shared" si="89"/>
        <v/>
      </c>
      <c r="Z393" s="171" t="str">
        <f t="shared" si="90"/>
        <v/>
      </c>
      <c r="AA393" s="170" t="str">
        <f t="shared" si="85"/>
        <v/>
      </c>
      <c r="AB393" s="170" t="str">
        <f t="shared" si="86"/>
        <v/>
      </c>
      <c r="AC393" s="172" t="str">
        <f t="shared" si="87"/>
        <v/>
      </c>
      <c r="AE393" s="182"/>
      <c r="AF393" s="182"/>
      <c r="AG393" s="182"/>
      <c r="AH393" s="182"/>
      <c r="AI393" s="182"/>
      <c r="AJ393" s="182"/>
      <c r="AK393" s="182"/>
      <c r="AL393" s="182"/>
      <c r="AM393" s="182"/>
      <c r="AN393" s="182"/>
      <c r="AO393" s="182"/>
      <c r="AP393" s="182"/>
      <c r="AQ393" s="182"/>
      <c r="AR393" s="182"/>
      <c r="AS393" s="182"/>
    </row>
    <row r="394" spans="1:45" ht="15">
      <c r="A394" s="263"/>
      <c r="B394" s="260"/>
      <c r="C394" s="244"/>
      <c r="D394" s="193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70" t="str">
        <f t="shared" si="81"/>
        <v/>
      </c>
      <c r="U394" s="170" t="str">
        <f t="shared" si="82"/>
        <v/>
      </c>
      <c r="V394" s="170" t="str">
        <f t="shared" si="83"/>
        <v/>
      </c>
      <c r="W394" s="170" t="str">
        <f t="shared" si="84"/>
        <v/>
      </c>
      <c r="X394" s="170" t="str">
        <f t="shared" si="88"/>
        <v/>
      </c>
      <c r="Y394" s="170" t="str">
        <f t="shared" si="89"/>
        <v/>
      </c>
      <c r="Z394" s="171" t="str">
        <f t="shared" si="90"/>
        <v/>
      </c>
      <c r="AA394" s="170" t="str">
        <f t="shared" si="85"/>
        <v/>
      </c>
      <c r="AB394" s="170" t="str">
        <f t="shared" si="86"/>
        <v/>
      </c>
      <c r="AC394" s="172" t="str">
        <f t="shared" si="87"/>
        <v/>
      </c>
      <c r="AE394" s="182"/>
      <c r="AF394" s="182"/>
      <c r="AG394" s="182"/>
      <c r="AH394" s="182"/>
      <c r="AI394" s="182"/>
      <c r="AJ394" s="182"/>
      <c r="AK394" s="182"/>
      <c r="AL394" s="182"/>
      <c r="AM394" s="182"/>
      <c r="AN394" s="182"/>
      <c r="AO394" s="182"/>
      <c r="AP394" s="182"/>
      <c r="AQ394" s="182"/>
      <c r="AR394" s="182"/>
      <c r="AS394" s="182"/>
    </row>
    <row r="395" spans="1:45" ht="15">
      <c r="A395" s="263"/>
      <c r="B395" s="260"/>
      <c r="C395" s="244"/>
      <c r="D395" s="193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70" t="str">
        <f t="shared" si="81"/>
        <v/>
      </c>
      <c r="U395" s="170" t="str">
        <f t="shared" si="82"/>
        <v/>
      </c>
      <c r="V395" s="170" t="str">
        <f t="shared" si="83"/>
        <v/>
      </c>
      <c r="W395" s="170" t="str">
        <f t="shared" si="84"/>
        <v/>
      </c>
      <c r="X395" s="170" t="str">
        <f t="shared" si="88"/>
        <v/>
      </c>
      <c r="Y395" s="170" t="str">
        <f t="shared" si="89"/>
        <v/>
      </c>
      <c r="Z395" s="171" t="str">
        <f t="shared" si="90"/>
        <v/>
      </c>
      <c r="AA395" s="170" t="str">
        <f t="shared" si="85"/>
        <v/>
      </c>
      <c r="AB395" s="170" t="str">
        <f t="shared" si="86"/>
        <v/>
      </c>
      <c r="AC395" s="172" t="str">
        <f t="shared" si="87"/>
        <v/>
      </c>
      <c r="AE395" s="182"/>
      <c r="AF395" s="182"/>
      <c r="AG395" s="182"/>
      <c r="AH395" s="182"/>
      <c r="AI395" s="182"/>
      <c r="AJ395" s="182"/>
      <c r="AK395" s="182"/>
      <c r="AL395" s="182"/>
      <c r="AM395" s="182"/>
      <c r="AN395" s="182"/>
      <c r="AO395" s="182"/>
      <c r="AP395" s="182"/>
      <c r="AQ395" s="182"/>
      <c r="AR395" s="182"/>
      <c r="AS395" s="182"/>
    </row>
    <row r="396" spans="1:45" ht="15">
      <c r="A396" s="263"/>
      <c r="B396" s="260"/>
      <c r="C396" s="244"/>
      <c r="D396" s="193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70" t="str">
        <f t="shared" si="81"/>
        <v/>
      </c>
      <c r="U396" s="170" t="str">
        <f t="shared" si="82"/>
        <v/>
      </c>
      <c r="V396" s="170" t="str">
        <f t="shared" si="83"/>
        <v/>
      </c>
      <c r="W396" s="170" t="str">
        <f t="shared" si="84"/>
        <v/>
      </c>
      <c r="X396" s="170" t="str">
        <f t="shared" si="88"/>
        <v/>
      </c>
      <c r="Y396" s="170" t="str">
        <f t="shared" si="89"/>
        <v/>
      </c>
      <c r="Z396" s="171" t="str">
        <f t="shared" si="90"/>
        <v/>
      </c>
      <c r="AA396" s="170" t="str">
        <f t="shared" si="85"/>
        <v/>
      </c>
      <c r="AB396" s="170" t="str">
        <f t="shared" si="86"/>
        <v/>
      </c>
      <c r="AC396" s="172" t="str">
        <f t="shared" si="87"/>
        <v/>
      </c>
      <c r="AE396" s="182"/>
      <c r="AF396" s="182"/>
      <c r="AG396" s="182"/>
      <c r="AH396" s="182"/>
      <c r="AI396" s="182"/>
      <c r="AJ396" s="182"/>
      <c r="AK396" s="182"/>
      <c r="AL396" s="182"/>
      <c r="AM396" s="182"/>
      <c r="AN396" s="182"/>
      <c r="AO396" s="182"/>
      <c r="AP396" s="182"/>
      <c r="AQ396" s="182"/>
      <c r="AR396" s="182"/>
      <c r="AS396" s="182"/>
    </row>
    <row r="397" spans="1:45" ht="15">
      <c r="A397" s="263"/>
      <c r="B397" s="261"/>
      <c r="C397" s="245"/>
      <c r="D397" s="193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70" t="str">
        <f t="shared" si="81"/>
        <v/>
      </c>
      <c r="U397" s="170" t="str">
        <f t="shared" si="82"/>
        <v/>
      </c>
      <c r="V397" s="170" t="str">
        <f t="shared" si="83"/>
        <v/>
      </c>
      <c r="W397" s="170" t="str">
        <f t="shared" si="84"/>
        <v/>
      </c>
      <c r="X397" s="170" t="str">
        <f t="shared" si="88"/>
        <v/>
      </c>
      <c r="Y397" s="170" t="str">
        <f t="shared" si="89"/>
        <v/>
      </c>
      <c r="Z397" s="171" t="str">
        <f t="shared" si="90"/>
        <v/>
      </c>
      <c r="AA397" s="170" t="str">
        <f t="shared" si="85"/>
        <v/>
      </c>
      <c r="AB397" s="170" t="str">
        <f t="shared" si="86"/>
        <v/>
      </c>
      <c r="AC397" s="172" t="str">
        <f t="shared" si="87"/>
        <v/>
      </c>
      <c r="AE397" s="182"/>
      <c r="AF397" s="182"/>
      <c r="AG397" s="182"/>
      <c r="AH397" s="182"/>
      <c r="AI397" s="182"/>
      <c r="AJ397" s="182"/>
      <c r="AK397" s="182"/>
      <c r="AL397" s="182"/>
      <c r="AM397" s="182"/>
      <c r="AN397" s="182"/>
      <c r="AO397" s="182"/>
      <c r="AP397" s="182"/>
      <c r="AQ397" s="182"/>
      <c r="AR397" s="182"/>
      <c r="AS397" s="182"/>
    </row>
    <row r="398" spans="1:45">
      <c r="A398" s="263">
        <v>50</v>
      </c>
      <c r="B398" s="252"/>
      <c r="C398" s="243"/>
      <c r="D398" s="184"/>
      <c r="E398" s="186"/>
      <c r="F398" s="186"/>
      <c r="G398" s="186"/>
      <c r="H398" s="186"/>
      <c r="I398" s="186"/>
      <c r="J398" s="186"/>
      <c r="K398" s="169"/>
      <c r="L398" s="169"/>
      <c r="M398" s="169"/>
      <c r="N398" s="169"/>
      <c r="O398" s="169"/>
      <c r="P398" s="169"/>
      <c r="Q398" s="169"/>
      <c r="R398" s="169"/>
      <c r="S398" s="169"/>
      <c r="T398" s="170" t="str">
        <f t="shared" si="81"/>
        <v/>
      </c>
      <c r="U398" s="170" t="str">
        <f t="shared" si="82"/>
        <v/>
      </c>
      <c r="V398" s="170" t="str">
        <f t="shared" si="83"/>
        <v/>
      </c>
      <c r="W398" s="170" t="str">
        <f t="shared" si="84"/>
        <v/>
      </c>
      <c r="X398" s="170" t="str">
        <f t="shared" si="88"/>
        <v/>
      </c>
      <c r="Y398" s="170" t="str">
        <f t="shared" si="89"/>
        <v/>
      </c>
      <c r="Z398" s="171" t="str">
        <f t="shared" si="90"/>
        <v/>
      </c>
      <c r="AA398" s="170" t="str">
        <f t="shared" si="85"/>
        <v/>
      </c>
      <c r="AB398" s="170" t="str">
        <f t="shared" si="86"/>
        <v/>
      </c>
      <c r="AC398" s="172" t="str">
        <f t="shared" si="87"/>
        <v/>
      </c>
      <c r="AE398" s="182"/>
      <c r="AF398" s="182"/>
      <c r="AG398" s="182"/>
      <c r="AH398" s="182"/>
      <c r="AI398" s="182"/>
      <c r="AJ398" s="182"/>
      <c r="AK398" s="182"/>
      <c r="AL398" s="182"/>
      <c r="AM398" s="182"/>
      <c r="AN398" s="182"/>
      <c r="AO398" s="182"/>
      <c r="AP398" s="182"/>
      <c r="AQ398" s="182"/>
      <c r="AR398" s="182"/>
      <c r="AS398" s="182"/>
    </row>
    <row r="399" spans="1:45">
      <c r="A399" s="263"/>
      <c r="B399" s="260"/>
      <c r="C399" s="244"/>
      <c r="D399" s="184"/>
      <c r="E399" s="186"/>
      <c r="F399" s="186"/>
      <c r="G399" s="186"/>
      <c r="H399" s="186"/>
      <c r="I399" s="186"/>
      <c r="J399" s="186"/>
      <c r="K399" s="169"/>
      <c r="L399" s="169"/>
      <c r="M399" s="169"/>
      <c r="N399" s="169"/>
      <c r="O399" s="169"/>
      <c r="P399" s="169"/>
      <c r="Q399" s="169"/>
      <c r="R399" s="169"/>
      <c r="S399" s="169"/>
      <c r="T399" s="170" t="str">
        <f t="shared" si="81"/>
        <v/>
      </c>
      <c r="U399" s="170" t="str">
        <f t="shared" si="82"/>
        <v/>
      </c>
      <c r="V399" s="170" t="str">
        <f t="shared" si="83"/>
        <v/>
      </c>
      <c r="W399" s="170" t="str">
        <f t="shared" si="84"/>
        <v/>
      </c>
      <c r="X399" s="170" t="str">
        <f t="shared" si="88"/>
        <v/>
      </c>
      <c r="Y399" s="170" t="str">
        <f t="shared" si="89"/>
        <v/>
      </c>
      <c r="Z399" s="171" t="str">
        <f t="shared" si="90"/>
        <v/>
      </c>
      <c r="AA399" s="170" t="str">
        <f t="shared" si="85"/>
        <v/>
      </c>
      <c r="AB399" s="170" t="str">
        <f t="shared" si="86"/>
        <v/>
      </c>
      <c r="AC399" s="172" t="str">
        <f t="shared" si="87"/>
        <v/>
      </c>
      <c r="AE399" s="182"/>
      <c r="AF399" s="182"/>
      <c r="AG399" s="182"/>
      <c r="AH399" s="182"/>
      <c r="AI399" s="182"/>
      <c r="AJ399" s="182"/>
      <c r="AK399" s="182"/>
      <c r="AL399" s="182"/>
      <c r="AM399" s="182"/>
      <c r="AN399" s="182"/>
      <c r="AO399" s="182"/>
      <c r="AP399" s="182"/>
      <c r="AQ399" s="182"/>
      <c r="AR399" s="182"/>
      <c r="AS399" s="182"/>
    </row>
    <row r="400" spans="1:45" ht="15">
      <c r="A400" s="263"/>
      <c r="B400" s="260"/>
      <c r="C400" s="244"/>
      <c r="D400" s="193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70" t="str">
        <f t="shared" si="81"/>
        <v/>
      </c>
      <c r="U400" s="170" t="str">
        <f t="shared" si="82"/>
        <v/>
      </c>
      <c r="V400" s="170" t="str">
        <f t="shared" si="83"/>
        <v/>
      </c>
      <c r="W400" s="170" t="str">
        <f t="shared" si="84"/>
        <v/>
      </c>
      <c r="X400" s="170" t="str">
        <f t="shared" si="88"/>
        <v/>
      </c>
      <c r="Y400" s="170" t="str">
        <f t="shared" si="89"/>
        <v/>
      </c>
      <c r="Z400" s="171" t="str">
        <f t="shared" si="90"/>
        <v/>
      </c>
      <c r="AA400" s="170" t="str">
        <f t="shared" si="85"/>
        <v/>
      </c>
      <c r="AB400" s="170" t="str">
        <f t="shared" si="86"/>
        <v/>
      </c>
      <c r="AC400" s="172" t="str">
        <f t="shared" si="87"/>
        <v/>
      </c>
      <c r="AE400" s="182"/>
      <c r="AF400" s="182"/>
      <c r="AG400" s="182"/>
      <c r="AH400" s="182"/>
      <c r="AI400" s="182"/>
      <c r="AJ400" s="182"/>
      <c r="AK400" s="182"/>
      <c r="AL400" s="182"/>
      <c r="AM400" s="182"/>
      <c r="AN400" s="182"/>
      <c r="AO400" s="182"/>
      <c r="AP400" s="182"/>
      <c r="AQ400" s="182"/>
      <c r="AR400" s="182"/>
      <c r="AS400" s="182"/>
    </row>
    <row r="401" spans="1:45" ht="15">
      <c r="A401" s="263"/>
      <c r="B401" s="260"/>
      <c r="C401" s="244"/>
      <c r="D401" s="193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70" t="str">
        <f t="shared" si="81"/>
        <v/>
      </c>
      <c r="U401" s="170" t="str">
        <f t="shared" si="82"/>
        <v/>
      </c>
      <c r="V401" s="170" t="str">
        <f t="shared" si="83"/>
        <v/>
      </c>
      <c r="W401" s="170" t="str">
        <f t="shared" si="84"/>
        <v/>
      </c>
      <c r="X401" s="170" t="str">
        <f t="shared" si="88"/>
        <v/>
      </c>
      <c r="Y401" s="170" t="str">
        <f t="shared" si="89"/>
        <v/>
      </c>
      <c r="Z401" s="171" t="str">
        <f t="shared" si="90"/>
        <v/>
      </c>
      <c r="AA401" s="170" t="str">
        <f t="shared" si="85"/>
        <v/>
      </c>
      <c r="AB401" s="170" t="str">
        <f t="shared" si="86"/>
        <v/>
      </c>
      <c r="AC401" s="172" t="str">
        <f t="shared" si="87"/>
        <v/>
      </c>
      <c r="AE401" s="182"/>
      <c r="AF401" s="182"/>
      <c r="AG401" s="182"/>
      <c r="AH401" s="182"/>
      <c r="AI401" s="182"/>
      <c r="AJ401" s="182"/>
      <c r="AK401" s="182"/>
      <c r="AL401" s="182"/>
      <c r="AM401" s="182"/>
      <c r="AN401" s="182"/>
      <c r="AO401" s="182"/>
      <c r="AP401" s="182"/>
      <c r="AQ401" s="182"/>
      <c r="AR401" s="182"/>
      <c r="AS401" s="182"/>
    </row>
    <row r="402" spans="1:45" ht="15">
      <c r="A402" s="263"/>
      <c r="B402" s="260"/>
      <c r="C402" s="244"/>
      <c r="D402" s="193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70" t="str">
        <f t="shared" si="81"/>
        <v/>
      </c>
      <c r="U402" s="170" t="str">
        <f t="shared" si="82"/>
        <v/>
      </c>
      <c r="V402" s="170" t="str">
        <f t="shared" si="83"/>
        <v/>
      </c>
      <c r="W402" s="170" t="str">
        <f t="shared" si="84"/>
        <v/>
      </c>
      <c r="X402" s="170" t="str">
        <f t="shared" si="88"/>
        <v/>
      </c>
      <c r="Y402" s="170" t="str">
        <f t="shared" si="89"/>
        <v/>
      </c>
      <c r="Z402" s="171" t="str">
        <f t="shared" si="90"/>
        <v/>
      </c>
      <c r="AA402" s="170" t="str">
        <f t="shared" si="85"/>
        <v/>
      </c>
      <c r="AB402" s="170" t="str">
        <f t="shared" si="86"/>
        <v/>
      </c>
      <c r="AC402" s="172" t="str">
        <f t="shared" si="87"/>
        <v/>
      </c>
      <c r="AE402" s="182"/>
      <c r="AF402" s="182"/>
      <c r="AG402" s="182"/>
      <c r="AH402" s="182"/>
      <c r="AI402" s="182"/>
      <c r="AJ402" s="182"/>
      <c r="AK402" s="182"/>
      <c r="AL402" s="182"/>
      <c r="AM402" s="182"/>
      <c r="AN402" s="182"/>
      <c r="AO402" s="182"/>
      <c r="AP402" s="182"/>
      <c r="AQ402" s="182"/>
      <c r="AR402" s="182"/>
      <c r="AS402" s="182"/>
    </row>
    <row r="403" spans="1:45" ht="15">
      <c r="A403" s="263"/>
      <c r="B403" s="260"/>
      <c r="C403" s="244"/>
      <c r="D403" s="193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70" t="str">
        <f t="shared" si="81"/>
        <v/>
      </c>
      <c r="U403" s="170" t="str">
        <f t="shared" si="82"/>
        <v/>
      </c>
      <c r="V403" s="170" t="str">
        <f t="shared" si="83"/>
        <v/>
      </c>
      <c r="W403" s="170" t="str">
        <f t="shared" si="84"/>
        <v/>
      </c>
      <c r="X403" s="170" t="str">
        <f t="shared" si="88"/>
        <v/>
      </c>
      <c r="Y403" s="170" t="str">
        <f t="shared" si="89"/>
        <v/>
      </c>
      <c r="Z403" s="171" t="str">
        <f t="shared" si="90"/>
        <v/>
      </c>
      <c r="AA403" s="170" t="str">
        <f t="shared" si="85"/>
        <v/>
      </c>
      <c r="AB403" s="170" t="str">
        <f t="shared" si="86"/>
        <v/>
      </c>
      <c r="AC403" s="172" t="str">
        <f t="shared" si="87"/>
        <v/>
      </c>
      <c r="AE403" s="182"/>
      <c r="AF403" s="182"/>
      <c r="AG403" s="182"/>
      <c r="AH403" s="182"/>
      <c r="AI403" s="182"/>
      <c r="AJ403" s="182"/>
      <c r="AK403" s="182"/>
      <c r="AL403" s="182"/>
      <c r="AM403" s="182"/>
      <c r="AN403" s="182"/>
      <c r="AO403" s="182"/>
      <c r="AP403" s="182"/>
      <c r="AQ403" s="182"/>
      <c r="AR403" s="182"/>
      <c r="AS403" s="182"/>
    </row>
    <row r="404" spans="1:45" ht="15">
      <c r="A404" s="263"/>
      <c r="B404" s="260"/>
      <c r="C404" s="244"/>
      <c r="D404" s="193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70" t="str">
        <f t="shared" si="81"/>
        <v/>
      </c>
      <c r="U404" s="170" t="str">
        <f t="shared" si="82"/>
        <v/>
      </c>
      <c r="V404" s="170" t="str">
        <f t="shared" si="83"/>
        <v/>
      </c>
      <c r="W404" s="170" t="str">
        <f t="shared" si="84"/>
        <v/>
      </c>
      <c r="X404" s="170" t="str">
        <f t="shared" si="88"/>
        <v/>
      </c>
      <c r="Y404" s="170" t="str">
        <f t="shared" si="89"/>
        <v/>
      </c>
      <c r="Z404" s="171" t="str">
        <f t="shared" si="90"/>
        <v/>
      </c>
      <c r="AA404" s="170" t="str">
        <f t="shared" si="85"/>
        <v/>
      </c>
      <c r="AB404" s="170" t="str">
        <f t="shared" si="86"/>
        <v/>
      </c>
      <c r="AC404" s="172" t="str">
        <f t="shared" si="87"/>
        <v/>
      </c>
      <c r="AE404" s="182"/>
      <c r="AF404" s="182"/>
      <c r="AG404" s="182"/>
      <c r="AH404" s="182"/>
      <c r="AI404" s="182"/>
      <c r="AJ404" s="182"/>
      <c r="AK404" s="182"/>
      <c r="AL404" s="182"/>
      <c r="AM404" s="182"/>
      <c r="AN404" s="182"/>
      <c r="AO404" s="182"/>
      <c r="AP404" s="182"/>
      <c r="AQ404" s="182"/>
      <c r="AR404" s="182"/>
      <c r="AS404" s="182"/>
    </row>
    <row r="405" spans="1:45" ht="15">
      <c r="A405" s="263"/>
      <c r="B405" s="261"/>
      <c r="C405" s="245"/>
      <c r="D405" s="193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70" t="str">
        <f t="shared" si="81"/>
        <v/>
      </c>
      <c r="U405" s="170" t="str">
        <f t="shared" si="82"/>
        <v/>
      </c>
      <c r="V405" s="170" t="str">
        <f t="shared" si="83"/>
        <v/>
      </c>
      <c r="W405" s="170" t="str">
        <f t="shared" si="84"/>
        <v/>
      </c>
      <c r="X405" s="170" t="str">
        <f t="shared" si="88"/>
        <v/>
      </c>
      <c r="Y405" s="170" t="str">
        <f t="shared" si="89"/>
        <v/>
      </c>
      <c r="Z405" s="171" t="str">
        <f t="shared" si="90"/>
        <v/>
      </c>
      <c r="AA405" s="170" t="str">
        <f t="shared" si="85"/>
        <v/>
      </c>
      <c r="AB405" s="170" t="str">
        <f t="shared" si="86"/>
        <v/>
      </c>
      <c r="AC405" s="172" t="str">
        <f t="shared" si="87"/>
        <v/>
      </c>
      <c r="AE405" s="182"/>
      <c r="AF405" s="182"/>
      <c r="AG405" s="182"/>
      <c r="AH405" s="182"/>
      <c r="AI405" s="182"/>
      <c r="AJ405" s="182"/>
      <c r="AK405" s="182"/>
      <c r="AL405" s="182"/>
      <c r="AM405" s="182"/>
      <c r="AN405" s="182"/>
      <c r="AO405" s="182"/>
      <c r="AP405" s="182"/>
      <c r="AQ405" s="182"/>
      <c r="AR405" s="182"/>
      <c r="AS405" s="182"/>
    </row>
    <row r="406" spans="1:45" ht="15" customHeight="1">
      <c r="A406" s="263">
        <v>51</v>
      </c>
      <c r="B406" s="252"/>
      <c r="C406" s="243"/>
      <c r="D406" s="195"/>
      <c r="E406" s="196"/>
      <c r="F406" s="196"/>
      <c r="G406" s="196"/>
      <c r="H406" s="196"/>
      <c r="I406" s="196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70" t="str">
        <f t="shared" ref="T406:T469" si="91">IF(COUNT(E406:S406)=0,"",SUM(E406:S406))</f>
        <v/>
      </c>
      <c r="U406" s="170" t="str">
        <f t="shared" ref="U406:U469" si="92">IF(COUNT(E406:S406)=0,"",SUMSQ(E406:S406))</f>
        <v/>
      </c>
      <c r="V406" s="170" t="str">
        <f t="shared" ref="V406:V469" si="93">IF(COUNT(E406:S406)=0,"",AVERAGE(E406:S406))</f>
        <v/>
      </c>
      <c r="W406" s="170" t="str">
        <f t="shared" ref="W406:W469" si="94">IF(COUNT(E406:S406)=0,"",STDEVP(E406:S406))</f>
        <v/>
      </c>
      <c r="X406" s="170" t="str">
        <f t="shared" si="88"/>
        <v/>
      </c>
      <c r="Y406" s="170" t="str">
        <f t="shared" si="89"/>
        <v/>
      </c>
      <c r="Z406" s="171" t="str">
        <f t="shared" si="90"/>
        <v/>
      </c>
      <c r="AA406" s="170" t="str">
        <f t="shared" ref="AA406:AA469" si="95">IF(COUNT(E406:S406)=0,"",SUM(IF(AND(E406&gt;X406,E406&lt;Y406),E406,0),IF(AND(F406&gt;X406,F406&lt;Y406),F406,0),IF(AND(G406&gt;X406,G406&lt;Y406),G406,0),IF(AND(H406&gt;X406,H406&lt;Y406),H406,0),IF(AND(I406&gt;X406,I406&lt;Y406),I406,0),IF(AND(J406&gt;X406,J406&lt;Y406),J406,0),IF(AND(K406&gt;X406,K406&lt;Y406),K406,0),IF(AND(L406&gt;X406,L406&lt;Y406),L406,0),IF(AND(M406&gt;X406,M406&lt;Y406),M406,0),IF(AND(N406&gt;X406,N406&lt;Y406),N406,0),IF(AND(O406&gt;X406,O406&lt;Y406),O406,0),IF(AND(P406&gt;X406,P406&lt;Y406),P406,0),IF(AND(Q406&gt;X406,Q406&lt;Y406),Q406,0),IF(AND(R406&gt;X406,R406&lt;Y406),R406,0),IF(AND(S406&gt;X406,S406&lt;Y406),S406,0)))</f>
        <v/>
      </c>
      <c r="AB406" s="170" t="str">
        <f t="shared" ref="AB406:AB469" si="96">IF(COUNT(E406:S406)=0,"",SUMSQ(IF(AND(E406&gt;X406,E406&lt;Y406),E406,0),IF(AND(F406&gt;X406,F406&lt;Y406),F406,0),IF(AND(G406&gt;X406,G406&lt;Y406),G406,0),IF(AND(H406&gt;X406,H406&lt;Y406),H406,0),IF(AND(I406&gt;X406,I406&lt;Y406),I406,0),IF(AND(J406&gt;X406,J406&lt;Y406),J406,0),IF(AND(K406&gt;X406,K406&lt;Y406),K406,0),IF(AND(L406&gt;X406,L406&lt;Y406),L406,0),IF(AND(M406&gt;X406,M406&lt;Y406),M406,0),IF(AND(N406&gt;X406,N406&lt;Y406),N406,0),IF(AND(O406&gt;X406,O406&lt;Y406),O406,0),IF(AND(P406&gt;X406,P406&lt;Y406),P406,0),IF(AND(Q406&gt;X406,Q406&lt;Y406),Q406,0),IF(AND(R406&gt;X406,R406&lt;Y406),R406,0),IF(AND(S406&gt;X406,S406&lt;Y406),S406,0)))</f>
        <v/>
      </c>
      <c r="AC406" s="172" t="str">
        <f t="shared" ref="AC406:AC469" si="97">IF(COUNT(E406:S406)=0,"",POWER(40*SQRT(SUM(IF(AND(E406&gt;X406,E406&lt;Y406),1,0),IF(AND(F406&gt;X406,F406&lt;Y406),1,0),IF(AND(G406&gt;X406,G406&lt;Y406),1,0),IF(AND(H406&gt;X406,H406&lt;Y406),1,0),IF(AND(I406&gt;X406,I406&lt;Y406),1,0),IF(AND(J406&gt;X406,J406&lt;Y406),1,0),IF(AND(K406&gt;X406,K406&lt;Y406),1,0),IF(AND(L406&gt;X406,L406&lt;Y406),1,0),IF(AND(M406&gt;X406,M406&lt;Y406),1,0),IF(AND(N406&gt;X406,N406&lt;Y406),1,0),IF(AND(O406&gt;X406,O406&lt;Y406),1,0),IF(AND(P406&gt;X406,P406&lt;Y406),1,0),IF(AND(Q406&gt;X406,Q406&lt;Y406),1,0),IF(AND(R406&gt;X406,R406&lt;Y406),1,0),IF(AND(S406&gt;X406,S406&lt;Y406),1,0))*AB406-POWER(AA406,2))/AA406,2))</f>
        <v/>
      </c>
      <c r="AE406" s="182"/>
      <c r="AF406" s="182"/>
      <c r="AG406" s="182"/>
      <c r="AH406" s="182"/>
      <c r="AI406" s="182"/>
      <c r="AJ406" s="182"/>
      <c r="AK406" s="182"/>
      <c r="AL406" s="182"/>
      <c r="AM406" s="182"/>
      <c r="AN406" s="182"/>
      <c r="AO406" s="182"/>
      <c r="AP406" s="182"/>
      <c r="AQ406" s="182"/>
      <c r="AR406" s="182"/>
      <c r="AS406" s="182"/>
    </row>
    <row r="407" spans="1:45" ht="15">
      <c r="A407" s="263"/>
      <c r="B407" s="260"/>
      <c r="C407" s="244"/>
      <c r="D407" s="195"/>
      <c r="E407" s="196"/>
      <c r="F407" s="196"/>
      <c r="G407" s="196"/>
      <c r="H407" s="196"/>
      <c r="I407" s="196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70" t="str">
        <f t="shared" si="91"/>
        <v/>
      </c>
      <c r="U407" s="170" t="str">
        <f t="shared" si="92"/>
        <v/>
      </c>
      <c r="V407" s="170" t="str">
        <f t="shared" si="93"/>
        <v/>
      </c>
      <c r="W407" s="170" t="str">
        <f t="shared" si="94"/>
        <v/>
      </c>
      <c r="X407" s="170" t="str">
        <f t="shared" si="88"/>
        <v/>
      </c>
      <c r="Y407" s="170" t="str">
        <f t="shared" si="89"/>
        <v/>
      </c>
      <c r="Z407" s="171" t="str">
        <f t="shared" si="90"/>
        <v/>
      </c>
      <c r="AA407" s="170" t="str">
        <f t="shared" si="95"/>
        <v/>
      </c>
      <c r="AB407" s="170" t="str">
        <f t="shared" si="96"/>
        <v/>
      </c>
      <c r="AC407" s="172" t="str">
        <f t="shared" si="97"/>
        <v/>
      </c>
      <c r="AE407" s="182"/>
      <c r="AF407" s="182"/>
      <c r="AG407" s="182"/>
      <c r="AH407" s="182"/>
      <c r="AI407" s="182"/>
      <c r="AJ407" s="182"/>
      <c r="AK407" s="182"/>
      <c r="AL407" s="182"/>
      <c r="AM407" s="182"/>
      <c r="AN407" s="182"/>
      <c r="AO407" s="182"/>
      <c r="AP407" s="182"/>
      <c r="AQ407" s="182"/>
      <c r="AR407" s="182"/>
      <c r="AS407" s="182"/>
    </row>
    <row r="408" spans="1:45" ht="15">
      <c r="A408" s="263"/>
      <c r="B408" s="260"/>
      <c r="C408" s="244"/>
      <c r="D408" s="193"/>
      <c r="E408" s="186"/>
      <c r="F408" s="186"/>
      <c r="G408" s="186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70" t="str">
        <f t="shared" si="91"/>
        <v/>
      </c>
      <c r="U408" s="170" t="str">
        <f t="shared" si="92"/>
        <v/>
      </c>
      <c r="V408" s="170" t="str">
        <f t="shared" si="93"/>
        <v/>
      </c>
      <c r="W408" s="170" t="str">
        <f t="shared" si="94"/>
        <v/>
      </c>
      <c r="X408" s="170" t="str">
        <f t="shared" si="88"/>
        <v/>
      </c>
      <c r="Y408" s="170" t="str">
        <f t="shared" si="89"/>
        <v/>
      </c>
      <c r="Z408" s="171" t="str">
        <f t="shared" si="90"/>
        <v/>
      </c>
      <c r="AA408" s="170" t="str">
        <f t="shared" si="95"/>
        <v/>
      </c>
      <c r="AB408" s="170" t="str">
        <f t="shared" si="96"/>
        <v/>
      </c>
      <c r="AC408" s="172" t="str">
        <f t="shared" si="97"/>
        <v/>
      </c>
      <c r="AE408" s="182"/>
      <c r="AF408" s="182"/>
      <c r="AG408" s="182"/>
      <c r="AH408" s="182"/>
      <c r="AI408" s="182"/>
      <c r="AJ408" s="182"/>
      <c r="AK408" s="182"/>
      <c r="AL408" s="182"/>
      <c r="AM408" s="182"/>
      <c r="AN408" s="182"/>
      <c r="AO408" s="182"/>
      <c r="AP408" s="182"/>
      <c r="AQ408" s="182"/>
      <c r="AR408" s="182"/>
      <c r="AS408" s="182"/>
    </row>
    <row r="409" spans="1:45" ht="15">
      <c r="A409" s="263"/>
      <c r="B409" s="260"/>
      <c r="C409" s="244"/>
      <c r="D409" s="193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70" t="str">
        <f t="shared" si="91"/>
        <v/>
      </c>
      <c r="U409" s="170" t="str">
        <f t="shared" si="92"/>
        <v/>
      </c>
      <c r="V409" s="170" t="str">
        <f t="shared" si="93"/>
        <v/>
      </c>
      <c r="W409" s="170" t="str">
        <f t="shared" si="94"/>
        <v/>
      </c>
      <c r="X409" s="170" t="str">
        <f t="shared" si="88"/>
        <v/>
      </c>
      <c r="Y409" s="170" t="str">
        <f t="shared" si="89"/>
        <v/>
      </c>
      <c r="Z409" s="171" t="str">
        <f t="shared" si="90"/>
        <v/>
      </c>
      <c r="AA409" s="170" t="str">
        <f t="shared" si="95"/>
        <v/>
      </c>
      <c r="AB409" s="170" t="str">
        <f t="shared" si="96"/>
        <v/>
      </c>
      <c r="AC409" s="172" t="str">
        <f t="shared" si="97"/>
        <v/>
      </c>
      <c r="AE409" s="182"/>
      <c r="AF409" s="182"/>
      <c r="AG409" s="182"/>
      <c r="AH409" s="182"/>
      <c r="AI409" s="182"/>
      <c r="AJ409" s="182"/>
      <c r="AK409" s="182"/>
      <c r="AL409" s="182"/>
      <c r="AM409" s="182"/>
      <c r="AN409" s="182"/>
      <c r="AO409" s="182"/>
      <c r="AP409" s="182"/>
      <c r="AQ409" s="182"/>
      <c r="AR409" s="182"/>
      <c r="AS409" s="182"/>
    </row>
    <row r="410" spans="1:45" ht="15">
      <c r="A410" s="263"/>
      <c r="B410" s="260"/>
      <c r="C410" s="244"/>
      <c r="D410" s="193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70" t="str">
        <f t="shared" si="91"/>
        <v/>
      </c>
      <c r="U410" s="170" t="str">
        <f t="shared" si="92"/>
        <v/>
      </c>
      <c r="V410" s="170" t="str">
        <f t="shared" si="93"/>
        <v/>
      </c>
      <c r="W410" s="170" t="str">
        <f t="shared" si="94"/>
        <v/>
      </c>
      <c r="X410" s="170" t="str">
        <f t="shared" si="88"/>
        <v/>
      </c>
      <c r="Y410" s="170" t="str">
        <f t="shared" si="89"/>
        <v/>
      </c>
      <c r="Z410" s="171" t="str">
        <f t="shared" si="90"/>
        <v/>
      </c>
      <c r="AA410" s="170" t="str">
        <f t="shared" si="95"/>
        <v/>
      </c>
      <c r="AB410" s="170" t="str">
        <f t="shared" si="96"/>
        <v/>
      </c>
      <c r="AC410" s="172" t="str">
        <f t="shared" si="97"/>
        <v/>
      </c>
      <c r="AE410" s="182"/>
      <c r="AF410" s="182"/>
      <c r="AG410" s="182"/>
      <c r="AH410" s="182"/>
      <c r="AI410" s="182"/>
      <c r="AJ410" s="182"/>
      <c r="AK410" s="182"/>
      <c r="AL410" s="182"/>
      <c r="AM410" s="182"/>
      <c r="AN410" s="182"/>
      <c r="AO410" s="182"/>
      <c r="AP410" s="182"/>
      <c r="AQ410" s="182"/>
      <c r="AR410" s="182"/>
      <c r="AS410" s="182"/>
    </row>
    <row r="411" spans="1:45" ht="15">
      <c r="A411" s="263"/>
      <c r="B411" s="260"/>
      <c r="C411" s="244"/>
      <c r="D411" s="193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70" t="str">
        <f t="shared" si="91"/>
        <v/>
      </c>
      <c r="U411" s="170" t="str">
        <f t="shared" si="92"/>
        <v/>
      </c>
      <c r="V411" s="170" t="str">
        <f t="shared" si="93"/>
        <v/>
      </c>
      <c r="W411" s="170" t="str">
        <f t="shared" si="94"/>
        <v/>
      </c>
      <c r="X411" s="170" t="str">
        <f t="shared" si="88"/>
        <v/>
      </c>
      <c r="Y411" s="170" t="str">
        <f t="shared" si="89"/>
        <v/>
      </c>
      <c r="Z411" s="171" t="str">
        <f t="shared" si="90"/>
        <v/>
      </c>
      <c r="AA411" s="170" t="str">
        <f t="shared" si="95"/>
        <v/>
      </c>
      <c r="AB411" s="170" t="str">
        <f t="shared" si="96"/>
        <v/>
      </c>
      <c r="AC411" s="172" t="str">
        <f t="shared" si="97"/>
        <v/>
      </c>
      <c r="AE411" s="182"/>
      <c r="AF411" s="182"/>
      <c r="AG411" s="182"/>
      <c r="AH411" s="182"/>
      <c r="AI411" s="182"/>
      <c r="AJ411" s="182"/>
      <c r="AK411" s="182"/>
      <c r="AL411" s="182"/>
      <c r="AM411" s="182"/>
      <c r="AN411" s="182"/>
      <c r="AO411" s="182"/>
      <c r="AP411" s="182"/>
      <c r="AQ411" s="182"/>
      <c r="AR411" s="182"/>
      <c r="AS411" s="182"/>
    </row>
    <row r="412" spans="1:45" ht="15">
      <c r="A412" s="263"/>
      <c r="B412" s="260"/>
      <c r="C412" s="244"/>
      <c r="D412" s="193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70" t="str">
        <f t="shared" si="91"/>
        <v/>
      </c>
      <c r="U412" s="170" t="str">
        <f t="shared" si="92"/>
        <v/>
      </c>
      <c r="V412" s="170" t="str">
        <f t="shared" si="93"/>
        <v/>
      </c>
      <c r="W412" s="170" t="str">
        <f t="shared" si="94"/>
        <v/>
      </c>
      <c r="X412" s="170" t="str">
        <f t="shared" si="88"/>
        <v/>
      </c>
      <c r="Y412" s="170" t="str">
        <f t="shared" si="89"/>
        <v/>
      </c>
      <c r="Z412" s="171" t="str">
        <f t="shared" si="90"/>
        <v/>
      </c>
      <c r="AA412" s="170" t="str">
        <f t="shared" si="95"/>
        <v/>
      </c>
      <c r="AB412" s="170" t="str">
        <f t="shared" si="96"/>
        <v/>
      </c>
      <c r="AC412" s="172" t="str">
        <f t="shared" si="97"/>
        <v/>
      </c>
      <c r="AE412" s="182"/>
      <c r="AF412" s="182"/>
      <c r="AG412" s="182"/>
      <c r="AH412" s="182"/>
      <c r="AI412" s="182"/>
      <c r="AJ412" s="182"/>
      <c r="AK412" s="182"/>
      <c r="AL412" s="182"/>
      <c r="AM412" s="182"/>
      <c r="AN412" s="182"/>
      <c r="AO412" s="182"/>
      <c r="AP412" s="182"/>
      <c r="AQ412" s="182"/>
      <c r="AR412" s="182"/>
      <c r="AS412" s="182"/>
    </row>
    <row r="413" spans="1:45" ht="15">
      <c r="A413" s="263"/>
      <c r="B413" s="261"/>
      <c r="C413" s="245"/>
      <c r="D413" s="193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70" t="str">
        <f t="shared" si="91"/>
        <v/>
      </c>
      <c r="U413" s="170" t="str">
        <f t="shared" si="92"/>
        <v/>
      </c>
      <c r="V413" s="170" t="str">
        <f t="shared" si="93"/>
        <v/>
      </c>
      <c r="W413" s="170" t="str">
        <f t="shared" si="94"/>
        <v/>
      </c>
      <c r="X413" s="170" t="str">
        <f t="shared" si="88"/>
        <v/>
      </c>
      <c r="Y413" s="170" t="str">
        <f t="shared" si="89"/>
        <v/>
      </c>
      <c r="Z413" s="171" t="str">
        <f t="shared" si="90"/>
        <v/>
      </c>
      <c r="AA413" s="170" t="str">
        <f t="shared" si="95"/>
        <v/>
      </c>
      <c r="AB413" s="170" t="str">
        <f t="shared" si="96"/>
        <v/>
      </c>
      <c r="AC413" s="172" t="str">
        <f t="shared" si="97"/>
        <v/>
      </c>
      <c r="AE413" s="182"/>
      <c r="AF413" s="182"/>
      <c r="AG413" s="182"/>
      <c r="AH413" s="182"/>
      <c r="AI413" s="182"/>
      <c r="AJ413" s="182"/>
      <c r="AK413" s="182"/>
      <c r="AL413" s="182"/>
      <c r="AM413" s="182"/>
      <c r="AN413" s="182"/>
      <c r="AO413" s="182"/>
      <c r="AP413" s="182"/>
      <c r="AQ413" s="182"/>
      <c r="AR413" s="182"/>
      <c r="AS413" s="182"/>
    </row>
    <row r="414" spans="1:45">
      <c r="A414" s="263">
        <v>52</v>
      </c>
      <c r="B414" s="252"/>
      <c r="C414" s="243"/>
      <c r="D414" s="184"/>
      <c r="E414" s="186"/>
      <c r="F414" s="186"/>
      <c r="G414" s="186"/>
      <c r="H414" s="186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70" t="str">
        <f t="shared" si="91"/>
        <v/>
      </c>
      <c r="U414" s="170" t="str">
        <f t="shared" si="92"/>
        <v/>
      </c>
      <c r="V414" s="170" t="str">
        <f t="shared" si="93"/>
        <v/>
      </c>
      <c r="W414" s="170" t="str">
        <f t="shared" si="94"/>
        <v/>
      </c>
      <c r="X414" s="170" t="str">
        <f t="shared" si="88"/>
        <v/>
      </c>
      <c r="Y414" s="170" t="str">
        <f t="shared" si="89"/>
        <v/>
      </c>
      <c r="Z414" s="171" t="str">
        <f t="shared" si="90"/>
        <v/>
      </c>
      <c r="AA414" s="170" t="str">
        <f t="shared" si="95"/>
        <v/>
      </c>
      <c r="AB414" s="170" t="str">
        <f t="shared" si="96"/>
        <v/>
      </c>
      <c r="AC414" s="172" t="str">
        <f t="shared" si="97"/>
        <v/>
      </c>
      <c r="AE414" s="182"/>
      <c r="AF414" s="182"/>
      <c r="AG414" s="182"/>
      <c r="AH414" s="182"/>
      <c r="AI414" s="182"/>
      <c r="AJ414" s="182"/>
      <c r="AK414" s="182"/>
      <c r="AL414" s="182"/>
      <c r="AM414" s="182"/>
      <c r="AN414" s="182"/>
      <c r="AO414" s="182"/>
      <c r="AP414" s="182"/>
      <c r="AQ414" s="182"/>
      <c r="AR414" s="182"/>
      <c r="AS414" s="182"/>
    </row>
    <row r="415" spans="1:45">
      <c r="A415" s="263"/>
      <c r="B415" s="260"/>
      <c r="C415" s="244"/>
      <c r="D415" s="184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70" t="str">
        <f t="shared" si="91"/>
        <v/>
      </c>
      <c r="U415" s="170" t="str">
        <f t="shared" si="92"/>
        <v/>
      </c>
      <c r="V415" s="170" t="str">
        <f t="shared" si="93"/>
        <v/>
      </c>
      <c r="W415" s="170" t="str">
        <f t="shared" si="94"/>
        <v/>
      </c>
      <c r="X415" s="170" t="str">
        <f t="shared" si="88"/>
        <v/>
      </c>
      <c r="Y415" s="170" t="str">
        <f t="shared" si="89"/>
        <v/>
      </c>
      <c r="Z415" s="171" t="str">
        <f t="shared" si="90"/>
        <v/>
      </c>
      <c r="AA415" s="170" t="str">
        <f t="shared" si="95"/>
        <v/>
      </c>
      <c r="AB415" s="170" t="str">
        <f t="shared" si="96"/>
        <v/>
      </c>
      <c r="AC415" s="172" t="str">
        <f t="shared" si="97"/>
        <v/>
      </c>
      <c r="AE415" s="182"/>
      <c r="AF415" s="182"/>
      <c r="AG415" s="182"/>
      <c r="AH415" s="182"/>
      <c r="AI415" s="182"/>
      <c r="AJ415" s="182"/>
      <c r="AK415" s="182"/>
      <c r="AL415" s="182"/>
      <c r="AM415" s="182"/>
      <c r="AN415" s="182"/>
      <c r="AO415" s="182"/>
      <c r="AP415" s="182"/>
      <c r="AQ415" s="182"/>
      <c r="AR415" s="182"/>
      <c r="AS415" s="182"/>
    </row>
    <row r="416" spans="1:45" ht="15">
      <c r="A416" s="263"/>
      <c r="B416" s="260"/>
      <c r="C416" s="244"/>
      <c r="D416" s="193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70" t="str">
        <f t="shared" si="91"/>
        <v/>
      </c>
      <c r="U416" s="170" t="str">
        <f t="shared" si="92"/>
        <v/>
      </c>
      <c r="V416" s="170" t="str">
        <f t="shared" si="93"/>
        <v/>
      </c>
      <c r="W416" s="170" t="str">
        <f t="shared" si="94"/>
        <v/>
      </c>
      <c r="X416" s="170" t="str">
        <f t="shared" si="88"/>
        <v/>
      </c>
      <c r="Y416" s="170" t="str">
        <f t="shared" si="89"/>
        <v/>
      </c>
      <c r="Z416" s="171" t="str">
        <f t="shared" si="90"/>
        <v/>
      </c>
      <c r="AA416" s="170" t="str">
        <f t="shared" si="95"/>
        <v/>
      </c>
      <c r="AB416" s="170" t="str">
        <f t="shared" si="96"/>
        <v/>
      </c>
      <c r="AC416" s="172" t="str">
        <f t="shared" si="97"/>
        <v/>
      </c>
      <c r="AE416" s="182"/>
      <c r="AF416" s="182"/>
      <c r="AG416" s="182"/>
      <c r="AH416" s="182"/>
      <c r="AI416" s="182"/>
      <c r="AJ416" s="182"/>
      <c r="AK416" s="182"/>
      <c r="AL416" s="182"/>
      <c r="AM416" s="182"/>
      <c r="AN416" s="182"/>
      <c r="AO416" s="182"/>
      <c r="AP416" s="182"/>
      <c r="AQ416" s="182"/>
      <c r="AR416" s="182"/>
      <c r="AS416" s="182"/>
    </row>
    <row r="417" spans="1:45" ht="15">
      <c r="A417" s="263"/>
      <c r="B417" s="260"/>
      <c r="C417" s="244"/>
      <c r="D417" s="193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70" t="str">
        <f t="shared" si="91"/>
        <v/>
      </c>
      <c r="U417" s="170" t="str">
        <f t="shared" si="92"/>
        <v/>
      </c>
      <c r="V417" s="170" t="str">
        <f t="shared" si="93"/>
        <v/>
      </c>
      <c r="W417" s="170" t="str">
        <f t="shared" si="94"/>
        <v/>
      </c>
      <c r="X417" s="170" t="str">
        <f t="shared" si="88"/>
        <v/>
      </c>
      <c r="Y417" s="170" t="str">
        <f t="shared" si="89"/>
        <v/>
      </c>
      <c r="Z417" s="171" t="str">
        <f t="shared" si="90"/>
        <v/>
      </c>
      <c r="AA417" s="170" t="str">
        <f t="shared" si="95"/>
        <v/>
      </c>
      <c r="AB417" s="170" t="str">
        <f t="shared" si="96"/>
        <v/>
      </c>
      <c r="AC417" s="172" t="str">
        <f t="shared" si="97"/>
        <v/>
      </c>
      <c r="AE417" s="182"/>
      <c r="AF417" s="182"/>
      <c r="AG417" s="182"/>
      <c r="AH417" s="182"/>
      <c r="AI417" s="182"/>
      <c r="AJ417" s="182"/>
      <c r="AK417" s="182"/>
      <c r="AL417" s="182"/>
      <c r="AM417" s="182"/>
      <c r="AN417" s="182"/>
      <c r="AO417" s="182"/>
      <c r="AP417" s="182"/>
      <c r="AQ417" s="182"/>
      <c r="AR417" s="182"/>
      <c r="AS417" s="182"/>
    </row>
    <row r="418" spans="1:45" ht="15">
      <c r="A418" s="263"/>
      <c r="B418" s="260"/>
      <c r="C418" s="244"/>
      <c r="D418" s="193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70" t="str">
        <f t="shared" si="91"/>
        <v/>
      </c>
      <c r="U418" s="170" t="str">
        <f t="shared" si="92"/>
        <v/>
      </c>
      <c r="V418" s="170" t="str">
        <f t="shared" si="93"/>
        <v/>
      </c>
      <c r="W418" s="170" t="str">
        <f t="shared" si="94"/>
        <v/>
      </c>
      <c r="X418" s="170" t="str">
        <f t="shared" si="88"/>
        <v/>
      </c>
      <c r="Y418" s="170" t="str">
        <f t="shared" si="89"/>
        <v/>
      </c>
      <c r="Z418" s="171" t="str">
        <f t="shared" si="90"/>
        <v/>
      </c>
      <c r="AA418" s="170" t="str">
        <f t="shared" si="95"/>
        <v/>
      </c>
      <c r="AB418" s="170" t="str">
        <f t="shared" si="96"/>
        <v/>
      </c>
      <c r="AC418" s="172" t="str">
        <f t="shared" si="97"/>
        <v/>
      </c>
      <c r="AE418" s="182"/>
      <c r="AF418" s="182"/>
      <c r="AG418" s="182"/>
      <c r="AH418" s="182"/>
      <c r="AI418" s="182"/>
      <c r="AJ418" s="182"/>
      <c r="AK418" s="182"/>
      <c r="AL418" s="182"/>
      <c r="AM418" s="182"/>
      <c r="AN418" s="182"/>
      <c r="AO418" s="182"/>
      <c r="AP418" s="182"/>
      <c r="AQ418" s="182"/>
      <c r="AR418" s="182"/>
      <c r="AS418" s="182"/>
    </row>
    <row r="419" spans="1:45" ht="15">
      <c r="A419" s="263"/>
      <c r="B419" s="260"/>
      <c r="C419" s="244"/>
      <c r="D419" s="193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70" t="str">
        <f t="shared" si="91"/>
        <v/>
      </c>
      <c r="U419" s="170" t="str">
        <f t="shared" si="92"/>
        <v/>
      </c>
      <c r="V419" s="170" t="str">
        <f t="shared" si="93"/>
        <v/>
      </c>
      <c r="W419" s="170" t="str">
        <f t="shared" si="94"/>
        <v/>
      </c>
      <c r="X419" s="170" t="str">
        <f t="shared" si="88"/>
        <v/>
      </c>
      <c r="Y419" s="170" t="str">
        <f t="shared" si="89"/>
        <v/>
      </c>
      <c r="Z419" s="171" t="str">
        <f t="shared" si="90"/>
        <v/>
      </c>
      <c r="AA419" s="170" t="str">
        <f t="shared" si="95"/>
        <v/>
      </c>
      <c r="AB419" s="170" t="str">
        <f t="shared" si="96"/>
        <v/>
      </c>
      <c r="AC419" s="172" t="str">
        <f t="shared" si="97"/>
        <v/>
      </c>
      <c r="AE419" s="182"/>
      <c r="AF419" s="182"/>
      <c r="AG419" s="182"/>
      <c r="AH419" s="182"/>
      <c r="AI419" s="182"/>
      <c r="AJ419" s="182"/>
      <c r="AK419" s="182"/>
      <c r="AL419" s="182"/>
      <c r="AM419" s="182"/>
      <c r="AN419" s="182"/>
      <c r="AO419" s="182"/>
      <c r="AP419" s="182"/>
      <c r="AQ419" s="182"/>
      <c r="AR419" s="182"/>
      <c r="AS419" s="182"/>
    </row>
    <row r="420" spans="1:45" ht="15">
      <c r="A420" s="263"/>
      <c r="B420" s="260"/>
      <c r="C420" s="244"/>
      <c r="D420" s="193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70" t="str">
        <f t="shared" si="91"/>
        <v/>
      </c>
      <c r="U420" s="170" t="str">
        <f t="shared" si="92"/>
        <v/>
      </c>
      <c r="V420" s="170" t="str">
        <f t="shared" si="93"/>
        <v/>
      </c>
      <c r="W420" s="170" t="str">
        <f t="shared" si="94"/>
        <v/>
      </c>
      <c r="X420" s="170" t="str">
        <f t="shared" si="88"/>
        <v/>
      </c>
      <c r="Y420" s="170" t="str">
        <f t="shared" si="89"/>
        <v/>
      </c>
      <c r="Z420" s="171" t="str">
        <f t="shared" si="90"/>
        <v/>
      </c>
      <c r="AA420" s="170" t="str">
        <f t="shared" si="95"/>
        <v/>
      </c>
      <c r="AB420" s="170" t="str">
        <f t="shared" si="96"/>
        <v/>
      </c>
      <c r="AC420" s="172" t="str">
        <f t="shared" si="97"/>
        <v/>
      </c>
      <c r="AE420" s="182"/>
      <c r="AF420" s="182"/>
      <c r="AG420" s="182"/>
      <c r="AH420" s="182"/>
      <c r="AI420" s="182"/>
      <c r="AJ420" s="182"/>
      <c r="AK420" s="182"/>
      <c r="AL420" s="182"/>
      <c r="AM420" s="182"/>
      <c r="AN420" s="182"/>
      <c r="AO420" s="182"/>
      <c r="AP420" s="182"/>
      <c r="AQ420" s="182"/>
      <c r="AR420" s="182"/>
      <c r="AS420" s="182"/>
    </row>
    <row r="421" spans="1:45" ht="15">
      <c r="A421" s="263"/>
      <c r="B421" s="261"/>
      <c r="C421" s="245"/>
      <c r="D421" s="193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70" t="str">
        <f t="shared" si="91"/>
        <v/>
      </c>
      <c r="U421" s="170" t="str">
        <f t="shared" si="92"/>
        <v/>
      </c>
      <c r="V421" s="170" t="str">
        <f t="shared" si="93"/>
        <v/>
      </c>
      <c r="W421" s="170" t="str">
        <f t="shared" si="94"/>
        <v/>
      </c>
      <c r="X421" s="170" t="str">
        <f t="shared" si="88"/>
        <v/>
      </c>
      <c r="Y421" s="170" t="str">
        <f t="shared" si="89"/>
        <v/>
      </c>
      <c r="Z421" s="171" t="str">
        <f t="shared" si="90"/>
        <v/>
      </c>
      <c r="AA421" s="170" t="str">
        <f t="shared" si="95"/>
        <v/>
      </c>
      <c r="AB421" s="170" t="str">
        <f t="shared" si="96"/>
        <v/>
      </c>
      <c r="AC421" s="172" t="str">
        <f t="shared" si="97"/>
        <v/>
      </c>
      <c r="AE421" s="182"/>
      <c r="AF421" s="182"/>
      <c r="AG421" s="182"/>
      <c r="AH421" s="182"/>
      <c r="AI421" s="182"/>
      <c r="AJ421" s="182"/>
      <c r="AK421" s="182"/>
      <c r="AL421" s="182"/>
      <c r="AM421" s="182"/>
      <c r="AN421" s="182"/>
      <c r="AO421" s="182"/>
      <c r="AP421" s="182"/>
      <c r="AQ421" s="182"/>
      <c r="AR421" s="182"/>
      <c r="AS421" s="182"/>
    </row>
    <row r="422" spans="1:45" ht="15">
      <c r="A422" s="263">
        <v>53</v>
      </c>
      <c r="B422" s="252"/>
      <c r="C422" s="243"/>
      <c r="D422" s="194"/>
      <c r="E422" s="169"/>
      <c r="F422" s="169"/>
      <c r="G422" s="169"/>
      <c r="H422" s="186"/>
      <c r="I422" s="186"/>
      <c r="J422" s="186"/>
      <c r="K422" s="169"/>
      <c r="L422" s="169"/>
      <c r="M422" s="169"/>
      <c r="N422" s="169"/>
      <c r="O422" s="169"/>
      <c r="P422" s="169"/>
      <c r="Q422" s="169"/>
      <c r="R422" s="169"/>
      <c r="S422" s="169"/>
      <c r="T422" s="170" t="str">
        <f t="shared" si="91"/>
        <v/>
      </c>
      <c r="U422" s="170" t="str">
        <f t="shared" si="92"/>
        <v/>
      </c>
      <c r="V422" s="170" t="str">
        <f t="shared" si="93"/>
        <v/>
      </c>
      <c r="W422" s="170" t="str">
        <f t="shared" si="94"/>
        <v/>
      </c>
      <c r="X422" s="170" t="str">
        <f t="shared" si="88"/>
        <v/>
      </c>
      <c r="Y422" s="170" t="str">
        <f t="shared" si="89"/>
        <v/>
      </c>
      <c r="Z422" s="171" t="str">
        <f t="shared" si="90"/>
        <v/>
      </c>
      <c r="AA422" s="170" t="str">
        <f t="shared" si="95"/>
        <v/>
      </c>
      <c r="AB422" s="170" t="str">
        <f t="shared" si="96"/>
        <v/>
      </c>
      <c r="AC422" s="172" t="str">
        <f t="shared" si="97"/>
        <v/>
      </c>
      <c r="AE422" s="182"/>
      <c r="AF422" s="182"/>
      <c r="AG422" s="182"/>
      <c r="AH422" s="182"/>
      <c r="AI422" s="182"/>
      <c r="AJ422" s="182"/>
      <c r="AK422" s="182"/>
      <c r="AL422" s="182"/>
      <c r="AM422" s="182"/>
      <c r="AN422" s="182"/>
      <c r="AO422" s="182"/>
      <c r="AP422" s="182"/>
      <c r="AQ422" s="182"/>
      <c r="AR422" s="182"/>
      <c r="AS422" s="182"/>
    </row>
    <row r="423" spans="1:45">
      <c r="A423" s="263"/>
      <c r="B423" s="260"/>
      <c r="C423" s="244"/>
      <c r="D423" s="184"/>
      <c r="E423" s="186"/>
      <c r="F423" s="186"/>
      <c r="G423" s="186"/>
      <c r="H423" s="186"/>
      <c r="I423" s="186"/>
      <c r="J423" s="186"/>
      <c r="K423" s="169"/>
      <c r="L423" s="169"/>
      <c r="M423" s="169"/>
      <c r="N423" s="169"/>
      <c r="O423" s="169"/>
      <c r="P423" s="169"/>
      <c r="Q423" s="169"/>
      <c r="R423" s="169"/>
      <c r="S423" s="169"/>
      <c r="T423" s="170" t="str">
        <f t="shared" si="91"/>
        <v/>
      </c>
      <c r="U423" s="170" t="str">
        <f t="shared" si="92"/>
        <v/>
      </c>
      <c r="V423" s="170" t="str">
        <f t="shared" si="93"/>
        <v/>
      </c>
      <c r="W423" s="170" t="str">
        <f t="shared" si="94"/>
        <v/>
      </c>
      <c r="X423" s="170" t="str">
        <f t="shared" si="88"/>
        <v/>
      </c>
      <c r="Y423" s="170" t="str">
        <f t="shared" si="89"/>
        <v/>
      </c>
      <c r="Z423" s="171" t="str">
        <f t="shared" si="90"/>
        <v/>
      </c>
      <c r="AA423" s="170" t="str">
        <f t="shared" si="95"/>
        <v/>
      </c>
      <c r="AB423" s="170" t="str">
        <f t="shared" si="96"/>
        <v/>
      </c>
      <c r="AC423" s="172" t="str">
        <f t="shared" si="97"/>
        <v/>
      </c>
      <c r="AE423" s="182"/>
      <c r="AF423" s="182"/>
      <c r="AG423" s="182"/>
      <c r="AH423" s="182"/>
      <c r="AI423" s="182"/>
      <c r="AJ423" s="182"/>
      <c r="AK423" s="182"/>
      <c r="AL423" s="182"/>
      <c r="AM423" s="182"/>
      <c r="AN423" s="182"/>
      <c r="AO423" s="182"/>
      <c r="AP423" s="182"/>
      <c r="AQ423" s="182"/>
      <c r="AR423" s="182"/>
      <c r="AS423" s="182"/>
    </row>
    <row r="424" spans="1:45">
      <c r="A424" s="263"/>
      <c r="B424" s="260"/>
      <c r="C424" s="244"/>
      <c r="D424" s="184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70" t="str">
        <f t="shared" si="91"/>
        <v/>
      </c>
      <c r="U424" s="170" t="str">
        <f t="shared" si="92"/>
        <v/>
      </c>
      <c r="V424" s="170" t="str">
        <f t="shared" si="93"/>
        <v/>
      </c>
      <c r="W424" s="170" t="str">
        <f t="shared" si="94"/>
        <v/>
      </c>
      <c r="X424" s="170" t="str">
        <f t="shared" si="88"/>
        <v/>
      </c>
      <c r="Y424" s="170" t="str">
        <f t="shared" si="89"/>
        <v/>
      </c>
      <c r="Z424" s="171" t="str">
        <f t="shared" si="90"/>
        <v/>
      </c>
      <c r="AA424" s="170" t="str">
        <f t="shared" si="95"/>
        <v/>
      </c>
      <c r="AB424" s="170" t="str">
        <f t="shared" si="96"/>
        <v/>
      </c>
      <c r="AC424" s="172" t="str">
        <f t="shared" si="97"/>
        <v/>
      </c>
      <c r="AE424" s="182"/>
      <c r="AF424" s="182"/>
      <c r="AG424" s="182"/>
      <c r="AH424" s="182"/>
      <c r="AI424" s="182"/>
      <c r="AJ424" s="182"/>
      <c r="AK424" s="182"/>
      <c r="AL424" s="182"/>
      <c r="AM424" s="182"/>
      <c r="AN424" s="182"/>
      <c r="AO424" s="182"/>
      <c r="AP424" s="182"/>
      <c r="AQ424" s="182"/>
      <c r="AR424" s="182"/>
      <c r="AS424" s="182"/>
    </row>
    <row r="425" spans="1:45" ht="15">
      <c r="A425" s="263"/>
      <c r="B425" s="260"/>
      <c r="C425" s="244"/>
      <c r="D425" s="194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70" t="str">
        <f t="shared" si="91"/>
        <v/>
      </c>
      <c r="U425" s="170" t="str">
        <f t="shared" si="92"/>
        <v/>
      </c>
      <c r="V425" s="170" t="str">
        <f t="shared" si="93"/>
        <v/>
      </c>
      <c r="W425" s="170" t="str">
        <f t="shared" si="94"/>
        <v/>
      </c>
      <c r="X425" s="170" t="str">
        <f t="shared" si="88"/>
        <v/>
      </c>
      <c r="Y425" s="170" t="str">
        <f t="shared" si="89"/>
        <v/>
      </c>
      <c r="Z425" s="171" t="str">
        <f t="shared" si="90"/>
        <v/>
      </c>
      <c r="AA425" s="170" t="str">
        <f t="shared" si="95"/>
        <v/>
      </c>
      <c r="AB425" s="170" t="str">
        <f t="shared" si="96"/>
        <v/>
      </c>
      <c r="AC425" s="172" t="str">
        <f t="shared" si="97"/>
        <v/>
      </c>
      <c r="AE425" s="182"/>
      <c r="AF425" s="182"/>
      <c r="AG425" s="182"/>
      <c r="AH425" s="182"/>
      <c r="AI425" s="182"/>
      <c r="AJ425" s="182"/>
      <c r="AK425" s="182"/>
      <c r="AL425" s="182"/>
      <c r="AM425" s="182"/>
      <c r="AN425" s="182"/>
      <c r="AO425" s="182"/>
      <c r="AP425" s="182"/>
      <c r="AQ425" s="182"/>
      <c r="AR425" s="182"/>
      <c r="AS425" s="182"/>
    </row>
    <row r="426" spans="1:45" ht="15">
      <c r="A426" s="263"/>
      <c r="B426" s="260"/>
      <c r="C426" s="244"/>
      <c r="D426" s="193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70" t="str">
        <f t="shared" si="91"/>
        <v/>
      </c>
      <c r="U426" s="170" t="str">
        <f t="shared" si="92"/>
        <v/>
      </c>
      <c r="V426" s="170" t="str">
        <f t="shared" si="93"/>
        <v/>
      </c>
      <c r="W426" s="170" t="str">
        <f t="shared" si="94"/>
        <v/>
      </c>
      <c r="X426" s="170" t="str">
        <f t="shared" si="88"/>
        <v/>
      </c>
      <c r="Y426" s="170" t="str">
        <f t="shared" si="89"/>
        <v/>
      </c>
      <c r="Z426" s="171" t="str">
        <f t="shared" si="90"/>
        <v/>
      </c>
      <c r="AA426" s="170" t="str">
        <f t="shared" si="95"/>
        <v/>
      </c>
      <c r="AB426" s="170" t="str">
        <f t="shared" si="96"/>
        <v/>
      </c>
      <c r="AC426" s="172" t="str">
        <f t="shared" si="97"/>
        <v/>
      </c>
      <c r="AE426" s="182"/>
      <c r="AF426" s="182"/>
      <c r="AG426" s="182"/>
      <c r="AH426" s="182"/>
      <c r="AI426" s="182"/>
      <c r="AJ426" s="182"/>
      <c r="AK426" s="182"/>
      <c r="AL426" s="182"/>
      <c r="AM426" s="182"/>
      <c r="AN426" s="182"/>
      <c r="AO426" s="182"/>
      <c r="AP426" s="182"/>
      <c r="AQ426" s="182"/>
      <c r="AR426" s="182"/>
      <c r="AS426" s="182"/>
    </row>
    <row r="427" spans="1:45" ht="15">
      <c r="A427" s="263"/>
      <c r="B427" s="260"/>
      <c r="C427" s="244"/>
      <c r="D427" s="193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70" t="str">
        <f t="shared" si="91"/>
        <v/>
      </c>
      <c r="U427" s="170" t="str">
        <f t="shared" si="92"/>
        <v/>
      </c>
      <c r="V427" s="170" t="str">
        <f t="shared" si="93"/>
        <v/>
      </c>
      <c r="W427" s="170" t="str">
        <f t="shared" si="94"/>
        <v/>
      </c>
      <c r="X427" s="170" t="str">
        <f t="shared" si="88"/>
        <v/>
      </c>
      <c r="Y427" s="170" t="str">
        <f t="shared" si="89"/>
        <v/>
      </c>
      <c r="Z427" s="171" t="str">
        <f t="shared" si="90"/>
        <v/>
      </c>
      <c r="AA427" s="170" t="str">
        <f t="shared" si="95"/>
        <v/>
      </c>
      <c r="AB427" s="170" t="str">
        <f t="shared" si="96"/>
        <v/>
      </c>
      <c r="AC427" s="172" t="str">
        <f t="shared" si="97"/>
        <v/>
      </c>
      <c r="AE427" s="182"/>
      <c r="AF427" s="182"/>
      <c r="AG427" s="182"/>
      <c r="AH427" s="182"/>
      <c r="AI427" s="182"/>
      <c r="AJ427" s="182"/>
      <c r="AK427" s="182"/>
      <c r="AL427" s="182"/>
      <c r="AM427" s="182"/>
      <c r="AN427" s="182"/>
      <c r="AO427" s="182"/>
      <c r="AP427" s="182"/>
      <c r="AQ427" s="182"/>
      <c r="AR427" s="182"/>
      <c r="AS427" s="182"/>
    </row>
    <row r="428" spans="1:45" ht="15">
      <c r="A428" s="263"/>
      <c r="B428" s="260"/>
      <c r="C428" s="244"/>
      <c r="D428" s="193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70" t="str">
        <f t="shared" si="91"/>
        <v/>
      </c>
      <c r="U428" s="170" t="str">
        <f t="shared" si="92"/>
        <v/>
      </c>
      <c r="V428" s="170" t="str">
        <f t="shared" si="93"/>
        <v/>
      </c>
      <c r="W428" s="170" t="str">
        <f t="shared" si="94"/>
        <v/>
      </c>
      <c r="X428" s="170" t="str">
        <f t="shared" si="88"/>
        <v/>
      </c>
      <c r="Y428" s="170" t="str">
        <f t="shared" si="89"/>
        <v/>
      </c>
      <c r="Z428" s="171" t="str">
        <f t="shared" si="90"/>
        <v/>
      </c>
      <c r="AA428" s="170" t="str">
        <f t="shared" si="95"/>
        <v/>
      </c>
      <c r="AB428" s="170" t="str">
        <f t="shared" si="96"/>
        <v/>
      </c>
      <c r="AC428" s="172" t="str">
        <f t="shared" si="97"/>
        <v/>
      </c>
      <c r="AE428" s="182"/>
      <c r="AF428" s="182"/>
      <c r="AG428" s="182"/>
      <c r="AH428" s="182"/>
      <c r="AI428" s="182"/>
      <c r="AJ428" s="182"/>
      <c r="AK428" s="182"/>
      <c r="AL428" s="182"/>
      <c r="AM428" s="182"/>
      <c r="AN428" s="182"/>
      <c r="AO428" s="182"/>
      <c r="AP428" s="182"/>
      <c r="AQ428" s="182"/>
      <c r="AR428" s="182"/>
      <c r="AS428" s="182"/>
    </row>
    <row r="429" spans="1:45" ht="15">
      <c r="A429" s="263"/>
      <c r="B429" s="261"/>
      <c r="C429" s="245"/>
      <c r="D429" s="193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70" t="str">
        <f t="shared" si="91"/>
        <v/>
      </c>
      <c r="U429" s="170" t="str">
        <f t="shared" si="92"/>
        <v/>
      </c>
      <c r="V429" s="170" t="str">
        <f t="shared" si="93"/>
        <v/>
      </c>
      <c r="W429" s="170" t="str">
        <f t="shared" si="94"/>
        <v/>
      </c>
      <c r="X429" s="170" t="str">
        <f t="shared" si="88"/>
        <v/>
      </c>
      <c r="Y429" s="170" t="str">
        <f t="shared" si="89"/>
        <v/>
      </c>
      <c r="Z429" s="171" t="str">
        <f t="shared" si="90"/>
        <v/>
      </c>
      <c r="AA429" s="170" t="str">
        <f t="shared" si="95"/>
        <v/>
      </c>
      <c r="AB429" s="170" t="str">
        <f t="shared" si="96"/>
        <v/>
      </c>
      <c r="AC429" s="172" t="str">
        <f t="shared" si="97"/>
        <v/>
      </c>
      <c r="AE429" s="182"/>
      <c r="AF429" s="182"/>
      <c r="AG429" s="182"/>
      <c r="AH429" s="182"/>
      <c r="AI429" s="182"/>
      <c r="AJ429" s="182"/>
      <c r="AK429" s="182"/>
      <c r="AL429" s="182"/>
      <c r="AM429" s="182"/>
      <c r="AN429" s="182"/>
      <c r="AO429" s="182"/>
      <c r="AP429" s="182"/>
      <c r="AQ429" s="182"/>
      <c r="AR429" s="182"/>
      <c r="AS429" s="182"/>
    </row>
    <row r="430" spans="1:45">
      <c r="A430" s="263">
        <v>54</v>
      </c>
      <c r="B430" s="252"/>
      <c r="C430" s="243"/>
      <c r="D430" s="184"/>
      <c r="E430" s="186"/>
      <c r="F430" s="186"/>
      <c r="G430" s="186"/>
      <c r="H430" s="186"/>
      <c r="I430" s="186"/>
      <c r="J430" s="186"/>
      <c r="K430" s="169"/>
      <c r="L430" s="169"/>
      <c r="M430" s="169"/>
      <c r="N430" s="169"/>
      <c r="O430" s="169"/>
      <c r="P430" s="169"/>
      <c r="Q430" s="169"/>
      <c r="R430" s="169"/>
      <c r="S430" s="169"/>
      <c r="T430" s="170" t="str">
        <f t="shared" si="91"/>
        <v/>
      </c>
      <c r="U430" s="170" t="str">
        <f t="shared" si="92"/>
        <v/>
      </c>
      <c r="V430" s="170" t="str">
        <f t="shared" si="93"/>
        <v/>
      </c>
      <c r="W430" s="170" t="str">
        <f t="shared" si="94"/>
        <v/>
      </c>
      <c r="X430" s="170" t="str">
        <f t="shared" si="88"/>
        <v/>
      </c>
      <c r="Y430" s="170" t="str">
        <f t="shared" si="89"/>
        <v/>
      </c>
      <c r="Z430" s="171" t="str">
        <f t="shared" si="90"/>
        <v/>
      </c>
      <c r="AA430" s="170" t="str">
        <f t="shared" si="95"/>
        <v/>
      </c>
      <c r="AB430" s="170" t="str">
        <f t="shared" si="96"/>
        <v/>
      </c>
      <c r="AC430" s="172" t="str">
        <f t="shared" si="97"/>
        <v/>
      </c>
      <c r="AE430" s="182"/>
      <c r="AF430" s="182"/>
      <c r="AG430" s="182"/>
      <c r="AH430" s="182"/>
      <c r="AI430" s="182"/>
      <c r="AJ430" s="182"/>
      <c r="AK430" s="182"/>
      <c r="AL430" s="182"/>
      <c r="AM430" s="182"/>
      <c r="AN430" s="182"/>
      <c r="AO430" s="182"/>
      <c r="AP430" s="182"/>
      <c r="AQ430" s="182"/>
      <c r="AR430" s="182"/>
      <c r="AS430" s="182"/>
    </row>
    <row r="431" spans="1:45" ht="15">
      <c r="A431" s="263"/>
      <c r="B431" s="260"/>
      <c r="C431" s="244"/>
      <c r="D431" s="194"/>
      <c r="E431" s="169"/>
      <c r="F431" s="169"/>
      <c r="G431" s="169"/>
      <c r="H431" s="169"/>
      <c r="I431" s="169"/>
      <c r="J431" s="186"/>
      <c r="K431" s="169"/>
      <c r="L431" s="169"/>
      <c r="M431" s="169"/>
      <c r="N431" s="169"/>
      <c r="O431" s="169"/>
      <c r="P431" s="169"/>
      <c r="Q431" s="169"/>
      <c r="R431" s="169"/>
      <c r="S431" s="169"/>
      <c r="T431" s="170" t="str">
        <f t="shared" si="91"/>
        <v/>
      </c>
      <c r="U431" s="170" t="str">
        <f t="shared" si="92"/>
        <v/>
      </c>
      <c r="V431" s="170" t="str">
        <f t="shared" si="93"/>
        <v/>
      </c>
      <c r="W431" s="170" t="str">
        <f t="shared" si="94"/>
        <v/>
      </c>
      <c r="X431" s="170" t="str">
        <f t="shared" si="88"/>
        <v/>
      </c>
      <c r="Y431" s="170" t="str">
        <f t="shared" si="89"/>
        <v/>
      </c>
      <c r="Z431" s="171" t="str">
        <f t="shared" si="90"/>
        <v/>
      </c>
      <c r="AA431" s="170" t="str">
        <f t="shared" si="95"/>
        <v/>
      </c>
      <c r="AB431" s="170" t="str">
        <f t="shared" si="96"/>
        <v/>
      </c>
      <c r="AC431" s="172" t="str">
        <f t="shared" si="97"/>
        <v/>
      </c>
      <c r="AE431" s="182"/>
      <c r="AF431" s="182"/>
      <c r="AG431" s="182"/>
      <c r="AH431" s="182"/>
      <c r="AI431" s="182"/>
      <c r="AJ431" s="182"/>
      <c r="AK431" s="182"/>
      <c r="AL431" s="182"/>
      <c r="AM431" s="182"/>
      <c r="AN431" s="182"/>
      <c r="AO431" s="182"/>
      <c r="AP431" s="182"/>
      <c r="AQ431" s="182"/>
      <c r="AR431" s="182"/>
      <c r="AS431" s="182"/>
    </row>
    <row r="432" spans="1:45" ht="15">
      <c r="A432" s="263"/>
      <c r="B432" s="260"/>
      <c r="C432" s="244"/>
      <c r="D432" s="193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70" t="str">
        <f t="shared" si="91"/>
        <v/>
      </c>
      <c r="U432" s="170" t="str">
        <f t="shared" si="92"/>
        <v/>
      </c>
      <c r="V432" s="170" t="str">
        <f t="shared" si="93"/>
        <v/>
      </c>
      <c r="W432" s="170" t="str">
        <f t="shared" si="94"/>
        <v/>
      </c>
      <c r="X432" s="170" t="str">
        <f t="shared" si="88"/>
        <v/>
      </c>
      <c r="Y432" s="170" t="str">
        <f t="shared" si="89"/>
        <v/>
      </c>
      <c r="Z432" s="171" t="str">
        <f t="shared" si="90"/>
        <v/>
      </c>
      <c r="AA432" s="170" t="str">
        <f t="shared" si="95"/>
        <v/>
      </c>
      <c r="AB432" s="170" t="str">
        <f t="shared" si="96"/>
        <v/>
      </c>
      <c r="AC432" s="172" t="str">
        <f t="shared" si="97"/>
        <v/>
      </c>
      <c r="AE432" s="182"/>
      <c r="AF432" s="182"/>
      <c r="AG432" s="182"/>
      <c r="AH432" s="182"/>
      <c r="AI432" s="182"/>
      <c r="AJ432" s="182"/>
      <c r="AK432" s="182"/>
      <c r="AL432" s="182"/>
      <c r="AM432" s="182"/>
      <c r="AN432" s="182"/>
      <c r="AO432" s="182"/>
      <c r="AP432" s="182"/>
      <c r="AQ432" s="182"/>
      <c r="AR432" s="182"/>
      <c r="AS432" s="182"/>
    </row>
    <row r="433" spans="1:45" ht="15">
      <c r="A433" s="263"/>
      <c r="B433" s="260"/>
      <c r="C433" s="244"/>
      <c r="D433" s="193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70" t="str">
        <f t="shared" si="91"/>
        <v/>
      </c>
      <c r="U433" s="170" t="str">
        <f t="shared" si="92"/>
        <v/>
      </c>
      <c r="V433" s="170" t="str">
        <f t="shared" si="93"/>
        <v/>
      </c>
      <c r="W433" s="170" t="str">
        <f t="shared" si="94"/>
        <v/>
      </c>
      <c r="X433" s="170" t="str">
        <f t="shared" si="88"/>
        <v/>
      </c>
      <c r="Y433" s="170" t="str">
        <f t="shared" si="89"/>
        <v/>
      </c>
      <c r="Z433" s="171" t="str">
        <f t="shared" si="90"/>
        <v/>
      </c>
      <c r="AA433" s="170" t="str">
        <f t="shared" si="95"/>
        <v/>
      </c>
      <c r="AB433" s="170" t="str">
        <f t="shared" si="96"/>
        <v/>
      </c>
      <c r="AC433" s="172" t="str">
        <f t="shared" si="97"/>
        <v/>
      </c>
      <c r="AE433" s="182"/>
      <c r="AF433" s="182"/>
      <c r="AG433" s="182"/>
      <c r="AH433" s="182"/>
      <c r="AI433" s="182"/>
      <c r="AJ433" s="182"/>
      <c r="AK433" s="182"/>
      <c r="AL433" s="182"/>
      <c r="AM433" s="182"/>
      <c r="AN433" s="182"/>
      <c r="AO433" s="182"/>
      <c r="AP433" s="182"/>
      <c r="AQ433" s="182"/>
      <c r="AR433" s="182"/>
      <c r="AS433" s="182"/>
    </row>
    <row r="434" spans="1:45" ht="15">
      <c r="A434" s="263"/>
      <c r="B434" s="260"/>
      <c r="C434" s="244"/>
      <c r="D434" s="193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70" t="str">
        <f t="shared" si="91"/>
        <v/>
      </c>
      <c r="U434" s="170" t="str">
        <f t="shared" si="92"/>
        <v/>
      </c>
      <c r="V434" s="170" t="str">
        <f t="shared" si="93"/>
        <v/>
      </c>
      <c r="W434" s="170" t="str">
        <f t="shared" si="94"/>
        <v/>
      </c>
      <c r="X434" s="170" t="str">
        <f t="shared" si="88"/>
        <v/>
      </c>
      <c r="Y434" s="170" t="str">
        <f t="shared" si="89"/>
        <v/>
      </c>
      <c r="Z434" s="171" t="str">
        <f t="shared" si="90"/>
        <v/>
      </c>
      <c r="AA434" s="170" t="str">
        <f t="shared" si="95"/>
        <v/>
      </c>
      <c r="AB434" s="170" t="str">
        <f t="shared" si="96"/>
        <v/>
      </c>
      <c r="AC434" s="172" t="str">
        <f t="shared" si="97"/>
        <v/>
      </c>
      <c r="AE434" s="182"/>
      <c r="AF434" s="182"/>
      <c r="AG434" s="182"/>
      <c r="AH434" s="182"/>
      <c r="AI434" s="182"/>
      <c r="AJ434" s="182"/>
      <c r="AK434" s="182"/>
      <c r="AL434" s="182"/>
      <c r="AM434" s="182"/>
      <c r="AN434" s="182"/>
      <c r="AO434" s="182"/>
      <c r="AP434" s="182"/>
      <c r="AQ434" s="182"/>
      <c r="AR434" s="182"/>
      <c r="AS434" s="182"/>
    </row>
    <row r="435" spans="1:45" ht="15">
      <c r="A435" s="263"/>
      <c r="B435" s="260"/>
      <c r="C435" s="244"/>
      <c r="D435" s="193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70" t="str">
        <f t="shared" si="91"/>
        <v/>
      </c>
      <c r="U435" s="170" t="str">
        <f t="shared" si="92"/>
        <v/>
      </c>
      <c r="V435" s="170" t="str">
        <f t="shared" si="93"/>
        <v/>
      </c>
      <c r="W435" s="170" t="str">
        <f t="shared" si="94"/>
        <v/>
      </c>
      <c r="X435" s="170" t="str">
        <f t="shared" si="88"/>
        <v/>
      </c>
      <c r="Y435" s="170" t="str">
        <f t="shared" si="89"/>
        <v/>
      </c>
      <c r="Z435" s="171" t="str">
        <f t="shared" si="90"/>
        <v/>
      </c>
      <c r="AA435" s="170" t="str">
        <f t="shared" si="95"/>
        <v/>
      </c>
      <c r="AB435" s="170" t="str">
        <f t="shared" si="96"/>
        <v/>
      </c>
      <c r="AC435" s="172" t="str">
        <f t="shared" si="97"/>
        <v/>
      </c>
      <c r="AE435" s="182"/>
      <c r="AF435" s="182"/>
      <c r="AG435" s="182"/>
      <c r="AH435" s="182"/>
      <c r="AI435" s="182"/>
      <c r="AJ435" s="182"/>
      <c r="AK435" s="182"/>
      <c r="AL435" s="182"/>
      <c r="AM435" s="182"/>
      <c r="AN435" s="182"/>
      <c r="AO435" s="182"/>
      <c r="AP435" s="182"/>
      <c r="AQ435" s="182"/>
      <c r="AR435" s="182"/>
      <c r="AS435" s="182"/>
    </row>
    <row r="436" spans="1:45" ht="15">
      <c r="A436" s="263"/>
      <c r="B436" s="260"/>
      <c r="C436" s="244"/>
      <c r="D436" s="193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70" t="str">
        <f t="shared" si="91"/>
        <v/>
      </c>
      <c r="U436" s="170" t="str">
        <f t="shared" si="92"/>
        <v/>
      </c>
      <c r="V436" s="170" t="str">
        <f t="shared" si="93"/>
        <v/>
      </c>
      <c r="W436" s="170" t="str">
        <f t="shared" si="94"/>
        <v/>
      </c>
      <c r="X436" s="170" t="str">
        <f t="shared" si="88"/>
        <v/>
      </c>
      <c r="Y436" s="170" t="str">
        <f t="shared" si="89"/>
        <v/>
      </c>
      <c r="Z436" s="171" t="str">
        <f t="shared" si="90"/>
        <v/>
      </c>
      <c r="AA436" s="170" t="str">
        <f t="shared" si="95"/>
        <v/>
      </c>
      <c r="AB436" s="170" t="str">
        <f t="shared" si="96"/>
        <v/>
      </c>
      <c r="AC436" s="172" t="str">
        <f t="shared" si="97"/>
        <v/>
      </c>
      <c r="AE436" s="182"/>
      <c r="AF436" s="182"/>
      <c r="AG436" s="182"/>
      <c r="AH436" s="182"/>
      <c r="AI436" s="182"/>
      <c r="AJ436" s="182"/>
      <c r="AK436" s="182"/>
      <c r="AL436" s="182"/>
      <c r="AM436" s="182"/>
      <c r="AN436" s="182"/>
      <c r="AO436" s="182"/>
      <c r="AP436" s="182"/>
      <c r="AQ436" s="182"/>
      <c r="AR436" s="182"/>
      <c r="AS436" s="182"/>
    </row>
    <row r="437" spans="1:45" ht="15">
      <c r="A437" s="263"/>
      <c r="B437" s="261"/>
      <c r="C437" s="245"/>
      <c r="D437" s="193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70" t="str">
        <f t="shared" si="91"/>
        <v/>
      </c>
      <c r="U437" s="170" t="str">
        <f t="shared" si="92"/>
        <v/>
      </c>
      <c r="V437" s="170" t="str">
        <f t="shared" si="93"/>
        <v/>
      </c>
      <c r="W437" s="170" t="str">
        <f t="shared" si="94"/>
        <v/>
      </c>
      <c r="X437" s="170" t="str">
        <f t="shared" si="88"/>
        <v/>
      </c>
      <c r="Y437" s="170" t="str">
        <f t="shared" si="89"/>
        <v/>
      </c>
      <c r="Z437" s="171" t="str">
        <f t="shared" si="90"/>
        <v/>
      </c>
      <c r="AA437" s="170" t="str">
        <f t="shared" si="95"/>
        <v/>
      </c>
      <c r="AB437" s="170" t="str">
        <f t="shared" si="96"/>
        <v/>
      </c>
      <c r="AC437" s="172" t="str">
        <f t="shared" si="97"/>
        <v/>
      </c>
      <c r="AE437" s="182"/>
      <c r="AF437" s="182"/>
      <c r="AG437" s="182"/>
      <c r="AH437" s="182"/>
      <c r="AI437" s="182"/>
      <c r="AJ437" s="182"/>
      <c r="AK437" s="182"/>
      <c r="AL437" s="182"/>
      <c r="AM437" s="182"/>
      <c r="AN437" s="182"/>
      <c r="AO437" s="182"/>
      <c r="AP437" s="182"/>
      <c r="AQ437" s="182"/>
      <c r="AR437" s="182"/>
      <c r="AS437" s="182"/>
    </row>
    <row r="438" spans="1:45" ht="16.5" customHeight="1">
      <c r="A438" s="263">
        <v>55</v>
      </c>
      <c r="B438" s="252"/>
      <c r="C438" s="243"/>
      <c r="D438" s="195"/>
      <c r="E438" s="196"/>
      <c r="F438" s="196"/>
      <c r="G438" s="196"/>
      <c r="H438" s="196"/>
      <c r="I438" s="196"/>
      <c r="J438" s="186"/>
      <c r="K438" s="186"/>
      <c r="L438" s="186"/>
      <c r="M438" s="169"/>
      <c r="N438" s="169"/>
      <c r="O438" s="169"/>
      <c r="P438" s="169"/>
      <c r="Q438" s="169"/>
      <c r="R438" s="169"/>
      <c r="S438" s="169"/>
      <c r="T438" s="170" t="str">
        <f t="shared" si="91"/>
        <v/>
      </c>
      <c r="U438" s="170" t="str">
        <f t="shared" si="92"/>
        <v/>
      </c>
      <c r="V438" s="170" t="str">
        <f t="shared" si="93"/>
        <v/>
      </c>
      <c r="W438" s="170" t="str">
        <f t="shared" si="94"/>
        <v/>
      </c>
      <c r="X438" s="170" t="str">
        <f t="shared" si="88"/>
        <v/>
      </c>
      <c r="Y438" s="170" t="str">
        <f t="shared" si="89"/>
        <v/>
      </c>
      <c r="Z438" s="171" t="str">
        <f t="shared" si="90"/>
        <v/>
      </c>
      <c r="AA438" s="170" t="str">
        <f t="shared" si="95"/>
        <v/>
      </c>
      <c r="AB438" s="170" t="str">
        <f t="shared" si="96"/>
        <v/>
      </c>
      <c r="AC438" s="172" t="str">
        <f t="shared" si="97"/>
        <v/>
      </c>
      <c r="AE438" s="182"/>
      <c r="AF438" s="182"/>
      <c r="AG438" s="182"/>
      <c r="AH438" s="182"/>
      <c r="AI438" s="182"/>
      <c r="AJ438" s="182"/>
      <c r="AK438" s="182"/>
      <c r="AL438" s="182"/>
      <c r="AM438" s="182"/>
      <c r="AN438" s="182"/>
      <c r="AO438" s="182"/>
      <c r="AP438" s="182"/>
      <c r="AQ438" s="182"/>
      <c r="AR438" s="182"/>
      <c r="AS438" s="182"/>
    </row>
    <row r="439" spans="1:45" ht="15">
      <c r="A439" s="263"/>
      <c r="B439" s="260"/>
      <c r="C439" s="244"/>
      <c r="D439" s="195"/>
      <c r="E439" s="196"/>
      <c r="F439" s="196"/>
      <c r="G439" s="196"/>
      <c r="H439" s="196"/>
      <c r="I439" s="196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70" t="str">
        <f t="shared" si="91"/>
        <v/>
      </c>
      <c r="U439" s="170" t="str">
        <f t="shared" si="92"/>
        <v/>
      </c>
      <c r="V439" s="170" t="str">
        <f t="shared" si="93"/>
        <v/>
      </c>
      <c r="W439" s="170" t="str">
        <f t="shared" si="94"/>
        <v/>
      </c>
      <c r="X439" s="170" t="str">
        <f t="shared" si="88"/>
        <v/>
      </c>
      <c r="Y439" s="170" t="str">
        <f t="shared" si="89"/>
        <v/>
      </c>
      <c r="Z439" s="171" t="str">
        <f t="shared" si="90"/>
        <v/>
      </c>
      <c r="AA439" s="170" t="str">
        <f t="shared" si="95"/>
        <v/>
      </c>
      <c r="AB439" s="170" t="str">
        <f t="shared" si="96"/>
        <v/>
      </c>
      <c r="AC439" s="172" t="str">
        <f t="shared" si="97"/>
        <v/>
      </c>
      <c r="AE439" s="182"/>
      <c r="AF439" s="182"/>
      <c r="AG439" s="182"/>
      <c r="AH439" s="182"/>
      <c r="AI439" s="182"/>
      <c r="AJ439" s="182"/>
      <c r="AK439" s="182"/>
      <c r="AL439" s="182"/>
      <c r="AM439" s="182"/>
      <c r="AN439" s="182"/>
      <c r="AO439" s="182"/>
      <c r="AP439" s="182"/>
      <c r="AQ439" s="182"/>
      <c r="AR439" s="182"/>
      <c r="AS439" s="182"/>
    </row>
    <row r="440" spans="1:45">
      <c r="A440" s="263"/>
      <c r="B440" s="260"/>
      <c r="C440" s="244"/>
      <c r="D440" s="184"/>
      <c r="E440" s="186"/>
      <c r="F440" s="186"/>
      <c r="G440" s="186"/>
      <c r="H440" s="186"/>
      <c r="I440" s="186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70" t="str">
        <f t="shared" si="91"/>
        <v/>
      </c>
      <c r="U440" s="170" t="str">
        <f t="shared" si="92"/>
        <v/>
      </c>
      <c r="V440" s="170" t="str">
        <f t="shared" si="93"/>
        <v/>
      </c>
      <c r="W440" s="170" t="str">
        <f t="shared" si="94"/>
        <v/>
      </c>
      <c r="X440" s="170" t="str">
        <f t="shared" si="88"/>
        <v/>
      </c>
      <c r="Y440" s="170" t="str">
        <f t="shared" si="89"/>
        <v/>
      </c>
      <c r="Z440" s="171" t="str">
        <f t="shared" si="90"/>
        <v/>
      </c>
      <c r="AA440" s="170" t="str">
        <f t="shared" si="95"/>
        <v/>
      </c>
      <c r="AB440" s="170" t="str">
        <f t="shared" si="96"/>
        <v/>
      </c>
      <c r="AC440" s="172" t="str">
        <f t="shared" si="97"/>
        <v/>
      </c>
      <c r="AE440" s="182"/>
      <c r="AF440" s="182"/>
      <c r="AG440" s="182"/>
      <c r="AH440" s="182"/>
      <c r="AI440" s="182"/>
      <c r="AJ440" s="182"/>
      <c r="AK440" s="182"/>
      <c r="AL440" s="182"/>
      <c r="AM440" s="182"/>
      <c r="AN440" s="182"/>
      <c r="AO440" s="182"/>
      <c r="AP440" s="182"/>
      <c r="AQ440" s="182"/>
      <c r="AR440" s="182"/>
      <c r="AS440" s="182"/>
    </row>
    <row r="441" spans="1:45" ht="15">
      <c r="A441" s="263"/>
      <c r="B441" s="260"/>
      <c r="C441" s="244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70" t="str">
        <f t="shared" si="91"/>
        <v/>
      </c>
      <c r="U441" s="170" t="str">
        <f t="shared" si="92"/>
        <v/>
      </c>
      <c r="V441" s="170" t="str">
        <f t="shared" si="93"/>
        <v/>
      </c>
      <c r="W441" s="170" t="str">
        <f t="shared" si="94"/>
        <v/>
      </c>
      <c r="X441" s="170" t="str">
        <f t="shared" si="88"/>
        <v/>
      </c>
      <c r="Y441" s="170" t="str">
        <f t="shared" si="89"/>
        <v/>
      </c>
      <c r="Z441" s="171" t="str">
        <f t="shared" si="90"/>
        <v/>
      </c>
      <c r="AA441" s="170" t="str">
        <f t="shared" si="95"/>
        <v/>
      </c>
      <c r="AB441" s="170" t="str">
        <f t="shared" si="96"/>
        <v/>
      </c>
      <c r="AC441" s="172" t="str">
        <f t="shared" si="97"/>
        <v/>
      </c>
      <c r="AE441" s="182"/>
      <c r="AF441" s="182"/>
      <c r="AG441" s="182"/>
      <c r="AH441" s="182"/>
      <c r="AI441" s="182"/>
      <c r="AJ441" s="182"/>
      <c r="AK441" s="182"/>
      <c r="AL441" s="182"/>
      <c r="AM441" s="182"/>
      <c r="AN441" s="182"/>
      <c r="AO441" s="182"/>
      <c r="AP441" s="182"/>
      <c r="AQ441" s="182"/>
      <c r="AR441" s="182"/>
      <c r="AS441" s="182"/>
    </row>
    <row r="442" spans="1:45" ht="15">
      <c r="A442" s="263"/>
      <c r="B442" s="260"/>
      <c r="C442" s="244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70" t="str">
        <f t="shared" si="91"/>
        <v/>
      </c>
      <c r="U442" s="170" t="str">
        <f t="shared" si="92"/>
        <v/>
      </c>
      <c r="V442" s="170" t="str">
        <f t="shared" si="93"/>
        <v/>
      </c>
      <c r="W442" s="170" t="str">
        <f t="shared" si="94"/>
        <v/>
      </c>
      <c r="X442" s="170" t="str">
        <f t="shared" si="88"/>
        <v/>
      </c>
      <c r="Y442" s="170" t="str">
        <f t="shared" si="89"/>
        <v/>
      </c>
      <c r="Z442" s="171" t="str">
        <f t="shared" si="90"/>
        <v/>
      </c>
      <c r="AA442" s="170" t="str">
        <f t="shared" si="95"/>
        <v/>
      </c>
      <c r="AB442" s="170" t="str">
        <f t="shared" si="96"/>
        <v/>
      </c>
      <c r="AC442" s="172" t="str">
        <f t="shared" si="97"/>
        <v/>
      </c>
      <c r="AE442" s="182"/>
      <c r="AF442" s="182"/>
      <c r="AG442" s="182"/>
      <c r="AH442" s="182"/>
      <c r="AI442" s="182"/>
      <c r="AJ442" s="182"/>
      <c r="AK442" s="182"/>
      <c r="AL442" s="182"/>
      <c r="AM442" s="182"/>
      <c r="AN442" s="182"/>
      <c r="AO442" s="182"/>
      <c r="AP442" s="182"/>
      <c r="AQ442" s="182"/>
      <c r="AR442" s="182"/>
      <c r="AS442" s="182"/>
    </row>
    <row r="443" spans="1:45" ht="15">
      <c r="A443" s="263"/>
      <c r="B443" s="260"/>
      <c r="C443" s="244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70" t="str">
        <f t="shared" si="91"/>
        <v/>
      </c>
      <c r="U443" s="170" t="str">
        <f t="shared" si="92"/>
        <v/>
      </c>
      <c r="V443" s="170" t="str">
        <f t="shared" si="93"/>
        <v/>
      </c>
      <c r="W443" s="170" t="str">
        <f t="shared" si="94"/>
        <v/>
      </c>
      <c r="X443" s="170" t="str">
        <f t="shared" si="88"/>
        <v/>
      </c>
      <c r="Y443" s="170" t="str">
        <f t="shared" si="89"/>
        <v/>
      </c>
      <c r="Z443" s="171" t="str">
        <f t="shared" si="90"/>
        <v/>
      </c>
      <c r="AA443" s="170" t="str">
        <f t="shared" si="95"/>
        <v/>
      </c>
      <c r="AB443" s="170" t="str">
        <f t="shared" si="96"/>
        <v/>
      </c>
      <c r="AC443" s="172" t="str">
        <f t="shared" si="97"/>
        <v/>
      </c>
      <c r="AE443" s="182"/>
      <c r="AF443" s="182"/>
      <c r="AG443" s="182"/>
      <c r="AH443" s="182"/>
      <c r="AI443" s="182"/>
      <c r="AJ443" s="182"/>
      <c r="AK443" s="182"/>
      <c r="AL443" s="182"/>
      <c r="AM443" s="182"/>
      <c r="AN443" s="182"/>
      <c r="AO443" s="182"/>
      <c r="AP443" s="182"/>
      <c r="AQ443" s="182"/>
      <c r="AR443" s="182"/>
      <c r="AS443" s="182"/>
    </row>
    <row r="444" spans="1:45" ht="15">
      <c r="A444" s="263"/>
      <c r="B444" s="260"/>
      <c r="C444" s="244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70" t="str">
        <f t="shared" si="91"/>
        <v/>
      </c>
      <c r="U444" s="170" t="str">
        <f t="shared" si="92"/>
        <v/>
      </c>
      <c r="V444" s="170" t="str">
        <f t="shared" si="93"/>
        <v/>
      </c>
      <c r="W444" s="170" t="str">
        <f t="shared" si="94"/>
        <v/>
      </c>
      <c r="X444" s="170" t="str">
        <f t="shared" si="88"/>
        <v/>
      </c>
      <c r="Y444" s="170" t="str">
        <f t="shared" si="89"/>
        <v/>
      </c>
      <c r="Z444" s="171" t="str">
        <f t="shared" si="90"/>
        <v/>
      </c>
      <c r="AA444" s="170" t="str">
        <f t="shared" si="95"/>
        <v/>
      </c>
      <c r="AB444" s="170" t="str">
        <f t="shared" si="96"/>
        <v/>
      </c>
      <c r="AC444" s="172" t="str">
        <f t="shared" si="97"/>
        <v/>
      </c>
      <c r="AE444" s="182"/>
      <c r="AF444" s="182"/>
      <c r="AG444" s="182"/>
      <c r="AH444" s="182"/>
      <c r="AI444" s="182"/>
      <c r="AJ444" s="182"/>
      <c r="AK444" s="182"/>
      <c r="AL444" s="182"/>
      <c r="AM444" s="182"/>
      <c r="AN444" s="182"/>
      <c r="AO444" s="182"/>
      <c r="AP444" s="182"/>
      <c r="AQ444" s="182"/>
      <c r="AR444" s="182"/>
      <c r="AS444" s="182"/>
    </row>
    <row r="445" spans="1:45" ht="15">
      <c r="A445" s="263"/>
      <c r="B445" s="261"/>
      <c r="C445" s="245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70" t="str">
        <f t="shared" si="91"/>
        <v/>
      </c>
      <c r="U445" s="170" t="str">
        <f t="shared" si="92"/>
        <v/>
      </c>
      <c r="V445" s="170" t="str">
        <f t="shared" si="93"/>
        <v/>
      </c>
      <c r="W445" s="170" t="str">
        <f t="shared" si="94"/>
        <v/>
      </c>
      <c r="X445" s="170" t="str">
        <f t="shared" si="88"/>
        <v/>
      </c>
      <c r="Y445" s="170" t="str">
        <f t="shared" si="89"/>
        <v/>
      </c>
      <c r="Z445" s="171" t="str">
        <f t="shared" si="90"/>
        <v/>
      </c>
      <c r="AA445" s="170" t="str">
        <f t="shared" si="95"/>
        <v/>
      </c>
      <c r="AB445" s="170" t="str">
        <f t="shared" si="96"/>
        <v/>
      </c>
      <c r="AC445" s="172" t="str">
        <f t="shared" si="97"/>
        <v/>
      </c>
      <c r="AE445" s="182"/>
      <c r="AF445" s="182"/>
      <c r="AG445" s="182"/>
      <c r="AH445" s="182"/>
      <c r="AI445" s="182"/>
      <c r="AJ445" s="182"/>
      <c r="AK445" s="182"/>
      <c r="AL445" s="182"/>
      <c r="AM445" s="182"/>
      <c r="AN445" s="182"/>
      <c r="AO445" s="182"/>
      <c r="AP445" s="182"/>
      <c r="AQ445" s="182"/>
      <c r="AR445" s="182"/>
      <c r="AS445" s="182"/>
    </row>
    <row r="446" spans="1:45" ht="15" customHeight="1">
      <c r="A446" s="263">
        <v>56</v>
      </c>
      <c r="B446" s="252"/>
      <c r="C446" s="243"/>
      <c r="D446" s="184"/>
      <c r="E446" s="186"/>
      <c r="F446" s="186"/>
      <c r="G446" s="186"/>
      <c r="H446" s="186"/>
      <c r="I446" s="186"/>
      <c r="J446" s="186"/>
      <c r="K446" s="169"/>
      <c r="L446" s="169"/>
      <c r="M446" s="169"/>
      <c r="N446" s="169"/>
      <c r="O446" s="169"/>
      <c r="P446" s="169"/>
      <c r="Q446" s="169"/>
      <c r="R446" s="169"/>
      <c r="S446" s="169"/>
      <c r="T446" s="170" t="str">
        <f t="shared" si="91"/>
        <v/>
      </c>
      <c r="U446" s="170" t="str">
        <f t="shared" si="92"/>
        <v/>
      </c>
      <c r="V446" s="170" t="str">
        <f t="shared" si="93"/>
        <v/>
      </c>
      <c r="W446" s="170" t="str">
        <f t="shared" si="94"/>
        <v/>
      </c>
      <c r="X446" s="170" t="str">
        <f t="shared" si="88"/>
        <v/>
      </c>
      <c r="Y446" s="170" t="str">
        <f t="shared" si="89"/>
        <v/>
      </c>
      <c r="Z446" s="171" t="str">
        <f t="shared" si="90"/>
        <v/>
      </c>
      <c r="AA446" s="170" t="str">
        <f t="shared" si="95"/>
        <v/>
      </c>
      <c r="AB446" s="170" t="str">
        <f t="shared" si="96"/>
        <v/>
      </c>
      <c r="AC446" s="172" t="str">
        <f t="shared" si="97"/>
        <v/>
      </c>
      <c r="AE446" s="182"/>
      <c r="AF446" s="182"/>
      <c r="AG446" s="182"/>
      <c r="AH446" s="182"/>
      <c r="AI446" s="182"/>
      <c r="AJ446" s="182"/>
      <c r="AK446" s="182"/>
      <c r="AL446" s="182"/>
      <c r="AM446" s="182"/>
      <c r="AN446" s="182"/>
      <c r="AO446" s="182"/>
      <c r="AP446" s="182"/>
      <c r="AQ446" s="182"/>
      <c r="AR446" s="182"/>
      <c r="AS446" s="182"/>
    </row>
    <row r="447" spans="1:45">
      <c r="A447" s="263"/>
      <c r="B447" s="260"/>
      <c r="C447" s="244"/>
      <c r="D447" s="197"/>
      <c r="E447" s="191"/>
      <c r="F447" s="191"/>
      <c r="G447" s="191"/>
      <c r="H447" s="191"/>
      <c r="I447" s="191"/>
      <c r="J447" s="191"/>
      <c r="K447" s="169"/>
      <c r="L447" s="169"/>
      <c r="M447" s="169"/>
      <c r="N447" s="169"/>
      <c r="O447" s="169"/>
      <c r="P447" s="169"/>
      <c r="Q447" s="169"/>
      <c r="R447" s="169"/>
      <c r="S447" s="169"/>
      <c r="T447" s="170" t="str">
        <f t="shared" si="91"/>
        <v/>
      </c>
      <c r="U447" s="170" t="str">
        <f t="shared" si="92"/>
        <v/>
      </c>
      <c r="V447" s="170" t="str">
        <f t="shared" si="93"/>
        <v/>
      </c>
      <c r="W447" s="170" t="str">
        <f t="shared" si="94"/>
        <v/>
      </c>
      <c r="X447" s="170" t="str">
        <f t="shared" si="88"/>
        <v/>
      </c>
      <c r="Y447" s="170" t="str">
        <f t="shared" si="89"/>
        <v/>
      </c>
      <c r="Z447" s="171" t="str">
        <f t="shared" si="90"/>
        <v/>
      </c>
      <c r="AA447" s="170" t="str">
        <f t="shared" si="95"/>
        <v/>
      </c>
      <c r="AB447" s="170" t="str">
        <f t="shared" si="96"/>
        <v/>
      </c>
      <c r="AC447" s="172" t="str">
        <f t="shared" si="97"/>
        <v/>
      </c>
      <c r="AE447" s="182"/>
      <c r="AF447" s="182"/>
      <c r="AG447" s="182"/>
      <c r="AH447" s="182"/>
      <c r="AI447" s="182"/>
      <c r="AJ447" s="182"/>
      <c r="AK447" s="182"/>
      <c r="AL447" s="182"/>
      <c r="AM447" s="182"/>
      <c r="AN447" s="182"/>
      <c r="AO447" s="182"/>
      <c r="AP447" s="182"/>
      <c r="AQ447" s="182"/>
      <c r="AR447" s="182"/>
      <c r="AS447" s="182"/>
    </row>
    <row r="448" spans="1:45" ht="15">
      <c r="A448" s="263"/>
      <c r="B448" s="260"/>
      <c r="C448" s="244"/>
      <c r="D448" s="194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70" t="str">
        <f t="shared" si="91"/>
        <v/>
      </c>
      <c r="U448" s="170" t="str">
        <f t="shared" si="92"/>
        <v/>
      </c>
      <c r="V448" s="170" t="str">
        <f t="shared" si="93"/>
        <v/>
      </c>
      <c r="W448" s="170" t="str">
        <f t="shared" si="94"/>
        <v/>
      </c>
      <c r="X448" s="170" t="str">
        <f t="shared" si="88"/>
        <v/>
      </c>
      <c r="Y448" s="170" t="str">
        <f t="shared" si="89"/>
        <v/>
      </c>
      <c r="Z448" s="171" t="str">
        <f t="shared" si="90"/>
        <v/>
      </c>
      <c r="AA448" s="170" t="str">
        <f t="shared" si="95"/>
        <v/>
      </c>
      <c r="AB448" s="170" t="str">
        <f t="shared" si="96"/>
        <v/>
      </c>
      <c r="AC448" s="172" t="str">
        <f t="shared" si="97"/>
        <v/>
      </c>
      <c r="AE448" s="182"/>
      <c r="AF448" s="182"/>
      <c r="AG448" s="182"/>
      <c r="AH448" s="182"/>
      <c r="AI448" s="182"/>
      <c r="AJ448" s="182"/>
      <c r="AK448" s="182"/>
      <c r="AL448" s="182"/>
      <c r="AM448" s="182"/>
      <c r="AN448" s="182"/>
      <c r="AO448" s="182"/>
      <c r="AP448" s="182"/>
      <c r="AQ448" s="182"/>
      <c r="AR448" s="182"/>
      <c r="AS448" s="182"/>
    </row>
    <row r="449" spans="1:45" ht="15">
      <c r="A449" s="263"/>
      <c r="B449" s="260"/>
      <c r="C449" s="244"/>
      <c r="D449" s="193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70" t="str">
        <f t="shared" si="91"/>
        <v/>
      </c>
      <c r="U449" s="170" t="str">
        <f t="shared" si="92"/>
        <v/>
      </c>
      <c r="V449" s="170" t="str">
        <f t="shared" si="93"/>
        <v/>
      </c>
      <c r="W449" s="170" t="str">
        <f t="shared" si="94"/>
        <v/>
      </c>
      <c r="X449" s="170" t="str">
        <f t="shared" si="88"/>
        <v/>
      </c>
      <c r="Y449" s="170" t="str">
        <f t="shared" si="89"/>
        <v/>
      </c>
      <c r="Z449" s="171" t="str">
        <f t="shared" si="90"/>
        <v/>
      </c>
      <c r="AA449" s="170" t="str">
        <f t="shared" si="95"/>
        <v/>
      </c>
      <c r="AB449" s="170" t="str">
        <f t="shared" si="96"/>
        <v/>
      </c>
      <c r="AC449" s="172" t="str">
        <f t="shared" si="97"/>
        <v/>
      </c>
      <c r="AE449" s="182"/>
      <c r="AF449" s="182"/>
      <c r="AG449" s="182"/>
      <c r="AH449" s="182"/>
      <c r="AI449" s="182"/>
      <c r="AJ449" s="182"/>
      <c r="AK449" s="182"/>
      <c r="AL449" s="182"/>
      <c r="AM449" s="182"/>
      <c r="AN449" s="182"/>
      <c r="AO449" s="182"/>
      <c r="AP449" s="182"/>
      <c r="AQ449" s="182"/>
      <c r="AR449" s="182"/>
      <c r="AS449" s="182"/>
    </row>
    <row r="450" spans="1:45" ht="15">
      <c r="A450" s="263"/>
      <c r="B450" s="260"/>
      <c r="C450" s="244"/>
      <c r="D450" s="193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70" t="str">
        <f t="shared" si="91"/>
        <v/>
      </c>
      <c r="U450" s="170" t="str">
        <f t="shared" si="92"/>
        <v/>
      </c>
      <c r="V450" s="170" t="str">
        <f t="shared" si="93"/>
        <v/>
      </c>
      <c r="W450" s="170" t="str">
        <f t="shared" si="94"/>
        <v/>
      </c>
      <c r="X450" s="170" t="str">
        <f t="shared" si="88"/>
        <v/>
      </c>
      <c r="Y450" s="170" t="str">
        <f t="shared" si="89"/>
        <v/>
      </c>
      <c r="Z450" s="171" t="str">
        <f t="shared" si="90"/>
        <v/>
      </c>
      <c r="AA450" s="170" t="str">
        <f t="shared" si="95"/>
        <v/>
      </c>
      <c r="AB450" s="170" t="str">
        <f t="shared" si="96"/>
        <v/>
      </c>
      <c r="AC450" s="172" t="str">
        <f t="shared" si="97"/>
        <v/>
      </c>
      <c r="AE450" s="182"/>
      <c r="AF450" s="182"/>
      <c r="AG450" s="182"/>
      <c r="AH450" s="182"/>
      <c r="AI450" s="182"/>
      <c r="AJ450" s="182"/>
      <c r="AK450" s="182"/>
      <c r="AL450" s="182"/>
      <c r="AM450" s="182"/>
      <c r="AN450" s="182"/>
      <c r="AO450" s="182"/>
      <c r="AP450" s="182"/>
      <c r="AQ450" s="182"/>
      <c r="AR450" s="182"/>
      <c r="AS450" s="182"/>
    </row>
    <row r="451" spans="1:45" ht="15">
      <c r="A451" s="263"/>
      <c r="B451" s="260"/>
      <c r="C451" s="244"/>
      <c r="D451" s="193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70" t="str">
        <f t="shared" si="91"/>
        <v/>
      </c>
      <c r="U451" s="170" t="str">
        <f t="shared" si="92"/>
        <v/>
      </c>
      <c r="V451" s="170" t="str">
        <f t="shared" si="93"/>
        <v/>
      </c>
      <c r="W451" s="170" t="str">
        <f t="shared" si="94"/>
        <v/>
      </c>
      <c r="X451" s="170" t="str">
        <f t="shared" si="88"/>
        <v/>
      </c>
      <c r="Y451" s="170" t="str">
        <f t="shared" si="89"/>
        <v/>
      </c>
      <c r="Z451" s="171" t="str">
        <f t="shared" si="90"/>
        <v/>
      </c>
      <c r="AA451" s="170" t="str">
        <f t="shared" si="95"/>
        <v/>
      </c>
      <c r="AB451" s="170" t="str">
        <f t="shared" si="96"/>
        <v/>
      </c>
      <c r="AC451" s="172" t="str">
        <f t="shared" si="97"/>
        <v/>
      </c>
      <c r="AE451" s="182"/>
      <c r="AF451" s="182"/>
      <c r="AG451" s="182"/>
      <c r="AH451" s="182"/>
      <c r="AI451" s="182"/>
      <c r="AJ451" s="182"/>
      <c r="AK451" s="182"/>
      <c r="AL451" s="182"/>
      <c r="AM451" s="182"/>
      <c r="AN451" s="182"/>
      <c r="AO451" s="182"/>
      <c r="AP451" s="182"/>
      <c r="AQ451" s="182"/>
      <c r="AR451" s="182"/>
      <c r="AS451" s="182"/>
    </row>
    <row r="452" spans="1:45" ht="15">
      <c r="A452" s="263"/>
      <c r="B452" s="260"/>
      <c r="C452" s="244"/>
      <c r="D452" s="193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70" t="str">
        <f t="shared" si="91"/>
        <v/>
      </c>
      <c r="U452" s="170" t="str">
        <f t="shared" si="92"/>
        <v/>
      </c>
      <c r="V452" s="170" t="str">
        <f t="shared" si="93"/>
        <v/>
      </c>
      <c r="W452" s="170" t="str">
        <f t="shared" si="94"/>
        <v/>
      </c>
      <c r="X452" s="170" t="str">
        <f t="shared" si="88"/>
        <v/>
      </c>
      <c r="Y452" s="170" t="str">
        <f t="shared" si="89"/>
        <v/>
      </c>
      <c r="Z452" s="171" t="str">
        <f t="shared" si="90"/>
        <v/>
      </c>
      <c r="AA452" s="170" t="str">
        <f t="shared" si="95"/>
        <v/>
      </c>
      <c r="AB452" s="170" t="str">
        <f t="shared" si="96"/>
        <v/>
      </c>
      <c r="AC452" s="172" t="str">
        <f t="shared" si="97"/>
        <v/>
      </c>
      <c r="AE452" s="182"/>
      <c r="AF452" s="182"/>
      <c r="AG452" s="182"/>
      <c r="AH452" s="182"/>
      <c r="AI452" s="182"/>
      <c r="AJ452" s="182"/>
      <c r="AK452" s="182"/>
      <c r="AL452" s="182"/>
      <c r="AM452" s="182"/>
      <c r="AN452" s="182"/>
      <c r="AO452" s="182"/>
      <c r="AP452" s="182"/>
      <c r="AQ452" s="182"/>
      <c r="AR452" s="182"/>
      <c r="AS452" s="182"/>
    </row>
    <row r="453" spans="1:45" ht="15">
      <c r="A453" s="263"/>
      <c r="B453" s="261"/>
      <c r="C453" s="245"/>
      <c r="D453" s="193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70" t="str">
        <f t="shared" si="91"/>
        <v/>
      </c>
      <c r="U453" s="170" t="str">
        <f t="shared" si="92"/>
        <v/>
      </c>
      <c r="V453" s="170" t="str">
        <f t="shared" si="93"/>
        <v/>
      </c>
      <c r="W453" s="170" t="str">
        <f t="shared" si="94"/>
        <v/>
      </c>
      <c r="X453" s="170" t="str">
        <f t="shared" si="88"/>
        <v/>
      </c>
      <c r="Y453" s="170" t="str">
        <f t="shared" si="89"/>
        <v/>
      </c>
      <c r="Z453" s="171" t="str">
        <f t="shared" si="90"/>
        <v/>
      </c>
      <c r="AA453" s="170" t="str">
        <f t="shared" si="95"/>
        <v/>
      </c>
      <c r="AB453" s="170" t="str">
        <f t="shared" si="96"/>
        <v/>
      </c>
      <c r="AC453" s="172" t="str">
        <f t="shared" si="97"/>
        <v/>
      </c>
      <c r="AE453" s="182"/>
      <c r="AF453" s="182"/>
      <c r="AG453" s="182"/>
      <c r="AH453" s="182"/>
      <c r="AI453" s="182"/>
      <c r="AJ453" s="182"/>
      <c r="AK453" s="182"/>
      <c r="AL453" s="182"/>
      <c r="AM453" s="182"/>
      <c r="AN453" s="182"/>
      <c r="AO453" s="182"/>
      <c r="AP453" s="182"/>
      <c r="AQ453" s="182"/>
      <c r="AR453" s="182"/>
      <c r="AS453" s="182"/>
    </row>
    <row r="454" spans="1:45">
      <c r="A454" s="263">
        <v>57</v>
      </c>
      <c r="B454" s="252"/>
      <c r="C454" s="243"/>
      <c r="D454" s="184"/>
      <c r="E454" s="186"/>
      <c r="F454" s="186"/>
      <c r="G454" s="186"/>
      <c r="H454" s="186"/>
      <c r="I454" s="169"/>
      <c r="J454" s="191"/>
      <c r="K454" s="169"/>
      <c r="L454" s="169"/>
      <c r="M454" s="169"/>
      <c r="N454" s="169"/>
      <c r="O454" s="169"/>
      <c r="P454" s="169"/>
      <c r="Q454" s="169"/>
      <c r="R454" s="169"/>
      <c r="S454" s="169"/>
      <c r="T454" s="170" t="str">
        <f t="shared" si="91"/>
        <v/>
      </c>
      <c r="U454" s="170" t="str">
        <f t="shared" si="92"/>
        <v/>
      </c>
      <c r="V454" s="170" t="str">
        <f t="shared" si="93"/>
        <v/>
      </c>
      <c r="W454" s="170" t="str">
        <f t="shared" si="94"/>
        <v/>
      </c>
      <c r="X454" s="170" t="str">
        <f t="shared" si="88"/>
        <v/>
      </c>
      <c r="Y454" s="170" t="str">
        <f t="shared" si="89"/>
        <v/>
      </c>
      <c r="Z454" s="171" t="str">
        <f t="shared" si="90"/>
        <v/>
      </c>
      <c r="AA454" s="170" t="str">
        <f t="shared" si="95"/>
        <v/>
      </c>
      <c r="AB454" s="170" t="str">
        <f t="shared" si="96"/>
        <v/>
      </c>
      <c r="AC454" s="172" t="str">
        <f t="shared" si="97"/>
        <v/>
      </c>
      <c r="AE454" s="182"/>
      <c r="AF454" s="182"/>
      <c r="AG454" s="182"/>
      <c r="AH454" s="182"/>
      <c r="AI454" s="182"/>
      <c r="AJ454" s="182"/>
      <c r="AK454" s="182"/>
      <c r="AL454" s="182"/>
      <c r="AM454" s="182"/>
      <c r="AN454" s="182"/>
      <c r="AO454" s="182"/>
      <c r="AP454" s="182"/>
      <c r="AQ454" s="182"/>
      <c r="AR454" s="182"/>
      <c r="AS454" s="182"/>
    </row>
    <row r="455" spans="1:45" ht="15">
      <c r="A455" s="263"/>
      <c r="B455" s="260"/>
      <c r="C455" s="244"/>
      <c r="D455" s="198"/>
      <c r="E455" s="192"/>
      <c r="F455" s="192"/>
      <c r="G455" s="192"/>
      <c r="H455" s="192"/>
      <c r="I455" s="191"/>
      <c r="J455" s="191"/>
      <c r="K455" s="169"/>
      <c r="L455" s="169"/>
      <c r="M455" s="169"/>
      <c r="N455" s="169"/>
      <c r="O455" s="169"/>
      <c r="P455" s="169"/>
      <c r="Q455" s="169"/>
      <c r="R455" s="169"/>
      <c r="S455" s="169"/>
      <c r="T455" s="170" t="str">
        <f t="shared" si="91"/>
        <v/>
      </c>
      <c r="U455" s="170" t="str">
        <f t="shared" si="92"/>
        <v/>
      </c>
      <c r="V455" s="170" t="str">
        <f t="shared" si="93"/>
        <v/>
      </c>
      <c r="W455" s="170" t="str">
        <f t="shared" si="94"/>
        <v/>
      </c>
      <c r="X455" s="170" t="str">
        <f t="shared" ref="X455:X518" si="98">IF(COUNT(E455:S455)=0,"",V455-1*W455)</f>
        <v/>
      </c>
      <c r="Y455" s="170" t="str">
        <f t="shared" ref="Y455:Y518" si="99">IF(COUNT(E455:S455)=0,"",V455+1*W455)</f>
        <v/>
      </c>
      <c r="Z455" s="171" t="str">
        <f t="shared" ref="Z455:Z518" si="100">IF(COUNT(E455:S455)=0,"",SUM(IF(AND(E455&gt;X455,E455&lt;Y455),E455,0),IF(AND(F455&gt;X455,F455&lt;Y455),F455,0),IF(AND(G455&gt;X455,G455&lt;Y455),G455,0),IF(AND(H455&gt;X455,H455&lt;Y455),H455,0),IF(AND(I455&gt;X455,I455&lt;Y455),I455,0),IF(AND(J455&gt;X455,J455&lt;Y455),J455,0),IF(AND(K455&gt;X455,K455&lt;Y455),K455,0),IF(AND(L455&gt;X455,L455&lt;Y455),L455,0),IF(AND(M455&gt;X455,M455&lt;Y455),M455,0),IF(AND(N455&gt;X455,N455&lt;Y455),N455,0),IF(AND(O455&gt;X455,O455&lt;Y455),O455,0),IF(AND(P455&gt;X455,P455&lt;Y455),P455,0),IF(AND(Q455&gt;X455,Q455&lt;Y455),Q455,0),IF(AND(R455&gt;X455,R455&lt;Y455),R455,0),IF(AND(S455&gt;X455,S455&lt;Y455),S455,0))/SUM(IF(AND(E455&gt;X455,E455&lt;Y455,E455&lt;&gt;0),1,0),IF(AND(F455&gt;X455,F455&lt;Y455,F455&lt;&gt;0),1,0),IF(AND(G455&gt;X455,G455&lt;Y455,G455&lt;&gt;0),1,0),IF(AND(H455&gt;X455,H455&lt;Y455,H455&lt;&gt;0),1,0),IF(AND(I455&gt;X455,I455&lt;Y455,I455&lt;&gt;0),1,0),IF(AND(J455&gt;X455,J455&lt;Y455,J455&lt;&gt;0),1,0),IF(AND(K455&gt;X455,K455&lt;Y455,K455&lt;&gt;0),1,0),IF(AND(L455&gt;X455,L455&lt;Y455,L455&lt;&gt;0),1,0),IF(AND(M455&gt;X455,M455&lt;Y455,M455&lt;&gt;0),1,0),IF(AND(N455&gt;X455,N455&lt;Y455,N455&lt;&gt;0),1,0),IF(AND(O455&gt;X455,O455&lt;Y455,O455&lt;&gt;0),1,0),IF(AND(P455&gt;X455,P455&lt;Y455,P455&lt;&gt;0),1,0),IF(AND(Q455&gt;X455,Q455&lt;Y455,Q455&lt;&gt;0),1,0),IF(AND(R455&gt;X455,R455&lt;Y455,R455&lt;&gt;0),1,0),IF(AND(S455&gt;X455,S455&lt;Y455,S455&lt;&gt;0),1,0)))</f>
        <v/>
      </c>
      <c r="AA455" s="170" t="str">
        <f t="shared" si="95"/>
        <v/>
      </c>
      <c r="AB455" s="170" t="str">
        <f t="shared" si="96"/>
        <v/>
      </c>
      <c r="AC455" s="172" t="str">
        <f t="shared" si="97"/>
        <v/>
      </c>
      <c r="AE455" s="182"/>
      <c r="AF455" s="182"/>
      <c r="AG455" s="182"/>
      <c r="AH455" s="182"/>
      <c r="AI455" s="182"/>
      <c r="AJ455" s="182"/>
      <c r="AK455" s="182"/>
      <c r="AL455" s="182"/>
      <c r="AM455" s="182"/>
      <c r="AN455" s="182"/>
      <c r="AO455" s="182"/>
      <c r="AP455" s="182"/>
      <c r="AQ455" s="182"/>
      <c r="AR455" s="182"/>
      <c r="AS455" s="182"/>
    </row>
    <row r="456" spans="1:45" ht="15">
      <c r="A456" s="263"/>
      <c r="B456" s="260"/>
      <c r="C456" s="244"/>
      <c r="D456" s="198"/>
      <c r="E456" s="192"/>
      <c r="F456" s="192"/>
      <c r="G456" s="192"/>
      <c r="H456" s="192"/>
      <c r="I456" s="192"/>
      <c r="J456" s="192"/>
      <c r="K456" s="169"/>
      <c r="L456" s="169"/>
      <c r="M456" s="169"/>
      <c r="N456" s="169"/>
      <c r="O456" s="169"/>
      <c r="P456" s="169"/>
      <c r="Q456" s="169"/>
      <c r="R456" s="169"/>
      <c r="S456" s="169"/>
      <c r="T456" s="170" t="str">
        <f t="shared" si="91"/>
        <v/>
      </c>
      <c r="U456" s="170" t="str">
        <f t="shared" si="92"/>
        <v/>
      </c>
      <c r="V456" s="170" t="str">
        <f t="shared" si="93"/>
        <v/>
      </c>
      <c r="W456" s="170" t="str">
        <f t="shared" si="94"/>
        <v/>
      </c>
      <c r="X456" s="170" t="str">
        <f t="shared" si="98"/>
        <v/>
      </c>
      <c r="Y456" s="170" t="str">
        <f t="shared" si="99"/>
        <v/>
      </c>
      <c r="Z456" s="171" t="str">
        <f t="shared" si="100"/>
        <v/>
      </c>
      <c r="AA456" s="170" t="str">
        <f t="shared" si="95"/>
        <v/>
      </c>
      <c r="AB456" s="170" t="str">
        <f t="shared" si="96"/>
        <v/>
      </c>
      <c r="AC456" s="172" t="str">
        <f t="shared" si="97"/>
        <v/>
      </c>
      <c r="AE456" s="182"/>
      <c r="AF456" s="182"/>
      <c r="AG456" s="182"/>
      <c r="AH456" s="182"/>
      <c r="AI456" s="182"/>
      <c r="AJ456" s="182"/>
      <c r="AK456" s="182"/>
      <c r="AL456" s="182"/>
      <c r="AM456" s="182"/>
      <c r="AN456" s="182"/>
      <c r="AO456" s="182"/>
      <c r="AP456" s="182"/>
      <c r="AQ456" s="182"/>
      <c r="AR456" s="182"/>
      <c r="AS456" s="182"/>
    </row>
    <row r="457" spans="1:45" ht="15">
      <c r="A457" s="263"/>
      <c r="B457" s="260"/>
      <c r="C457" s="244"/>
      <c r="D457" s="199"/>
      <c r="E457" s="192"/>
      <c r="F457" s="192"/>
      <c r="G457" s="192"/>
      <c r="H457" s="192"/>
      <c r="I457" s="192"/>
      <c r="J457" s="192"/>
      <c r="K457" s="169"/>
      <c r="L457" s="169"/>
      <c r="M457" s="169"/>
      <c r="N457" s="169"/>
      <c r="O457" s="169"/>
      <c r="P457" s="169"/>
      <c r="Q457" s="169"/>
      <c r="R457" s="169"/>
      <c r="S457" s="169"/>
      <c r="T457" s="170" t="str">
        <f t="shared" si="91"/>
        <v/>
      </c>
      <c r="U457" s="170" t="str">
        <f t="shared" si="92"/>
        <v/>
      </c>
      <c r="V457" s="170" t="str">
        <f t="shared" si="93"/>
        <v/>
      </c>
      <c r="W457" s="170" t="str">
        <f t="shared" si="94"/>
        <v/>
      </c>
      <c r="X457" s="170" t="str">
        <f t="shared" si="98"/>
        <v/>
      </c>
      <c r="Y457" s="170" t="str">
        <f t="shared" si="99"/>
        <v/>
      </c>
      <c r="Z457" s="171" t="str">
        <f t="shared" si="100"/>
        <v/>
      </c>
      <c r="AA457" s="170" t="str">
        <f t="shared" si="95"/>
        <v/>
      </c>
      <c r="AB457" s="170" t="str">
        <f t="shared" si="96"/>
        <v/>
      </c>
      <c r="AC457" s="172" t="str">
        <f t="shared" si="97"/>
        <v/>
      </c>
      <c r="AE457" s="182"/>
      <c r="AF457" s="182"/>
      <c r="AG457" s="182"/>
      <c r="AH457" s="182"/>
      <c r="AI457" s="182"/>
      <c r="AJ457" s="182"/>
      <c r="AK457" s="182"/>
      <c r="AL457" s="182"/>
      <c r="AM457" s="182"/>
      <c r="AN457" s="182"/>
      <c r="AO457" s="182"/>
      <c r="AP457" s="182"/>
      <c r="AQ457" s="182"/>
      <c r="AR457" s="182"/>
      <c r="AS457" s="182"/>
    </row>
    <row r="458" spans="1:45" ht="15">
      <c r="A458" s="263"/>
      <c r="B458" s="260"/>
      <c r="C458" s="244"/>
      <c r="D458" s="199"/>
      <c r="E458" s="192"/>
      <c r="F458" s="192"/>
      <c r="G458" s="192"/>
      <c r="H458" s="192"/>
      <c r="I458" s="192"/>
      <c r="J458" s="192"/>
      <c r="K458" s="169"/>
      <c r="L458" s="169"/>
      <c r="M458" s="169"/>
      <c r="N458" s="169"/>
      <c r="O458" s="169"/>
      <c r="P458" s="169"/>
      <c r="Q458" s="169"/>
      <c r="R458" s="169"/>
      <c r="S458" s="169"/>
      <c r="T458" s="170" t="str">
        <f t="shared" si="91"/>
        <v/>
      </c>
      <c r="U458" s="170" t="str">
        <f t="shared" si="92"/>
        <v/>
      </c>
      <c r="V458" s="170" t="str">
        <f t="shared" si="93"/>
        <v/>
      </c>
      <c r="W458" s="170" t="str">
        <f t="shared" si="94"/>
        <v/>
      </c>
      <c r="X458" s="170" t="str">
        <f t="shared" si="98"/>
        <v/>
      </c>
      <c r="Y458" s="170" t="str">
        <f t="shared" si="99"/>
        <v/>
      </c>
      <c r="Z458" s="171" t="str">
        <f t="shared" si="100"/>
        <v/>
      </c>
      <c r="AA458" s="170" t="str">
        <f t="shared" si="95"/>
        <v/>
      </c>
      <c r="AB458" s="170" t="str">
        <f t="shared" si="96"/>
        <v/>
      </c>
      <c r="AC458" s="172" t="str">
        <f t="shared" si="97"/>
        <v/>
      </c>
      <c r="AE458" s="182"/>
      <c r="AF458" s="182"/>
      <c r="AG458" s="182"/>
      <c r="AH458" s="182"/>
      <c r="AI458" s="182"/>
      <c r="AJ458" s="182"/>
      <c r="AK458" s="182"/>
      <c r="AL458" s="182"/>
      <c r="AM458" s="182"/>
      <c r="AN458" s="182"/>
      <c r="AO458" s="182"/>
      <c r="AP458" s="182"/>
      <c r="AQ458" s="182"/>
      <c r="AR458" s="182"/>
      <c r="AS458" s="182"/>
    </row>
    <row r="459" spans="1:45" ht="15">
      <c r="A459" s="263"/>
      <c r="B459" s="260"/>
      <c r="C459" s="244"/>
      <c r="D459" s="199"/>
      <c r="E459" s="192"/>
      <c r="F459" s="192"/>
      <c r="G459" s="192"/>
      <c r="H459" s="192"/>
      <c r="I459" s="192"/>
      <c r="J459" s="192"/>
      <c r="K459" s="169"/>
      <c r="L459" s="169"/>
      <c r="M459" s="169"/>
      <c r="N459" s="169"/>
      <c r="O459" s="169"/>
      <c r="P459" s="169"/>
      <c r="Q459" s="169"/>
      <c r="R459" s="169"/>
      <c r="S459" s="169"/>
      <c r="T459" s="170" t="str">
        <f t="shared" si="91"/>
        <v/>
      </c>
      <c r="U459" s="170" t="str">
        <f t="shared" si="92"/>
        <v/>
      </c>
      <c r="V459" s="170" t="str">
        <f t="shared" si="93"/>
        <v/>
      </c>
      <c r="W459" s="170" t="str">
        <f t="shared" si="94"/>
        <v/>
      </c>
      <c r="X459" s="170" t="str">
        <f t="shared" si="98"/>
        <v/>
      </c>
      <c r="Y459" s="170" t="str">
        <f t="shared" si="99"/>
        <v/>
      </c>
      <c r="Z459" s="171" t="str">
        <f t="shared" si="100"/>
        <v/>
      </c>
      <c r="AA459" s="170" t="str">
        <f t="shared" si="95"/>
        <v/>
      </c>
      <c r="AB459" s="170" t="str">
        <f t="shared" si="96"/>
        <v/>
      </c>
      <c r="AC459" s="172" t="str">
        <f t="shared" si="97"/>
        <v/>
      </c>
      <c r="AE459" s="182"/>
      <c r="AF459" s="182"/>
      <c r="AG459" s="182"/>
      <c r="AH459" s="182"/>
      <c r="AI459" s="182"/>
      <c r="AJ459" s="182"/>
      <c r="AK459" s="182"/>
      <c r="AL459" s="182"/>
      <c r="AM459" s="182"/>
      <c r="AN459" s="182"/>
      <c r="AO459" s="182"/>
      <c r="AP459" s="182"/>
      <c r="AQ459" s="182"/>
      <c r="AR459" s="182"/>
      <c r="AS459" s="182"/>
    </row>
    <row r="460" spans="1:45" ht="15">
      <c r="A460" s="263"/>
      <c r="B460" s="260"/>
      <c r="C460" s="244"/>
      <c r="D460" s="199"/>
      <c r="E460" s="192"/>
      <c r="F460" s="192"/>
      <c r="G460" s="192"/>
      <c r="H460" s="192"/>
      <c r="I460" s="192"/>
      <c r="J460" s="192"/>
      <c r="K460" s="169"/>
      <c r="L460" s="169"/>
      <c r="M460" s="169"/>
      <c r="N460" s="169"/>
      <c r="O460" s="169"/>
      <c r="P460" s="169"/>
      <c r="Q460" s="169"/>
      <c r="R460" s="169"/>
      <c r="S460" s="169"/>
      <c r="T460" s="170" t="str">
        <f t="shared" si="91"/>
        <v/>
      </c>
      <c r="U460" s="170" t="str">
        <f t="shared" si="92"/>
        <v/>
      </c>
      <c r="V460" s="170" t="str">
        <f t="shared" si="93"/>
        <v/>
      </c>
      <c r="W460" s="170" t="str">
        <f t="shared" si="94"/>
        <v/>
      </c>
      <c r="X460" s="170" t="str">
        <f t="shared" si="98"/>
        <v/>
      </c>
      <c r="Y460" s="170" t="str">
        <f t="shared" si="99"/>
        <v/>
      </c>
      <c r="Z460" s="171" t="str">
        <f t="shared" si="100"/>
        <v/>
      </c>
      <c r="AA460" s="170" t="str">
        <f t="shared" si="95"/>
        <v/>
      </c>
      <c r="AB460" s="170" t="str">
        <f t="shared" si="96"/>
        <v/>
      </c>
      <c r="AC460" s="172" t="str">
        <f t="shared" si="97"/>
        <v/>
      </c>
      <c r="AE460" s="182"/>
      <c r="AF460" s="182"/>
      <c r="AG460" s="182"/>
      <c r="AH460" s="182"/>
      <c r="AI460" s="182"/>
      <c r="AJ460" s="182"/>
      <c r="AK460" s="182"/>
      <c r="AL460" s="182"/>
      <c r="AM460" s="182"/>
      <c r="AN460" s="182"/>
      <c r="AO460" s="182"/>
      <c r="AP460" s="182"/>
      <c r="AQ460" s="182"/>
      <c r="AR460" s="182"/>
      <c r="AS460" s="182"/>
    </row>
    <row r="461" spans="1:45" ht="15">
      <c r="A461" s="263"/>
      <c r="B461" s="261"/>
      <c r="C461" s="245"/>
      <c r="D461" s="199"/>
      <c r="E461" s="192"/>
      <c r="F461" s="192"/>
      <c r="G461" s="192"/>
      <c r="H461" s="192"/>
      <c r="I461" s="192"/>
      <c r="J461" s="192"/>
      <c r="K461" s="169"/>
      <c r="L461" s="169"/>
      <c r="M461" s="169"/>
      <c r="N461" s="169"/>
      <c r="O461" s="169"/>
      <c r="P461" s="169"/>
      <c r="Q461" s="169"/>
      <c r="R461" s="169"/>
      <c r="S461" s="169"/>
      <c r="T461" s="170" t="str">
        <f t="shared" si="91"/>
        <v/>
      </c>
      <c r="U461" s="170" t="str">
        <f t="shared" si="92"/>
        <v/>
      </c>
      <c r="V461" s="170" t="str">
        <f t="shared" si="93"/>
        <v/>
      </c>
      <c r="W461" s="170" t="str">
        <f t="shared" si="94"/>
        <v/>
      </c>
      <c r="X461" s="170" t="str">
        <f t="shared" si="98"/>
        <v/>
      </c>
      <c r="Y461" s="170" t="str">
        <f t="shared" si="99"/>
        <v/>
      </c>
      <c r="Z461" s="171" t="str">
        <f t="shared" si="100"/>
        <v/>
      </c>
      <c r="AA461" s="170" t="str">
        <f t="shared" si="95"/>
        <v/>
      </c>
      <c r="AB461" s="170" t="str">
        <f t="shared" si="96"/>
        <v/>
      </c>
      <c r="AC461" s="172" t="str">
        <f t="shared" si="97"/>
        <v/>
      </c>
      <c r="AE461" s="182"/>
      <c r="AF461" s="182"/>
      <c r="AG461" s="182"/>
      <c r="AH461" s="182"/>
      <c r="AI461" s="182"/>
      <c r="AJ461" s="182"/>
      <c r="AK461" s="182"/>
      <c r="AL461" s="182"/>
      <c r="AM461" s="182"/>
      <c r="AN461" s="182"/>
      <c r="AO461" s="182"/>
      <c r="AP461" s="182"/>
      <c r="AQ461" s="182"/>
      <c r="AR461" s="182"/>
      <c r="AS461" s="182"/>
    </row>
    <row r="462" spans="1:45">
      <c r="A462" s="263">
        <v>58</v>
      </c>
      <c r="B462" s="252"/>
      <c r="C462" s="243"/>
      <c r="D462" s="184"/>
      <c r="E462" s="186"/>
      <c r="F462" s="186"/>
      <c r="G462" s="186"/>
      <c r="H462" s="186"/>
      <c r="I462" s="169"/>
      <c r="J462" s="186"/>
      <c r="K462" s="169"/>
      <c r="L462" s="169"/>
      <c r="M462" s="169"/>
      <c r="N462" s="169"/>
      <c r="O462" s="169"/>
      <c r="P462" s="169"/>
      <c r="Q462" s="169"/>
      <c r="R462" s="169"/>
      <c r="S462" s="169"/>
      <c r="T462" s="170" t="str">
        <f t="shared" si="91"/>
        <v/>
      </c>
      <c r="U462" s="170" t="str">
        <f t="shared" si="92"/>
        <v/>
      </c>
      <c r="V462" s="170" t="str">
        <f t="shared" si="93"/>
        <v/>
      </c>
      <c r="W462" s="170" t="str">
        <f t="shared" si="94"/>
        <v/>
      </c>
      <c r="X462" s="170" t="str">
        <f t="shared" si="98"/>
        <v/>
      </c>
      <c r="Y462" s="170" t="str">
        <f t="shared" si="99"/>
        <v/>
      </c>
      <c r="Z462" s="171" t="str">
        <f t="shared" si="100"/>
        <v/>
      </c>
      <c r="AA462" s="170" t="str">
        <f t="shared" si="95"/>
        <v/>
      </c>
      <c r="AB462" s="170" t="str">
        <f t="shared" si="96"/>
        <v/>
      </c>
      <c r="AC462" s="172" t="str">
        <f t="shared" si="97"/>
        <v/>
      </c>
      <c r="AE462" s="182"/>
      <c r="AF462" s="182"/>
      <c r="AG462" s="182"/>
      <c r="AH462" s="182"/>
      <c r="AI462" s="182"/>
      <c r="AJ462" s="182"/>
      <c r="AK462" s="182"/>
      <c r="AL462" s="182"/>
      <c r="AM462" s="182"/>
      <c r="AN462" s="182"/>
      <c r="AO462" s="182"/>
      <c r="AP462" s="182"/>
      <c r="AQ462" s="182"/>
      <c r="AR462" s="182"/>
      <c r="AS462" s="182"/>
    </row>
    <row r="463" spans="1:45" ht="15">
      <c r="A463" s="263"/>
      <c r="B463" s="260"/>
      <c r="C463" s="244"/>
      <c r="D463" s="195"/>
      <c r="E463" s="196"/>
      <c r="F463" s="196"/>
      <c r="G463" s="196"/>
      <c r="H463" s="196"/>
      <c r="I463" s="196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70" t="str">
        <f t="shared" si="91"/>
        <v/>
      </c>
      <c r="U463" s="170" t="str">
        <f t="shared" si="92"/>
        <v/>
      </c>
      <c r="V463" s="170" t="str">
        <f t="shared" si="93"/>
        <v/>
      </c>
      <c r="W463" s="170" t="str">
        <f t="shared" si="94"/>
        <v/>
      </c>
      <c r="X463" s="170" t="str">
        <f t="shared" si="98"/>
        <v/>
      </c>
      <c r="Y463" s="170" t="str">
        <f t="shared" si="99"/>
        <v/>
      </c>
      <c r="Z463" s="171" t="str">
        <f t="shared" si="100"/>
        <v/>
      </c>
      <c r="AA463" s="170" t="str">
        <f t="shared" si="95"/>
        <v/>
      </c>
      <c r="AB463" s="170" t="str">
        <f t="shared" si="96"/>
        <v/>
      </c>
      <c r="AC463" s="172" t="str">
        <f t="shared" si="97"/>
        <v/>
      </c>
      <c r="AE463" s="182"/>
      <c r="AF463" s="182"/>
      <c r="AG463" s="182"/>
      <c r="AH463" s="182"/>
      <c r="AI463" s="182"/>
      <c r="AJ463" s="182"/>
      <c r="AK463" s="182"/>
      <c r="AL463" s="182"/>
      <c r="AM463" s="182"/>
      <c r="AN463" s="182"/>
      <c r="AO463" s="182"/>
      <c r="AP463" s="182"/>
      <c r="AQ463" s="182"/>
      <c r="AR463" s="182"/>
      <c r="AS463" s="182"/>
    </row>
    <row r="464" spans="1:45" ht="15">
      <c r="A464" s="263"/>
      <c r="B464" s="260"/>
      <c r="C464" s="244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70" t="str">
        <f t="shared" si="91"/>
        <v/>
      </c>
      <c r="U464" s="170" t="str">
        <f t="shared" si="92"/>
        <v/>
      </c>
      <c r="V464" s="170" t="str">
        <f t="shared" si="93"/>
        <v/>
      </c>
      <c r="W464" s="170" t="str">
        <f t="shared" si="94"/>
        <v/>
      </c>
      <c r="X464" s="170" t="str">
        <f t="shared" si="98"/>
        <v/>
      </c>
      <c r="Y464" s="170" t="str">
        <f t="shared" si="99"/>
        <v/>
      </c>
      <c r="Z464" s="171" t="str">
        <f t="shared" si="100"/>
        <v/>
      </c>
      <c r="AA464" s="170" t="str">
        <f t="shared" si="95"/>
        <v/>
      </c>
      <c r="AB464" s="170" t="str">
        <f t="shared" si="96"/>
        <v/>
      </c>
      <c r="AC464" s="172" t="str">
        <f t="shared" si="97"/>
        <v/>
      </c>
      <c r="AE464" s="182"/>
      <c r="AF464" s="182"/>
      <c r="AG464" s="182"/>
      <c r="AH464" s="182"/>
      <c r="AI464" s="182"/>
      <c r="AJ464" s="182"/>
      <c r="AK464" s="182"/>
      <c r="AL464" s="182"/>
      <c r="AM464" s="182"/>
      <c r="AN464" s="182"/>
      <c r="AO464" s="182"/>
      <c r="AP464" s="182"/>
      <c r="AQ464" s="182"/>
      <c r="AR464" s="182"/>
      <c r="AS464" s="182"/>
    </row>
    <row r="465" spans="1:45" ht="15">
      <c r="A465" s="263"/>
      <c r="B465" s="260"/>
      <c r="C465" s="244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70" t="str">
        <f t="shared" si="91"/>
        <v/>
      </c>
      <c r="U465" s="170" t="str">
        <f t="shared" si="92"/>
        <v/>
      </c>
      <c r="V465" s="170" t="str">
        <f t="shared" si="93"/>
        <v/>
      </c>
      <c r="W465" s="170" t="str">
        <f t="shared" si="94"/>
        <v/>
      </c>
      <c r="X465" s="170" t="str">
        <f t="shared" si="98"/>
        <v/>
      </c>
      <c r="Y465" s="170" t="str">
        <f t="shared" si="99"/>
        <v/>
      </c>
      <c r="Z465" s="171" t="str">
        <f t="shared" si="100"/>
        <v/>
      </c>
      <c r="AA465" s="170" t="str">
        <f t="shared" si="95"/>
        <v/>
      </c>
      <c r="AB465" s="170" t="str">
        <f t="shared" si="96"/>
        <v/>
      </c>
      <c r="AC465" s="172" t="str">
        <f t="shared" si="97"/>
        <v/>
      </c>
      <c r="AE465" s="182"/>
      <c r="AF465" s="182"/>
      <c r="AG465" s="182"/>
      <c r="AH465" s="182"/>
      <c r="AI465" s="182"/>
      <c r="AJ465" s="182"/>
      <c r="AK465" s="182"/>
      <c r="AL465" s="182"/>
      <c r="AM465" s="182"/>
      <c r="AN465" s="182"/>
      <c r="AO465" s="182"/>
      <c r="AP465" s="182"/>
      <c r="AQ465" s="182"/>
      <c r="AR465" s="182"/>
      <c r="AS465" s="182"/>
    </row>
    <row r="466" spans="1:45" ht="15">
      <c r="A466" s="263"/>
      <c r="B466" s="260"/>
      <c r="C466" s="244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70" t="str">
        <f t="shared" si="91"/>
        <v/>
      </c>
      <c r="U466" s="170" t="str">
        <f t="shared" si="92"/>
        <v/>
      </c>
      <c r="V466" s="170" t="str">
        <f t="shared" si="93"/>
        <v/>
      </c>
      <c r="W466" s="170" t="str">
        <f t="shared" si="94"/>
        <v/>
      </c>
      <c r="X466" s="170" t="str">
        <f t="shared" si="98"/>
        <v/>
      </c>
      <c r="Y466" s="170" t="str">
        <f t="shared" si="99"/>
        <v/>
      </c>
      <c r="Z466" s="171" t="str">
        <f t="shared" si="100"/>
        <v/>
      </c>
      <c r="AA466" s="170" t="str">
        <f t="shared" si="95"/>
        <v/>
      </c>
      <c r="AB466" s="170" t="str">
        <f t="shared" si="96"/>
        <v/>
      </c>
      <c r="AC466" s="172" t="str">
        <f t="shared" si="97"/>
        <v/>
      </c>
      <c r="AE466" s="182"/>
      <c r="AF466" s="182"/>
      <c r="AG466" s="182"/>
      <c r="AH466" s="182"/>
      <c r="AI466" s="182"/>
      <c r="AJ466" s="182"/>
      <c r="AK466" s="182"/>
      <c r="AL466" s="182"/>
      <c r="AM466" s="182"/>
      <c r="AN466" s="182"/>
      <c r="AO466" s="182"/>
      <c r="AP466" s="182"/>
      <c r="AQ466" s="182"/>
      <c r="AR466" s="182"/>
      <c r="AS466" s="182"/>
    </row>
    <row r="467" spans="1:45" ht="15">
      <c r="A467" s="263"/>
      <c r="B467" s="260"/>
      <c r="C467" s="244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70" t="str">
        <f t="shared" si="91"/>
        <v/>
      </c>
      <c r="U467" s="170" t="str">
        <f t="shared" si="92"/>
        <v/>
      </c>
      <c r="V467" s="170" t="str">
        <f t="shared" si="93"/>
        <v/>
      </c>
      <c r="W467" s="170" t="str">
        <f t="shared" si="94"/>
        <v/>
      </c>
      <c r="X467" s="170" t="str">
        <f t="shared" si="98"/>
        <v/>
      </c>
      <c r="Y467" s="170" t="str">
        <f t="shared" si="99"/>
        <v/>
      </c>
      <c r="Z467" s="171" t="str">
        <f t="shared" si="100"/>
        <v/>
      </c>
      <c r="AA467" s="170" t="str">
        <f t="shared" si="95"/>
        <v/>
      </c>
      <c r="AB467" s="170" t="str">
        <f t="shared" si="96"/>
        <v/>
      </c>
      <c r="AC467" s="172" t="str">
        <f t="shared" si="97"/>
        <v/>
      </c>
      <c r="AE467" s="182"/>
      <c r="AF467" s="182"/>
      <c r="AG467" s="182"/>
      <c r="AH467" s="182"/>
      <c r="AI467" s="182"/>
      <c r="AJ467" s="182"/>
      <c r="AK467" s="182"/>
      <c r="AL467" s="182"/>
      <c r="AM467" s="182"/>
      <c r="AN467" s="182"/>
      <c r="AO467" s="182"/>
      <c r="AP467" s="182"/>
      <c r="AQ467" s="182"/>
      <c r="AR467" s="182"/>
      <c r="AS467" s="182"/>
    </row>
    <row r="468" spans="1:45" ht="15">
      <c r="A468" s="263"/>
      <c r="B468" s="260"/>
      <c r="C468" s="244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70" t="str">
        <f t="shared" si="91"/>
        <v/>
      </c>
      <c r="U468" s="170" t="str">
        <f t="shared" si="92"/>
        <v/>
      </c>
      <c r="V468" s="170" t="str">
        <f t="shared" si="93"/>
        <v/>
      </c>
      <c r="W468" s="170" t="str">
        <f t="shared" si="94"/>
        <v/>
      </c>
      <c r="X468" s="170" t="str">
        <f t="shared" si="98"/>
        <v/>
      </c>
      <c r="Y468" s="170" t="str">
        <f t="shared" si="99"/>
        <v/>
      </c>
      <c r="Z468" s="171" t="str">
        <f t="shared" si="100"/>
        <v/>
      </c>
      <c r="AA468" s="170" t="str">
        <f t="shared" si="95"/>
        <v/>
      </c>
      <c r="AB468" s="170" t="str">
        <f t="shared" si="96"/>
        <v/>
      </c>
      <c r="AC468" s="172" t="str">
        <f t="shared" si="97"/>
        <v/>
      </c>
      <c r="AE468" s="182"/>
      <c r="AF468" s="182"/>
      <c r="AG468" s="182"/>
      <c r="AH468" s="182"/>
      <c r="AI468" s="182"/>
      <c r="AJ468" s="182"/>
      <c r="AK468" s="182"/>
      <c r="AL468" s="182"/>
      <c r="AM468" s="182"/>
      <c r="AN468" s="182"/>
      <c r="AO468" s="182"/>
      <c r="AP468" s="182"/>
      <c r="AQ468" s="182"/>
      <c r="AR468" s="182"/>
      <c r="AS468" s="182"/>
    </row>
    <row r="469" spans="1:45" ht="15">
      <c r="A469" s="263"/>
      <c r="B469" s="261"/>
      <c r="C469" s="245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70" t="str">
        <f t="shared" si="91"/>
        <v/>
      </c>
      <c r="U469" s="170" t="str">
        <f t="shared" si="92"/>
        <v/>
      </c>
      <c r="V469" s="170" t="str">
        <f t="shared" si="93"/>
        <v/>
      </c>
      <c r="W469" s="170" t="str">
        <f t="shared" si="94"/>
        <v/>
      </c>
      <c r="X469" s="170" t="str">
        <f t="shared" si="98"/>
        <v/>
      </c>
      <c r="Y469" s="170" t="str">
        <f t="shared" si="99"/>
        <v/>
      </c>
      <c r="Z469" s="171" t="str">
        <f t="shared" si="100"/>
        <v/>
      </c>
      <c r="AA469" s="170" t="str">
        <f t="shared" si="95"/>
        <v/>
      </c>
      <c r="AB469" s="170" t="str">
        <f t="shared" si="96"/>
        <v/>
      </c>
      <c r="AC469" s="172" t="str">
        <f t="shared" si="97"/>
        <v/>
      </c>
      <c r="AE469" s="182"/>
      <c r="AF469" s="182"/>
      <c r="AG469" s="182"/>
      <c r="AH469" s="182"/>
      <c r="AI469" s="182"/>
      <c r="AJ469" s="182"/>
      <c r="AK469" s="182"/>
      <c r="AL469" s="182"/>
      <c r="AM469" s="182"/>
      <c r="AN469" s="182"/>
      <c r="AO469" s="182"/>
      <c r="AP469" s="182"/>
      <c r="AQ469" s="182"/>
      <c r="AR469" s="182"/>
      <c r="AS469" s="182"/>
    </row>
    <row r="470" spans="1:45">
      <c r="A470" s="263">
        <v>59</v>
      </c>
      <c r="B470" s="252"/>
      <c r="C470" s="243"/>
      <c r="D470" s="184"/>
      <c r="E470" s="186"/>
      <c r="F470" s="186"/>
      <c r="G470" s="186"/>
      <c r="H470" s="186"/>
      <c r="I470" s="169"/>
      <c r="J470" s="186"/>
      <c r="K470" s="169"/>
      <c r="L470" s="169"/>
      <c r="M470" s="169"/>
      <c r="N470" s="169"/>
      <c r="O470" s="169"/>
      <c r="P470" s="169"/>
      <c r="Q470" s="169"/>
      <c r="R470" s="169"/>
      <c r="S470" s="169"/>
      <c r="T470" s="170" t="str">
        <f t="shared" ref="T470:T533" si="101">IF(COUNT(E470:S470)=0,"",SUM(E470:S470))</f>
        <v/>
      </c>
      <c r="U470" s="170" t="str">
        <f t="shared" ref="U470:U533" si="102">IF(COUNT(E470:S470)=0,"",SUMSQ(E470:S470))</f>
        <v/>
      </c>
      <c r="V470" s="170" t="str">
        <f t="shared" ref="V470:V533" si="103">IF(COUNT(E470:S470)=0,"",AVERAGE(E470:S470))</f>
        <v/>
      </c>
      <c r="W470" s="170" t="str">
        <f t="shared" ref="W470:W533" si="104">IF(COUNT(E470:S470)=0,"",STDEVP(E470:S470))</f>
        <v/>
      </c>
      <c r="X470" s="170" t="str">
        <f t="shared" si="98"/>
        <v/>
      </c>
      <c r="Y470" s="170" t="str">
        <f t="shared" si="99"/>
        <v/>
      </c>
      <c r="Z470" s="171" t="str">
        <f t="shared" si="100"/>
        <v/>
      </c>
      <c r="AA470" s="170" t="str">
        <f t="shared" ref="AA470:AA533" si="105">IF(COUNT(E470:S470)=0,"",SUM(IF(AND(E470&gt;X470,E470&lt;Y470),E470,0),IF(AND(F470&gt;X470,F470&lt;Y470),F470,0),IF(AND(G470&gt;X470,G470&lt;Y470),G470,0),IF(AND(H470&gt;X470,H470&lt;Y470),H470,0),IF(AND(I470&gt;X470,I470&lt;Y470),I470,0),IF(AND(J470&gt;X470,J470&lt;Y470),J470,0),IF(AND(K470&gt;X470,K470&lt;Y470),K470,0),IF(AND(L470&gt;X470,L470&lt;Y470),L470,0),IF(AND(M470&gt;X470,M470&lt;Y470),M470,0),IF(AND(N470&gt;X470,N470&lt;Y470),N470,0),IF(AND(O470&gt;X470,O470&lt;Y470),O470,0),IF(AND(P470&gt;X470,P470&lt;Y470),P470,0),IF(AND(Q470&gt;X470,Q470&lt;Y470),Q470,0),IF(AND(R470&gt;X470,R470&lt;Y470),R470,0),IF(AND(S470&gt;X470,S470&lt;Y470),S470,0)))</f>
        <v/>
      </c>
      <c r="AB470" s="170" t="str">
        <f t="shared" ref="AB470:AB533" si="106">IF(COUNT(E470:S470)=0,"",SUMSQ(IF(AND(E470&gt;X470,E470&lt;Y470),E470,0),IF(AND(F470&gt;X470,F470&lt;Y470),F470,0),IF(AND(G470&gt;X470,G470&lt;Y470),G470,0),IF(AND(H470&gt;X470,H470&lt;Y470),H470,0),IF(AND(I470&gt;X470,I470&lt;Y470),I470,0),IF(AND(J470&gt;X470,J470&lt;Y470),J470,0),IF(AND(K470&gt;X470,K470&lt;Y470),K470,0),IF(AND(L470&gt;X470,L470&lt;Y470),L470,0),IF(AND(M470&gt;X470,M470&lt;Y470),M470,0),IF(AND(N470&gt;X470,N470&lt;Y470),N470,0),IF(AND(O470&gt;X470,O470&lt;Y470),O470,0),IF(AND(P470&gt;X470,P470&lt;Y470),P470,0),IF(AND(Q470&gt;X470,Q470&lt;Y470),Q470,0),IF(AND(R470&gt;X470,R470&lt;Y470),R470,0),IF(AND(S470&gt;X470,S470&lt;Y470),S470,0)))</f>
        <v/>
      </c>
      <c r="AC470" s="172" t="str">
        <f t="shared" ref="AC470:AC533" si="107">IF(COUNT(E470:S470)=0,"",POWER(40*SQRT(SUM(IF(AND(E470&gt;X470,E470&lt;Y470),1,0),IF(AND(F470&gt;X470,F470&lt;Y470),1,0),IF(AND(G470&gt;X470,G470&lt;Y470),1,0),IF(AND(H470&gt;X470,H470&lt;Y470),1,0),IF(AND(I470&gt;X470,I470&lt;Y470),1,0),IF(AND(J470&gt;X470,J470&lt;Y470),1,0),IF(AND(K470&gt;X470,K470&lt;Y470),1,0),IF(AND(L470&gt;X470,L470&lt;Y470),1,0),IF(AND(M470&gt;X470,M470&lt;Y470),1,0),IF(AND(N470&gt;X470,N470&lt;Y470),1,0),IF(AND(O470&gt;X470,O470&lt;Y470),1,0),IF(AND(P470&gt;X470,P470&lt;Y470),1,0),IF(AND(Q470&gt;X470,Q470&lt;Y470),1,0),IF(AND(R470&gt;X470,R470&lt;Y470),1,0),IF(AND(S470&gt;X470,S470&lt;Y470),1,0))*AB470-POWER(AA470,2))/AA470,2))</f>
        <v/>
      </c>
      <c r="AE470" s="182"/>
      <c r="AF470" s="182"/>
      <c r="AG470" s="182"/>
      <c r="AH470" s="182"/>
      <c r="AI470" s="182"/>
      <c r="AJ470" s="182"/>
      <c r="AK470" s="182"/>
      <c r="AL470" s="182"/>
      <c r="AM470" s="182"/>
      <c r="AN470" s="182"/>
      <c r="AO470" s="182"/>
      <c r="AP470" s="182"/>
      <c r="AQ470" s="182"/>
      <c r="AR470" s="182"/>
      <c r="AS470" s="182"/>
    </row>
    <row r="471" spans="1:45">
      <c r="A471" s="263"/>
      <c r="B471" s="260"/>
      <c r="C471" s="244"/>
      <c r="D471" s="184"/>
      <c r="E471" s="186"/>
      <c r="F471" s="186"/>
      <c r="G471" s="186"/>
      <c r="H471" s="186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70" t="str">
        <f t="shared" si="101"/>
        <v/>
      </c>
      <c r="U471" s="170" t="str">
        <f t="shared" si="102"/>
        <v/>
      </c>
      <c r="V471" s="170" t="str">
        <f t="shared" si="103"/>
        <v/>
      </c>
      <c r="W471" s="170" t="str">
        <f t="shared" si="104"/>
        <v/>
      </c>
      <c r="X471" s="170" t="str">
        <f t="shared" si="98"/>
        <v/>
      </c>
      <c r="Y471" s="170" t="str">
        <f t="shared" si="99"/>
        <v/>
      </c>
      <c r="Z471" s="171" t="str">
        <f t="shared" si="100"/>
        <v/>
      </c>
      <c r="AA471" s="170" t="str">
        <f t="shared" si="105"/>
        <v/>
      </c>
      <c r="AB471" s="170" t="str">
        <f t="shared" si="106"/>
        <v/>
      </c>
      <c r="AC471" s="172" t="str">
        <f t="shared" si="107"/>
        <v/>
      </c>
      <c r="AE471" s="182"/>
      <c r="AF471" s="182"/>
      <c r="AG471" s="182"/>
      <c r="AH471" s="182"/>
      <c r="AI471" s="182"/>
      <c r="AJ471" s="182"/>
      <c r="AK471" s="182"/>
      <c r="AL471" s="182"/>
      <c r="AM471" s="182"/>
      <c r="AN471" s="182"/>
      <c r="AO471" s="182"/>
      <c r="AP471" s="182"/>
      <c r="AQ471" s="182"/>
      <c r="AR471" s="182"/>
      <c r="AS471" s="182"/>
    </row>
    <row r="472" spans="1:45" ht="15">
      <c r="A472" s="263"/>
      <c r="B472" s="260"/>
      <c r="C472" s="244"/>
      <c r="D472" s="193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70" t="str">
        <f t="shared" si="101"/>
        <v/>
      </c>
      <c r="U472" s="170" t="str">
        <f t="shared" si="102"/>
        <v/>
      </c>
      <c r="V472" s="170" t="str">
        <f t="shared" si="103"/>
        <v/>
      </c>
      <c r="W472" s="170" t="str">
        <f t="shared" si="104"/>
        <v/>
      </c>
      <c r="X472" s="170" t="str">
        <f t="shared" si="98"/>
        <v/>
      </c>
      <c r="Y472" s="170" t="str">
        <f t="shared" si="99"/>
        <v/>
      </c>
      <c r="Z472" s="171" t="str">
        <f t="shared" si="100"/>
        <v/>
      </c>
      <c r="AA472" s="170" t="str">
        <f t="shared" si="105"/>
        <v/>
      </c>
      <c r="AB472" s="170" t="str">
        <f t="shared" si="106"/>
        <v/>
      </c>
      <c r="AC472" s="172" t="str">
        <f t="shared" si="107"/>
        <v/>
      </c>
      <c r="AE472" s="182"/>
      <c r="AF472" s="182"/>
      <c r="AG472" s="182"/>
      <c r="AH472" s="182"/>
      <c r="AI472" s="182"/>
      <c r="AJ472" s="182"/>
      <c r="AK472" s="182"/>
      <c r="AL472" s="182"/>
      <c r="AM472" s="182"/>
      <c r="AN472" s="182"/>
      <c r="AO472" s="182"/>
      <c r="AP472" s="182"/>
      <c r="AQ472" s="182"/>
      <c r="AR472" s="182"/>
      <c r="AS472" s="182"/>
    </row>
    <row r="473" spans="1:45" ht="15">
      <c r="A473" s="263"/>
      <c r="B473" s="260"/>
      <c r="C473" s="244"/>
      <c r="D473" s="193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70" t="str">
        <f t="shared" si="101"/>
        <v/>
      </c>
      <c r="U473" s="170" t="str">
        <f t="shared" si="102"/>
        <v/>
      </c>
      <c r="V473" s="170" t="str">
        <f t="shared" si="103"/>
        <v/>
      </c>
      <c r="W473" s="170" t="str">
        <f t="shared" si="104"/>
        <v/>
      </c>
      <c r="X473" s="170" t="str">
        <f t="shared" si="98"/>
        <v/>
      </c>
      <c r="Y473" s="170" t="str">
        <f t="shared" si="99"/>
        <v/>
      </c>
      <c r="Z473" s="171" t="str">
        <f t="shared" si="100"/>
        <v/>
      </c>
      <c r="AA473" s="170" t="str">
        <f t="shared" si="105"/>
        <v/>
      </c>
      <c r="AB473" s="170" t="str">
        <f t="shared" si="106"/>
        <v/>
      </c>
      <c r="AC473" s="172" t="str">
        <f t="shared" si="107"/>
        <v/>
      </c>
      <c r="AE473" s="182"/>
      <c r="AF473" s="182"/>
      <c r="AG473" s="182"/>
      <c r="AH473" s="182"/>
      <c r="AI473" s="182"/>
      <c r="AJ473" s="182"/>
      <c r="AK473" s="182"/>
      <c r="AL473" s="182"/>
      <c r="AM473" s="182"/>
      <c r="AN473" s="182"/>
      <c r="AO473" s="182"/>
      <c r="AP473" s="182"/>
      <c r="AQ473" s="182"/>
      <c r="AR473" s="182"/>
      <c r="AS473" s="182"/>
    </row>
    <row r="474" spans="1:45" ht="15">
      <c r="A474" s="263"/>
      <c r="B474" s="260"/>
      <c r="C474" s="244"/>
      <c r="D474" s="193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70" t="str">
        <f t="shared" si="101"/>
        <v/>
      </c>
      <c r="U474" s="170" t="str">
        <f t="shared" si="102"/>
        <v/>
      </c>
      <c r="V474" s="170" t="str">
        <f t="shared" si="103"/>
        <v/>
      </c>
      <c r="W474" s="170" t="str">
        <f t="shared" si="104"/>
        <v/>
      </c>
      <c r="X474" s="170" t="str">
        <f t="shared" si="98"/>
        <v/>
      </c>
      <c r="Y474" s="170" t="str">
        <f t="shared" si="99"/>
        <v/>
      </c>
      <c r="Z474" s="171" t="str">
        <f t="shared" si="100"/>
        <v/>
      </c>
      <c r="AA474" s="170" t="str">
        <f t="shared" si="105"/>
        <v/>
      </c>
      <c r="AB474" s="170" t="str">
        <f t="shared" si="106"/>
        <v/>
      </c>
      <c r="AC474" s="172" t="str">
        <f t="shared" si="107"/>
        <v/>
      </c>
      <c r="AE474" s="182"/>
      <c r="AF474" s="182"/>
      <c r="AG474" s="182"/>
      <c r="AH474" s="182"/>
      <c r="AI474" s="182"/>
      <c r="AJ474" s="182"/>
      <c r="AK474" s="182"/>
      <c r="AL474" s="182"/>
      <c r="AM474" s="182"/>
      <c r="AN474" s="182"/>
      <c r="AO474" s="182"/>
      <c r="AP474" s="182"/>
      <c r="AQ474" s="182"/>
      <c r="AR474" s="182"/>
      <c r="AS474" s="182"/>
    </row>
    <row r="475" spans="1:45" ht="15">
      <c r="A475" s="263"/>
      <c r="B475" s="260"/>
      <c r="C475" s="244"/>
      <c r="D475" s="193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70" t="str">
        <f t="shared" si="101"/>
        <v/>
      </c>
      <c r="U475" s="170" t="str">
        <f t="shared" si="102"/>
        <v/>
      </c>
      <c r="V475" s="170" t="str">
        <f t="shared" si="103"/>
        <v/>
      </c>
      <c r="W475" s="170" t="str">
        <f t="shared" si="104"/>
        <v/>
      </c>
      <c r="X475" s="170" t="str">
        <f t="shared" si="98"/>
        <v/>
      </c>
      <c r="Y475" s="170" t="str">
        <f t="shared" si="99"/>
        <v/>
      </c>
      <c r="Z475" s="171" t="str">
        <f t="shared" si="100"/>
        <v/>
      </c>
      <c r="AA475" s="170" t="str">
        <f t="shared" si="105"/>
        <v/>
      </c>
      <c r="AB475" s="170" t="str">
        <f t="shared" si="106"/>
        <v/>
      </c>
      <c r="AC475" s="172" t="str">
        <f t="shared" si="107"/>
        <v/>
      </c>
      <c r="AE475" s="182"/>
      <c r="AF475" s="182"/>
      <c r="AG475" s="182"/>
      <c r="AH475" s="182"/>
      <c r="AI475" s="182"/>
      <c r="AJ475" s="182"/>
      <c r="AK475" s="182"/>
      <c r="AL475" s="182"/>
      <c r="AM475" s="182"/>
      <c r="AN475" s="182"/>
      <c r="AO475" s="182"/>
      <c r="AP475" s="182"/>
      <c r="AQ475" s="182"/>
      <c r="AR475" s="182"/>
      <c r="AS475" s="182"/>
    </row>
    <row r="476" spans="1:45" ht="15">
      <c r="A476" s="263"/>
      <c r="B476" s="260"/>
      <c r="C476" s="244"/>
      <c r="D476" s="193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70" t="str">
        <f t="shared" si="101"/>
        <v/>
      </c>
      <c r="U476" s="170" t="str">
        <f t="shared" si="102"/>
        <v/>
      </c>
      <c r="V476" s="170" t="str">
        <f t="shared" si="103"/>
        <v/>
      </c>
      <c r="W476" s="170" t="str">
        <f t="shared" si="104"/>
        <v/>
      </c>
      <c r="X476" s="170" t="str">
        <f t="shared" si="98"/>
        <v/>
      </c>
      <c r="Y476" s="170" t="str">
        <f t="shared" si="99"/>
        <v/>
      </c>
      <c r="Z476" s="171" t="str">
        <f t="shared" si="100"/>
        <v/>
      </c>
      <c r="AA476" s="170" t="str">
        <f t="shared" si="105"/>
        <v/>
      </c>
      <c r="AB476" s="170" t="str">
        <f t="shared" si="106"/>
        <v/>
      </c>
      <c r="AC476" s="172" t="str">
        <f t="shared" si="107"/>
        <v/>
      </c>
      <c r="AE476" s="182"/>
      <c r="AF476" s="182"/>
      <c r="AG476" s="182"/>
      <c r="AH476" s="182"/>
      <c r="AI476" s="182"/>
      <c r="AJ476" s="182"/>
      <c r="AK476" s="182"/>
      <c r="AL476" s="182"/>
      <c r="AM476" s="182"/>
      <c r="AN476" s="182"/>
      <c r="AO476" s="182"/>
      <c r="AP476" s="182"/>
      <c r="AQ476" s="182"/>
      <c r="AR476" s="182"/>
      <c r="AS476" s="182"/>
    </row>
    <row r="477" spans="1:45" ht="15">
      <c r="A477" s="263"/>
      <c r="B477" s="261"/>
      <c r="C477" s="245"/>
      <c r="D477" s="193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70" t="str">
        <f t="shared" si="101"/>
        <v/>
      </c>
      <c r="U477" s="170" t="str">
        <f t="shared" si="102"/>
        <v/>
      </c>
      <c r="V477" s="170" t="str">
        <f t="shared" si="103"/>
        <v/>
      </c>
      <c r="W477" s="170" t="str">
        <f t="shared" si="104"/>
        <v/>
      </c>
      <c r="X477" s="170" t="str">
        <f t="shared" si="98"/>
        <v/>
      </c>
      <c r="Y477" s="170" t="str">
        <f t="shared" si="99"/>
        <v/>
      </c>
      <c r="Z477" s="171" t="str">
        <f t="shared" si="100"/>
        <v/>
      </c>
      <c r="AA477" s="170" t="str">
        <f t="shared" si="105"/>
        <v/>
      </c>
      <c r="AB477" s="170" t="str">
        <f t="shared" si="106"/>
        <v/>
      </c>
      <c r="AC477" s="172" t="str">
        <f t="shared" si="107"/>
        <v/>
      </c>
      <c r="AE477" s="182"/>
      <c r="AF477" s="182"/>
      <c r="AG477" s="182"/>
      <c r="AH477" s="182"/>
      <c r="AI477" s="182"/>
      <c r="AJ477" s="182"/>
      <c r="AK477" s="182"/>
      <c r="AL477" s="182"/>
      <c r="AM477" s="182"/>
      <c r="AN477" s="182"/>
      <c r="AO477" s="182"/>
      <c r="AP477" s="182"/>
      <c r="AQ477" s="182"/>
      <c r="AR477" s="182"/>
      <c r="AS477" s="182"/>
    </row>
    <row r="478" spans="1:45" ht="15" customHeight="1">
      <c r="A478" s="263">
        <v>60</v>
      </c>
      <c r="B478" s="262"/>
      <c r="C478" s="249"/>
      <c r="D478" s="195"/>
      <c r="E478" s="196"/>
      <c r="F478" s="196"/>
      <c r="G478" s="196"/>
      <c r="H478" s="196"/>
      <c r="I478" s="196"/>
      <c r="J478" s="186"/>
      <c r="K478" s="169"/>
      <c r="L478" s="169"/>
      <c r="M478" s="169"/>
      <c r="N478" s="169"/>
      <c r="O478" s="169"/>
      <c r="P478" s="169"/>
      <c r="Q478" s="169"/>
      <c r="R478" s="169"/>
      <c r="S478" s="169"/>
      <c r="T478" s="170" t="str">
        <f t="shared" si="101"/>
        <v/>
      </c>
      <c r="U478" s="170" t="str">
        <f t="shared" si="102"/>
        <v/>
      </c>
      <c r="V478" s="170" t="str">
        <f t="shared" si="103"/>
        <v/>
      </c>
      <c r="W478" s="170" t="str">
        <f t="shared" si="104"/>
        <v/>
      </c>
      <c r="X478" s="170" t="str">
        <f t="shared" si="98"/>
        <v/>
      </c>
      <c r="Y478" s="170" t="str">
        <f t="shared" si="99"/>
        <v/>
      </c>
      <c r="Z478" s="171" t="str">
        <f t="shared" si="100"/>
        <v/>
      </c>
      <c r="AA478" s="170" t="str">
        <f t="shared" si="105"/>
        <v/>
      </c>
      <c r="AB478" s="170" t="str">
        <f t="shared" si="106"/>
        <v/>
      </c>
      <c r="AC478" s="172" t="str">
        <f t="shared" si="107"/>
        <v/>
      </c>
      <c r="AE478" s="182"/>
      <c r="AF478" s="182"/>
      <c r="AG478" s="182"/>
      <c r="AH478" s="182"/>
      <c r="AI478" s="182"/>
      <c r="AJ478" s="182"/>
      <c r="AK478" s="182"/>
      <c r="AL478" s="182"/>
      <c r="AM478" s="182"/>
      <c r="AN478" s="182"/>
      <c r="AO478" s="182"/>
      <c r="AP478" s="182"/>
      <c r="AQ478" s="182"/>
      <c r="AR478" s="182"/>
      <c r="AS478" s="182"/>
    </row>
    <row r="479" spans="1:45" ht="15">
      <c r="A479" s="263"/>
      <c r="B479" s="250"/>
      <c r="C479" s="250"/>
      <c r="D479" s="195"/>
      <c r="E479" s="196"/>
      <c r="F479" s="196"/>
      <c r="G479" s="196"/>
      <c r="H479" s="196"/>
      <c r="I479" s="196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70" t="str">
        <f t="shared" si="101"/>
        <v/>
      </c>
      <c r="U479" s="170" t="str">
        <f t="shared" si="102"/>
        <v/>
      </c>
      <c r="V479" s="170" t="str">
        <f t="shared" si="103"/>
        <v/>
      </c>
      <c r="W479" s="170" t="str">
        <f t="shared" si="104"/>
        <v/>
      </c>
      <c r="X479" s="170" t="str">
        <f t="shared" si="98"/>
        <v/>
      </c>
      <c r="Y479" s="170" t="str">
        <f t="shared" si="99"/>
        <v/>
      </c>
      <c r="Z479" s="171" t="str">
        <f t="shared" si="100"/>
        <v/>
      </c>
      <c r="AA479" s="170" t="str">
        <f t="shared" si="105"/>
        <v/>
      </c>
      <c r="AB479" s="170" t="str">
        <f t="shared" si="106"/>
        <v/>
      </c>
      <c r="AC479" s="172" t="str">
        <f t="shared" si="107"/>
        <v/>
      </c>
      <c r="AE479" s="182"/>
      <c r="AF479" s="182"/>
      <c r="AG479" s="182"/>
      <c r="AH479" s="182"/>
      <c r="AI479" s="182"/>
      <c r="AJ479" s="182"/>
      <c r="AK479" s="182"/>
      <c r="AL479" s="182"/>
      <c r="AM479" s="182"/>
      <c r="AN479" s="182"/>
      <c r="AO479" s="182"/>
      <c r="AP479" s="182"/>
      <c r="AQ479" s="182"/>
      <c r="AR479" s="182"/>
      <c r="AS479" s="182"/>
    </row>
    <row r="480" spans="1:45" ht="15">
      <c r="A480" s="263"/>
      <c r="B480" s="250"/>
      <c r="C480" s="250"/>
      <c r="D480" s="200"/>
      <c r="E480" s="196"/>
      <c r="F480" s="196"/>
      <c r="G480" s="196"/>
      <c r="H480" s="196"/>
      <c r="I480" s="196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70" t="str">
        <f t="shared" si="101"/>
        <v/>
      </c>
      <c r="U480" s="170" t="str">
        <f t="shared" si="102"/>
        <v/>
      </c>
      <c r="V480" s="170" t="str">
        <f t="shared" si="103"/>
        <v/>
      </c>
      <c r="W480" s="170" t="str">
        <f t="shared" si="104"/>
        <v/>
      </c>
      <c r="X480" s="170" t="str">
        <f t="shared" si="98"/>
        <v/>
      </c>
      <c r="Y480" s="170" t="str">
        <f t="shared" si="99"/>
        <v/>
      </c>
      <c r="Z480" s="171" t="str">
        <f t="shared" si="100"/>
        <v/>
      </c>
      <c r="AA480" s="170" t="str">
        <f t="shared" si="105"/>
        <v/>
      </c>
      <c r="AB480" s="170" t="str">
        <f t="shared" si="106"/>
        <v/>
      </c>
      <c r="AC480" s="172" t="str">
        <f t="shared" si="107"/>
        <v/>
      </c>
      <c r="AE480" s="182"/>
      <c r="AF480" s="182"/>
      <c r="AG480" s="182"/>
      <c r="AH480" s="182"/>
      <c r="AI480" s="182"/>
      <c r="AJ480" s="182"/>
      <c r="AK480" s="182"/>
      <c r="AL480" s="182"/>
      <c r="AM480" s="182"/>
      <c r="AN480" s="182"/>
      <c r="AO480" s="182"/>
      <c r="AP480" s="182"/>
      <c r="AQ480" s="182"/>
      <c r="AR480" s="182"/>
      <c r="AS480" s="182"/>
    </row>
    <row r="481" spans="1:45" ht="15">
      <c r="A481" s="263"/>
      <c r="B481" s="250"/>
      <c r="C481" s="250"/>
      <c r="D481" s="200"/>
      <c r="E481" s="196"/>
      <c r="F481" s="196"/>
      <c r="G481" s="196"/>
      <c r="H481" s="196"/>
      <c r="I481" s="196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70" t="str">
        <f t="shared" si="101"/>
        <v/>
      </c>
      <c r="U481" s="170" t="str">
        <f t="shared" si="102"/>
        <v/>
      </c>
      <c r="V481" s="170" t="str">
        <f t="shared" si="103"/>
        <v/>
      </c>
      <c r="W481" s="170" t="str">
        <f t="shared" si="104"/>
        <v/>
      </c>
      <c r="X481" s="170" t="str">
        <f t="shared" si="98"/>
        <v/>
      </c>
      <c r="Y481" s="170" t="str">
        <f t="shared" si="99"/>
        <v/>
      </c>
      <c r="Z481" s="171" t="str">
        <f t="shared" si="100"/>
        <v/>
      </c>
      <c r="AA481" s="170" t="str">
        <f t="shared" si="105"/>
        <v/>
      </c>
      <c r="AB481" s="170" t="str">
        <f t="shared" si="106"/>
        <v/>
      </c>
      <c r="AC481" s="172" t="str">
        <f t="shared" si="107"/>
        <v/>
      </c>
      <c r="AE481" s="182"/>
      <c r="AF481" s="182"/>
      <c r="AG481" s="182"/>
      <c r="AH481" s="182"/>
      <c r="AI481" s="182"/>
      <c r="AJ481" s="182"/>
      <c r="AK481" s="182"/>
      <c r="AL481" s="182"/>
      <c r="AM481" s="182"/>
      <c r="AN481" s="182"/>
      <c r="AO481" s="182"/>
      <c r="AP481" s="182"/>
      <c r="AQ481" s="182"/>
      <c r="AR481" s="182"/>
      <c r="AS481" s="182"/>
    </row>
    <row r="482" spans="1:45" ht="15">
      <c r="A482" s="263"/>
      <c r="B482" s="250"/>
      <c r="C482" s="250"/>
      <c r="D482" s="200"/>
      <c r="E482" s="196"/>
      <c r="F482" s="196"/>
      <c r="G482" s="196"/>
      <c r="H482" s="196"/>
      <c r="I482" s="196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70" t="str">
        <f t="shared" si="101"/>
        <v/>
      </c>
      <c r="U482" s="170" t="str">
        <f t="shared" si="102"/>
        <v/>
      </c>
      <c r="V482" s="170" t="str">
        <f t="shared" si="103"/>
        <v/>
      </c>
      <c r="W482" s="170" t="str">
        <f t="shared" si="104"/>
        <v/>
      </c>
      <c r="X482" s="170" t="str">
        <f t="shared" si="98"/>
        <v/>
      </c>
      <c r="Y482" s="170" t="str">
        <f t="shared" si="99"/>
        <v/>
      </c>
      <c r="Z482" s="171" t="str">
        <f t="shared" si="100"/>
        <v/>
      </c>
      <c r="AA482" s="170" t="str">
        <f t="shared" si="105"/>
        <v/>
      </c>
      <c r="AB482" s="170" t="str">
        <f t="shared" si="106"/>
        <v/>
      </c>
      <c r="AC482" s="172" t="str">
        <f t="shared" si="107"/>
        <v/>
      </c>
      <c r="AE482" s="182"/>
      <c r="AF482" s="182"/>
      <c r="AG482" s="182"/>
      <c r="AH482" s="182"/>
      <c r="AI482" s="182"/>
      <c r="AJ482" s="182"/>
      <c r="AK482" s="182"/>
      <c r="AL482" s="182"/>
      <c r="AM482" s="182"/>
      <c r="AN482" s="182"/>
      <c r="AO482" s="182"/>
      <c r="AP482" s="182"/>
      <c r="AQ482" s="182"/>
      <c r="AR482" s="182"/>
      <c r="AS482" s="182"/>
    </row>
    <row r="483" spans="1:45" ht="15">
      <c r="A483" s="263"/>
      <c r="B483" s="250"/>
      <c r="C483" s="250"/>
      <c r="D483" s="200"/>
      <c r="E483" s="196"/>
      <c r="F483" s="196"/>
      <c r="G483" s="196"/>
      <c r="H483" s="196"/>
      <c r="I483" s="196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70" t="str">
        <f t="shared" si="101"/>
        <v/>
      </c>
      <c r="U483" s="170" t="str">
        <f t="shared" si="102"/>
        <v/>
      </c>
      <c r="V483" s="170" t="str">
        <f t="shared" si="103"/>
        <v/>
      </c>
      <c r="W483" s="170" t="str">
        <f t="shared" si="104"/>
        <v/>
      </c>
      <c r="X483" s="170" t="str">
        <f t="shared" si="98"/>
        <v/>
      </c>
      <c r="Y483" s="170" t="str">
        <f t="shared" si="99"/>
        <v/>
      </c>
      <c r="Z483" s="171" t="str">
        <f t="shared" si="100"/>
        <v/>
      </c>
      <c r="AA483" s="170" t="str">
        <f t="shared" si="105"/>
        <v/>
      </c>
      <c r="AB483" s="170" t="str">
        <f t="shared" si="106"/>
        <v/>
      </c>
      <c r="AC483" s="172" t="str">
        <f t="shared" si="107"/>
        <v/>
      </c>
      <c r="AE483" s="182"/>
      <c r="AF483" s="182"/>
      <c r="AG483" s="182"/>
      <c r="AH483" s="182"/>
      <c r="AI483" s="182"/>
      <c r="AJ483" s="182"/>
      <c r="AK483" s="182"/>
      <c r="AL483" s="182"/>
      <c r="AM483" s="182"/>
      <c r="AN483" s="182"/>
      <c r="AO483" s="182"/>
      <c r="AP483" s="182"/>
      <c r="AQ483" s="182"/>
      <c r="AR483" s="182"/>
      <c r="AS483" s="182"/>
    </row>
    <row r="484" spans="1:45" ht="15">
      <c r="A484" s="263"/>
      <c r="B484" s="250"/>
      <c r="C484" s="250"/>
      <c r="D484" s="200"/>
      <c r="E484" s="196"/>
      <c r="F484" s="196"/>
      <c r="G484" s="196"/>
      <c r="H484" s="196"/>
      <c r="I484" s="196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70" t="str">
        <f t="shared" si="101"/>
        <v/>
      </c>
      <c r="U484" s="170" t="str">
        <f t="shared" si="102"/>
        <v/>
      </c>
      <c r="V484" s="170" t="str">
        <f t="shared" si="103"/>
        <v/>
      </c>
      <c r="W484" s="170" t="str">
        <f t="shared" si="104"/>
        <v/>
      </c>
      <c r="X484" s="170" t="str">
        <f t="shared" si="98"/>
        <v/>
      </c>
      <c r="Y484" s="170" t="str">
        <f t="shared" si="99"/>
        <v/>
      </c>
      <c r="Z484" s="171" t="str">
        <f t="shared" si="100"/>
        <v/>
      </c>
      <c r="AA484" s="170" t="str">
        <f t="shared" si="105"/>
        <v/>
      </c>
      <c r="AB484" s="170" t="str">
        <f t="shared" si="106"/>
        <v/>
      </c>
      <c r="AC484" s="172" t="str">
        <f t="shared" si="107"/>
        <v/>
      </c>
      <c r="AE484" s="182"/>
      <c r="AF484" s="182"/>
      <c r="AG484" s="182"/>
      <c r="AH484" s="182"/>
      <c r="AI484" s="182"/>
      <c r="AJ484" s="182"/>
      <c r="AK484" s="182"/>
      <c r="AL484" s="182"/>
      <c r="AM484" s="182"/>
      <c r="AN484" s="182"/>
      <c r="AO484" s="182"/>
      <c r="AP484" s="182"/>
      <c r="AQ484" s="182"/>
      <c r="AR484" s="182"/>
      <c r="AS484" s="182"/>
    </row>
    <row r="485" spans="1:45" ht="15">
      <c r="A485" s="263"/>
      <c r="B485" s="251"/>
      <c r="C485" s="251"/>
      <c r="D485" s="200"/>
      <c r="E485" s="196"/>
      <c r="F485" s="196"/>
      <c r="G485" s="196"/>
      <c r="H485" s="196"/>
      <c r="I485" s="196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70" t="str">
        <f t="shared" si="101"/>
        <v/>
      </c>
      <c r="U485" s="170" t="str">
        <f t="shared" si="102"/>
        <v/>
      </c>
      <c r="V485" s="170" t="str">
        <f t="shared" si="103"/>
        <v/>
      </c>
      <c r="W485" s="170" t="str">
        <f t="shared" si="104"/>
        <v/>
      </c>
      <c r="X485" s="170" t="str">
        <f t="shared" si="98"/>
        <v/>
      </c>
      <c r="Y485" s="170" t="str">
        <f t="shared" si="99"/>
        <v/>
      </c>
      <c r="Z485" s="171" t="str">
        <f t="shared" si="100"/>
        <v/>
      </c>
      <c r="AA485" s="170" t="str">
        <f t="shared" si="105"/>
        <v/>
      </c>
      <c r="AB485" s="170" t="str">
        <f t="shared" si="106"/>
        <v/>
      </c>
      <c r="AC485" s="172" t="str">
        <f t="shared" si="107"/>
        <v/>
      </c>
      <c r="AE485" s="182"/>
      <c r="AF485" s="182"/>
      <c r="AG485" s="182"/>
      <c r="AH485" s="182"/>
      <c r="AI485" s="182"/>
      <c r="AJ485" s="182"/>
      <c r="AK485" s="182"/>
      <c r="AL485" s="182"/>
      <c r="AM485" s="182"/>
      <c r="AN485" s="182"/>
      <c r="AO485" s="182"/>
      <c r="AP485" s="182"/>
      <c r="AQ485" s="182"/>
      <c r="AR485" s="182"/>
      <c r="AS485" s="182"/>
    </row>
    <row r="486" spans="1:45" ht="15" customHeight="1">
      <c r="A486" s="263">
        <v>61</v>
      </c>
      <c r="B486" s="262"/>
      <c r="C486" s="249"/>
      <c r="D486" s="195"/>
      <c r="E486" s="196"/>
      <c r="F486" s="196"/>
      <c r="G486" s="196"/>
      <c r="H486" s="196"/>
      <c r="I486" s="196"/>
      <c r="J486" s="186"/>
      <c r="K486" s="169"/>
      <c r="L486" s="169"/>
      <c r="M486" s="169"/>
      <c r="N486" s="169"/>
      <c r="O486" s="169"/>
      <c r="P486" s="169"/>
      <c r="Q486" s="169"/>
      <c r="R486" s="169"/>
      <c r="S486" s="169"/>
      <c r="T486" s="170" t="str">
        <f t="shared" si="101"/>
        <v/>
      </c>
      <c r="U486" s="170" t="str">
        <f t="shared" si="102"/>
        <v/>
      </c>
      <c r="V486" s="170" t="str">
        <f t="shared" si="103"/>
        <v/>
      </c>
      <c r="W486" s="170" t="str">
        <f t="shared" si="104"/>
        <v/>
      </c>
      <c r="X486" s="170" t="str">
        <f t="shared" si="98"/>
        <v/>
      </c>
      <c r="Y486" s="170" t="str">
        <f t="shared" si="99"/>
        <v/>
      </c>
      <c r="Z486" s="171" t="str">
        <f t="shared" si="100"/>
        <v/>
      </c>
      <c r="AA486" s="170" t="str">
        <f t="shared" si="105"/>
        <v/>
      </c>
      <c r="AB486" s="170" t="str">
        <f t="shared" si="106"/>
        <v/>
      </c>
      <c r="AC486" s="172" t="str">
        <f t="shared" si="107"/>
        <v/>
      </c>
      <c r="AE486" s="182"/>
      <c r="AF486" s="182"/>
      <c r="AG486" s="182"/>
      <c r="AH486" s="182"/>
      <c r="AI486" s="182"/>
      <c r="AJ486" s="182"/>
      <c r="AK486" s="182"/>
      <c r="AL486" s="182"/>
      <c r="AM486" s="182"/>
      <c r="AN486" s="182"/>
      <c r="AO486" s="182"/>
      <c r="AP486" s="182"/>
      <c r="AQ486" s="182"/>
      <c r="AR486" s="182"/>
      <c r="AS486" s="182"/>
    </row>
    <row r="487" spans="1:45" ht="15">
      <c r="A487" s="263"/>
      <c r="B487" s="250"/>
      <c r="C487" s="250"/>
      <c r="D487" s="195"/>
      <c r="E487" s="196"/>
      <c r="F487" s="196"/>
      <c r="G487" s="196"/>
      <c r="H487" s="196"/>
      <c r="I487" s="196"/>
      <c r="J487" s="186"/>
      <c r="K487" s="169"/>
      <c r="L487" s="169"/>
      <c r="M487" s="169"/>
      <c r="N487" s="169"/>
      <c r="O487" s="169"/>
      <c r="P487" s="169"/>
      <c r="Q487" s="169"/>
      <c r="R487" s="169"/>
      <c r="S487" s="169"/>
      <c r="T487" s="170" t="str">
        <f t="shared" si="101"/>
        <v/>
      </c>
      <c r="U487" s="170" t="str">
        <f t="shared" si="102"/>
        <v/>
      </c>
      <c r="V487" s="170" t="str">
        <f t="shared" si="103"/>
        <v/>
      </c>
      <c r="W487" s="170" t="str">
        <f t="shared" si="104"/>
        <v/>
      </c>
      <c r="X487" s="170" t="str">
        <f t="shared" si="98"/>
        <v/>
      </c>
      <c r="Y487" s="170" t="str">
        <f t="shared" si="99"/>
        <v/>
      </c>
      <c r="Z487" s="171" t="str">
        <f t="shared" si="100"/>
        <v/>
      </c>
      <c r="AA487" s="170" t="str">
        <f t="shared" si="105"/>
        <v/>
      </c>
      <c r="AB487" s="170" t="str">
        <f t="shared" si="106"/>
        <v/>
      </c>
      <c r="AC487" s="172" t="str">
        <f t="shared" si="107"/>
        <v/>
      </c>
      <c r="AE487" s="182"/>
      <c r="AF487" s="182"/>
      <c r="AG487" s="182"/>
      <c r="AH487" s="182"/>
      <c r="AI487" s="182"/>
      <c r="AJ487" s="182"/>
      <c r="AK487" s="182"/>
      <c r="AL487" s="182"/>
      <c r="AM487" s="182"/>
      <c r="AN487" s="182"/>
      <c r="AO487" s="182"/>
      <c r="AP487" s="182"/>
      <c r="AQ487" s="182"/>
      <c r="AR487" s="182"/>
      <c r="AS487" s="182"/>
    </row>
    <row r="488" spans="1:45" ht="15">
      <c r="A488" s="263"/>
      <c r="B488" s="250"/>
      <c r="C488" s="250"/>
      <c r="D488" s="200"/>
      <c r="E488" s="196"/>
      <c r="F488" s="196"/>
      <c r="G488" s="196"/>
      <c r="H488" s="196"/>
      <c r="I488" s="196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70" t="str">
        <f t="shared" si="101"/>
        <v/>
      </c>
      <c r="U488" s="170" t="str">
        <f t="shared" si="102"/>
        <v/>
      </c>
      <c r="V488" s="170" t="str">
        <f t="shared" si="103"/>
        <v/>
      </c>
      <c r="W488" s="170" t="str">
        <f t="shared" si="104"/>
        <v/>
      </c>
      <c r="X488" s="170" t="str">
        <f t="shared" si="98"/>
        <v/>
      </c>
      <c r="Y488" s="170" t="str">
        <f t="shared" si="99"/>
        <v/>
      </c>
      <c r="Z488" s="171" t="str">
        <f t="shared" si="100"/>
        <v/>
      </c>
      <c r="AA488" s="170" t="str">
        <f t="shared" si="105"/>
        <v/>
      </c>
      <c r="AB488" s="170" t="str">
        <f t="shared" si="106"/>
        <v/>
      </c>
      <c r="AC488" s="172" t="str">
        <f t="shared" si="107"/>
        <v/>
      </c>
      <c r="AE488" s="182"/>
      <c r="AF488" s="182"/>
      <c r="AG488" s="182"/>
      <c r="AH488" s="182"/>
      <c r="AI488" s="182"/>
      <c r="AJ488" s="182"/>
      <c r="AK488" s="182"/>
      <c r="AL488" s="182"/>
      <c r="AM488" s="182"/>
      <c r="AN488" s="182"/>
      <c r="AO488" s="182"/>
      <c r="AP488" s="182"/>
      <c r="AQ488" s="182"/>
      <c r="AR488" s="182"/>
      <c r="AS488" s="182"/>
    </row>
    <row r="489" spans="1:45" ht="15">
      <c r="A489" s="263"/>
      <c r="B489" s="250"/>
      <c r="C489" s="250"/>
      <c r="D489" s="200"/>
      <c r="E489" s="196"/>
      <c r="F489" s="196"/>
      <c r="G489" s="196"/>
      <c r="H489" s="196"/>
      <c r="I489" s="196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70" t="str">
        <f t="shared" si="101"/>
        <v/>
      </c>
      <c r="U489" s="170" t="str">
        <f t="shared" si="102"/>
        <v/>
      </c>
      <c r="V489" s="170" t="str">
        <f t="shared" si="103"/>
        <v/>
      </c>
      <c r="W489" s="170" t="str">
        <f t="shared" si="104"/>
        <v/>
      </c>
      <c r="X489" s="170" t="str">
        <f t="shared" si="98"/>
        <v/>
      </c>
      <c r="Y489" s="170" t="str">
        <f t="shared" si="99"/>
        <v/>
      </c>
      <c r="Z489" s="171" t="str">
        <f t="shared" si="100"/>
        <v/>
      </c>
      <c r="AA489" s="170" t="str">
        <f t="shared" si="105"/>
        <v/>
      </c>
      <c r="AB489" s="170" t="str">
        <f t="shared" si="106"/>
        <v/>
      </c>
      <c r="AC489" s="172" t="str">
        <f t="shared" si="107"/>
        <v/>
      </c>
      <c r="AE489" s="182"/>
      <c r="AF489" s="182"/>
      <c r="AG489" s="182"/>
      <c r="AH489" s="182"/>
      <c r="AI489" s="182"/>
      <c r="AJ489" s="182"/>
      <c r="AK489" s="182"/>
      <c r="AL489" s="182"/>
      <c r="AM489" s="182"/>
      <c r="AN489" s="182"/>
      <c r="AO489" s="182"/>
      <c r="AP489" s="182"/>
      <c r="AQ489" s="182"/>
      <c r="AR489" s="182"/>
      <c r="AS489" s="182"/>
    </row>
    <row r="490" spans="1:45" ht="15">
      <c r="A490" s="263"/>
      <c r="B490" s="250"/>
      <c r="C490" s="250"/>
      <c r="D490" s="200"/>
      <c r="E490" s="196"/>
      <c r="F490" s="196"/>
      <c r="G490" s="196"/>
      <c r="H490" s="196"/>
      <c r="I490" s="196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70" t="str">
        <f t="shared" si="101"/>
        <v/>
      </c>
      <c r="U490" s="170" t="str">
        <f t="shared" si="102"/>
        <v/>
      </c>
      <c r="V490" s="170" t="str">
        <f t="shared" si="103"/>
        <v/>
      </c>
      <c r="W490" s="170" t="str">
        <f t="shared" si="104"/>
        <v/>
      </c>
      <c r="X490" s="170" t="str">
        <f t="shared" si="98"/>
        <v/>
      </c>
      <c r="Y490" s="170" t="str">
        <f t="shared" si="99"/>
        <v/>
      </c>
      <c r="Z490" s="171" t="str">
        <f t="shared" si="100"/>
        <v/>
      </c>
      <c r="AA490" s="170" t="str">
        <f t="shared" si="105"/>
        <v/>
      </c>
      <c r="AB490" s="170" t="str">
        <f t="shared" si="106"/>
        <v/>
      </c>
      <c r="AC490" s="172" t="str">
        <f t="shared" si="107"/>
        <v/>
      </c>
      <c r="AE490" s="182"/>
      <c r="AF490" s="182"/>
      <c r="AG490" s="182"/>
      <c r="AH490" s="182"/>
      <c r="AI490" s="182"/>
      <c r="AJ490" s="182"/>
      <c r="AK490" s="182"/>
      <c r="AL490" s="182"/>
      <c r="AM490" s="182"/>
      <c r="AN490" s="182"/>
      <c r="AO490" s="182"/>
      <c r="AP490" s="182"/>
      <c r="AQ490" s="182"/>
      <c r="AR490" s="182"/>
      <c r="AS490" s="182"/>
    </row>
    <row r="491" spans="1:45" ht="15">
      <c r="A491" s="263"/>
      <c r="B491" s="250"/>
      <c r="C491" s="250"/>
      <c r="D491" s="200"/>
      <c r="E491" s="196"/>
      <c r="F491" s="196"/>
      <c r="G491" s="196"/>
      <c r="H491" s="196"/>
      <c r="I491" s="196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70" t="str">
        <f t="shared" si="101"/>
        <v/>
      </c>
      <c r="U491" s="170" t="str">
        <f t="shared" si="102"/>
        <v/>
      </c>
      <c r="V491" s="170" t="str">
        <f t="shared" si="103"/>
        <v/>
      </c>
      <c r="W491" s="170" t="str">
        <f t="shared" si="104"/>
        <v/>
      </c>
      <c r="X491" s="170" t="str">
        <f t="shared" si="98"/>
        <v/>
      </c>
      <c r="Y491" s="170" t="str">
        <f t="shared" si="99"/>
        <v/>
      </c>
      <c r="Z491" s="171" t="str">
        <f t="shared" si="100"/>
        <v/>
      </c>
      <c r="AA491" s="170" t="str">
        <f t="shared" si="105"/>
        <v/>
      </c>
      <c r="AB491" s="170" t="str">
        <f t="shared" si="106"/>
        <v/>
      </c>
      <c r="AC491" s="172" t="str">
        <f t="shared" si="107"/>
        <v/>
      </c>
      <c r="AE491" s="182"/>
      <c r="AF491" s="182"/>
      <c r="AG491" s="182"/>
      <c r="AH491" s="182"/>
      <c r="AI491" s="182"/>
      <c r="AJ491" s="182"/>
      <c r="AK491" s="182"/>
      <c r="AL491" s="182"/>
      <c r="AM491" s="182"/>
      <c r="AN491" s="182"/>
      <c r="AO491" s="182"/>
      <c r="AP491" s="182"/>
      <c r="AQ491" s="182"/>
      <c r="AR491" s="182"/>
      <c r="AS491" s="182"/>
    </row>
    <row r="492" spans="1:45" ht="15">
      <c r="A492" s="263"/>
      <c r="B492" s="250"/>
      <c r="C492" s="250"/>
      <c r="D492" s="200"/>
      <c r="E492" s="196"/>
      <c r="F492" s="196"/>
      <c r="G492" s="196"/>
      <c r="H492" s="196"/>
      <c r="I492" s="196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70" t="str">
        <f t="shared" si="101"/>
        <v/>
      </c>
      <c r="U492" s="170" t="str">
        <f t="shared" si="102"/>
        <v/>
      </c>
      <c r="V492" s="170" t="str">
        <f t="shared" si="103"/>
        <v/>
      </c>
      <c r="W492" s="170" t="str">
        <f t="shared" si="104"/>
        <v/>
      </c>
      <c r="X492" s="170" t="str">
        <f t="shared" si="98"/>
        <v/>
      </c>
      <c r="Y492" s="170" t="str">
        <f t="shared" si="99"/>
        <v/>
      </c>
      <c r="Z492" s="171" t="str">
        <f t="shared" si="100"/>
        <v/>
      </c>
      <c r="AA492" s="170" t="str">
        <f t="shared" si="105"/>
        <v/>
      </c>
      <c r="AB492" s="170" t="str">
        <f t="shared" si="106"/>
        <v/>
      </c>
      <c r="AC492" s="172" t="str">
        <f t="shared" si="107"/>
        <v/>
      </c>
      <c r="AE492" s="182"/>
      <c r="AF492" s="182"/>
      <c r="AG492" s="182"/>
      <c r="AH492" s="182"/>
      <c r="AI492" s="182"/>
      <c r="AJ492" s="182"/>
      <c r="AK492" s="182"/>
      <c r="AL492" s="182"/>
      <c r="AM492" s="182"/>
      <c r="AN492" s="182"/>
      <c r="AO492" s="182"/>
      <c r="AP492" s="182"/>
      <c r="AQ492" s="182"/>
      <c r="AR492" s="182"/>
      <c r="AS492" s="182"/>
    </row>
    <row r="493" spans="1:45" ht="15">
      <c r="A493" s="263"/>
      <c r="B493" s="251"/>
      <c r="C493" s="251"/>
      <c r="D493" s="200"/>
      <c r="E493" s="196"/>
      <c r="F493" s="196"/>
      <c r="G493" s="196"/>
      <c r="H493" s="196"/>
      <c r="I493" s="196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70" t="str">
        <f t="shared" si="101"/>
        <v/>
      </c>
      <c r="U493" s="170" t="str">
        <f t="shared" si="102"/>
        <v/>
      </c>
      <c r="V493" s="170" t="str">
        <f t="shared" si="103"/>
        <v/>
      </c>
      <c r="W493" s="170" t="str">
        <f t="shared" si="104"/>
        <v/>
      </c>
      <c r="X493" s="170" t="str">
        <f t="shared" si="98"/>
        <v/>
      </c>
      <c r="Y493" s="170" t="str">
        <f t="shared" si="99"/>
        <v/>
      </c>
      <c r="Z493" s="171" t="str">
        <f t="shared" si="100"/>
        <v/>
      </c>
      <c r="AA493" s="170" t="str">
        <f t="shared" si="105"/>
        <v/>
      </c>
      <c r="AB493" s="170" t="str">
        <f t="shared" si="106"/>
        <v/>
      </c>
      <c r="AC493" s="172" t="str">
        <f t="shared" si="107"/>
        <v/>
      </c>
      <c r="AE493" s="182"/>
      <c r="AF493" s="182"/>
      <c r="AG493" s="182"/>
      <c r="AH493" s="182"/>
      <c r="AI493" s="182"/>
      <c r="AJ493" s="182"/>
      <c r="AK493" s="182"/>
      <c r="AL493" s="182"/>
      <c r="AM493" s="182"/>
      <c r="AN493" s="182"/>
      <c r="AO493" s="182"/>
      <c r="AP493" s="182"/>
      <c r="AQ493" s="182"/>
      <c r="AR493" s="182"/>
      <c r="AS493" s="182"/>
    </row>
    <row r="494" spans="1:45">
      <c r="A494" s="263">
        <v>62</v>
      </c>
      <c r="B494" s="252"/>
      <c r="C494" s="243"/>
      <c r="D494" s="184"/>
      <c r="E494" s="169"/>
      <c r="F494" s="169"/>
      <c r="G494" s="169"/>
      <c r="H494" s="169"/>
      <c r="I494" s="186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70" t="str">
        <f t="shared" si="101"/>
        <v/>
      </c>
      <c r="U494" s="170" t="str">
        <f t="shared" si="102"/>
        <v/>
      </c>
      <c r="V494" s="170" t="str">
        <f t="shared" si="103"/>
        <v/>
      </c>
      <c r="W494" s="170" t="str">
        <f t="shared" si="104"/>
        <v/>
      </c>
      <c r="X494" s="170" t="str">
        <f t="shared" si="98"/>
        <v/>
      </c>
      <c r="Y494" s="170" t="str">
        <f t="shared" si="99"/>
        <v/>
      </c>
      <c r="Z494" s="171" t="str">
        <f t="shared" si="100"/>
        <v/>
      </c>
      <c r="AA494" s="170" t="str">
        <f t="shared" si="105"/>
        <v/>
      </c>
      <c r="AB494" s="170" t="str">
        <f t="shared" si="106"/>
        <v/>
      </c>
      <c r="AC494" s="172" t="str">
        <f t="shared" si="107"/>
        <v/>
      </c>
      <c r="AE494" s="182"/>
      <c r="AF494" s="182"/>
      <c r="AG494" s="182"/>
      <c r="AH494" s="182"/>
      <c r="AI494" s="182"/>
      <c r="AJ494" s="182"/>
      <c r="AK494" s="182"/>
      <c r="AL494" s="182"/>
      <c r="AM494" s="182"/>
      <c r="AN494" s="182"/>
      <c r="AO494" s="182"/>
      <c r="AP494" s="182"/>
      <c r="AQ494" s="182"/>
      <c r="AR494" s="182"/>
      <c r="AS494" s="182"/>
    </row>
    <row r="495" spans="1:45">
      <c r="A495" s="263"/>
      <c r="B495" s="244"/>
      <c r="C495" s="244"/>
      <c r="D495" s="184"/>
      <c r="E495" s="169"/>
      <c r="F495" s="169"/>
      <c r="G495" s="169"/>
      <c r="H495" s="169"/>
      <c r="I495" s="186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70" t="str">
        <f t="shared" si="101"/>
        <v/>
      </c>
      <c r="U495" s="170" t="str">
        <f t="shared" si="102"/>
        <v/>
      </c>
      <c r="V495" s="170" t="str">
        <f t="shared" si="103"/>
        <v/>
      </c>
      <c r="W495" s="170" t="str">
        <f t="shared" si="104"/>
        <v/>
      </c>
      <c r="X495" s="170" t="str">
        <f t="shared" si="98"/>
        <v/>
      </c>
      <c r="Y495" s="170" t="str">
        <f t="shared" si="99"/>
        <v/>
      </c>
      <c r="Z495" s="171" t="str">
        <f t="shared" si="100"/>
        <v/>
      </c>
      <c r="AA495" s="170" t="str">
        <f t="shared" si="105"/>
        <v/>
      </c>
      <c r="AB495" s="170" t="str">
        <f t="shared" si="106"/>
        <v/>
      </c>
      <c r="AC495" s="172" t="str">
        <f t="shared" si="107"/>
        <v/>
      </c>
      <c r="AE495" s="182"/>
      <c r="AF495" s="182"/>
      <c r="AG495" s="182"/>
      <c r="AH495" s="182"/>
      <c r="AI495" s="182"/>
      <c r="AJ495" s="182"/>
      <c r="AK495" s="182"/>
      <c r="AL495" s="182"/>
      <c r="AM495" s="182"/>
      <c r="AN495" s="182"/>
      <c r="AO495" s="182"/>
      <c r="AP495" s="182"/>
      <c r="AQ495" s="182"/>
      <c r="AR495" s="182"/>
      <c r="AS495" s="182"/>
    </row>
    <row r="496" spans="1:45">
      <c r="A496" s="263"/>
      <c r="B496" s="244"/>
      <c r="C496" s="244"/>
      <c r="D496" s="184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70" t="str">
        <f t="shared" si="101"/>
        <v/>
      </c>
      <c r="U496" s="170" t="str">
        <f t="shared" si="102"/>
        <v/>
      </c>
      <c r="V496" s="170" t="str">
        <f t="shared" si="103"/>
        <v/>
      </c>
      <c r="W496" s="170" t="str">
        <f t="shared" si="104"/>
        <v/>
      </c>
      <c r="X496" s="170" t="str">
        <f t="shared" si="98"/>
        <v/>
      </c>
      <c r="Y496" s="170" t="str">
        <f t="shared" si="99"/>
        <v/>
      </c>
      <c r="Z496" s="171" t="str">
        <f t="shared" si="100"/>
        <v/>
      </c>
      <c r="AA496" s="170" t="str">
        <f t="shared" si="105"/>
        <v/>
      </c>
      <c r="AB496" s="170" t="str">
        <f t="shared" si="106"/>
        <v/>
      </c>
      <c r="AC496" s="172" t="str">
        <f t="shared" si="107"/>
        <v/>
      </c>
      <c r="AE496" s="182"/>
      <c r="AF496" s="182"/>
      <c r="AG496" s="182"/>
      <c r="AH496" s="182"/>
      <c r="AI496" s="182"/>
      <c r="AJ496" s="182"/>
      <c r="AK496" s="182"/>
      <c r="AL496" s="182"/>
      <c r="AM496" s="182"/>
      <c r="AN496" s="182"/>
      <c r="AO496" s="182"/>
      <c r="AP496" s="182"/>
      <c r="AQ496" s="182"/>
      <c r="AR496" s="182"/>
      <c r="AS496" s="182"/>
    </row>
    <row r="497" spans="1:45" ht="15">
      <c r="A497" s="263"/>
      <c r="B497" s="244"/>
      <c r="C497" s="244"/>
      <c r="D497" s="193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70" t="str">
        <f t="shared" si="101"/>
        <v/>
      </c>
      <c r="U497" s="170" t="str">
        <f t="shared" si="102"/>
        <v/>
      </c>
      <c r="V497" s="170" t="str">
        <f t="shared" si="103"/>
        <v/>
      </c>
      <c r="W497" s="170" t="str">
        <f t="shared" si="104"/>
        <v/>
      </c>
      <c r="X497" s="170" t="str">
        <f t="shared" si="98"/>
        <v/>
      </c>
      <c r="Y497" s="170" t="str">
        <f t="shared" si="99"/>
        <v/>
      </c>
      <c r="Z497" s="171" t="str">
        <f t="shared" si="100"/>
        <v/>
      </c>
      <c r="AA497" s="170" t="str">
        <f t="shared" si="105"/>
        <v/>
      </c>
      <c r="AB497" s="170" t="str">
        <f t="shared" si="106"/>
        <v/>
      </c>
      <c r="AC497" s="172" t="str">
        <f t="shared" si="107"/>
        <v/>
      </c>
      <c r="AE497" s="182"/>
      <c r="AF497" s="182"/>
      <c r="AG497" s="182"/>
      <c r="AH497" s="182"/>
      <c r="AI497" s="182"/>
      <c r="AJ497" s="182"/>
      <c r="AK497" s="182"/>
      <c r="AL497" s="182"/>
      <c r="AM497" s="182"/>
      <c r="AN497" s="182"/>
      <c r="AO497" s="182"/>
      <c r="AP497" s="182"/>
      <c r="AQ497" s="182"/>
      <c r="AR497" s="182"/>
      <c r="AS497" s="182"/>
    </row>
    <row r="498" spans="1:45" ht="15">
      <c r="A498" s="263"/>
      <c r="B498" s="244"/>
      <c r="C498" s="244"/>
      <c r="D498" s="193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70" t="str">
        <f t="shared" si="101"/>
        <v/>
      </c>
      <c r="U498" s="170" t="str">
        <f t="shared" si="102"/>
        <v/>
      </c>
      <c r="V498" s="170" t="str">
        <f t="shared" si="103"/>
        <v/>
      </c>
      <c r="W498" s="170" t="str">
        <f t="shared" si="104"/>
        <v/>
      </c>
      <c r="X498" s="170" t="str">
        <f t="shared" si="98"/>
        <v/>
      </c>
      <c r="Y498" s="170" t="str">
        <f t="shared" si="99"/>
        <v/>
      </c>
      <c r="Z498" s="171" t="str">
        <f t="shared" si="100"/>
        <v/>
      </c>
      <c r="AA498" s="170" t="str">
        <f t="shared" si="105"/>
        <v/>
      </c>
      <c r="AB498" s="170" t="str">
        <f t="shared" si="106"/>
        <v/>
      </c>
      <c r="AC498" s="172" t="str">
        <f t="shared" si="107"/>
        <v/>
      </c>
      <c r="AE498" s="182"/>
      <c r="AF498" s="182"/>
      <c r="AG498" s="182"/>
      <c r="AH498" s="182"/>
      <c r="AI498" s="182"/>
      <c r="AJ498" s="182"/>
      <c r="AK498" s="182"/>
      <c r="AL498" s="182"/>
      <c r="AM498" s="182"/>
      <c r="AN498" s="182"/>
      <c r="AO498" s="182"/>
      <c r="AP498" s="182"/>
      <c r="AQ498" s="182"/>
      <c r="AR498" s="182"/>
      <c r="AS498" s="182"/>
    </row>
    <row r="499" spans="1:45" ht="15">
      <c r="A499" s="263"/>
      <c r="B499" s="244"/>
      <c r="C499" s="244"/>
      <c r="D499" s="193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70" t="str">
        <f t="shared" si="101"/>
        <v/>
      </c>
      <c r="U499" s="170" t="str">
        <f t="shared" si="102"/>
        <v/>
      </c>
      <c r="V499" s="170" t="str">
        <f t="shared" si="103"/>
        <v/>
      </c>
      <c r="W499" s="170" t="str">
        <f t="shared" si="104"/>
        <v/>
      </c>
      <c r="X499" s="170" t="str">
        <f t="shared" si="98"/>
        <v/>
      </c>
      <c r="Y499" s="170" t="str">
        <f t="shared" si="99"/>
        <v/>
      </c>
      <c r="Z499" s="171" t="str">
        <f t="shared" si="100"/>
        <v/>
      </c>
      <c r="AA499" s="170" t="str">
        <f t="shared" si="105"/>
        <v/>
      </c>
      <c r="AB499" s="170" t="str">
        <f t="shared" si="106"/>
        <v/>
      </c>
      <c r="AC499" s="172" t="str">
        <f t="shared" si="107"/>
        <v/>
      </c>
      <c r="AE499" s="182"/>
      <c r="AF499" s="182"/>
      <c r="AG499" s="182"/>
      <c r="AH499" s="182"/>
      <c r="AI499" s="182"/>
      <c r="AJ499" s="182"/>
      <c r="AK499" s="182"/>
      <c r="AL499" s="182"/>
      <c r="AM499" s="182"/>
      <c r="AN499" s="182"/>
      <c r="AO499" s="182"/>
      <c r="AP499" s="182"/>
      <c r="AQ499" s="182"/>
      <c r="AR499" s="182"/>
      <c r="AS499" s="182"/>
    </row>
    <row r="500" spans="1:45" ht="15">
      <c r="A500" s="263"/>
      <c r="B500" s="244"/>
      <c r="C500" s="244"/>
      <c r="D500" s="193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70" t="str">
        <f t="shared" si="101"/>
        <v/>
      </c>
      <c r="U500" s="170" t="str">
        <f t="shared" si="102"/>
        <v/>
      </c>
      <c r="V500" s="170" t="str">
        <f t="shared" si="103"/>
        <v/>
      </c>
      <c r="W500" s="170" t="str">
        <f t="shared" si="104"/>
        <v/>
      </c>
      <c r="X500" s="170" t="str">
        <f t="shared" si="98"/>
        <v/>
      </c>
      <c r="Y500" s="170" t="str">
        <f t="shared" si="99"/>
        <v/>
      </c>
      <c r="Z500" s="171" t="str">
        <f t="shared" si="100"/>
        <v/>
      </c>
      <c r="AA500" s="170" t="str">
        <f t="shared" si="105"/>
        <v/>
      </c>
      <c r="AB500" s="170" t="str">
        <f t="shared" si="106"/>
        <v/>
      </c>
      <c r="AC500" s="172" t="str">
        <f t="shared" si="107"/>
        <v/>
      </c>
      <c r="AE500" s="182"/>
      <c r="AF500" s="182"/>
      <c r="AG500" s="182"/>
      <c r="AH500" s="182"/>
      <c r="AI500" s="182"/>
      <c r="AJ500" s="182"/>
      <c r="AK500" s="182"/>
      <c r="AL500" s="182"/>
      <c r="AM500" s="182"/>
      <c r="AN500" s="182"/>
      <c r="AO500" s="182"/>
      <c r="AP500" s="182"/>
      <c r="AQ500" s="182"/>
      <c r="AR500" s="182"/>
      <c r="AS500" s="182"/>
    </row>
    <row r="501" spans="1:45" ht="15">
      <c r="A501" s="263"/>
      <c r="B501" s="245"/>
      <c r="C501" s="245"/>
      <c r="D501" s="193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70" t="str">
        <f t="shared" si="101"/>
        <v/>
      </c>
      <c r="U501" s="170" t="str">
        <f t="shared" si="102"/>
        <v/>
      </c>
      <c r="V501" s="170" t="str">
        <f t="shared" si="103"/>
        <v/>
      </c>
      <c r="W501" s="170" t="str">
        <f t="shared" si="104"/>
        <v/>
      </c>
      <c r="X501" s="170" t="str">
        <f t="shared" si="98"/>
        <v/>
      </c>
      <c r="Y501" s="170" t="str">
        <f t="shared" si="99"/>
        <v/>
      </c>
      <c r="Z501" s="171" t="str">
        <f t="shared" si="100"/>
        <v/>
      </c>
      <c r="AA501" s="170" t="str">
        <f t="shared" si="105"/>
        <v/>
      </c>
      <c r="AB501" s="170" t="str">
        <f t="shared" si="106"/>
        <v/>
      </c>
      <c r="AC501" s="172" t="str">
        <f t="shared" si="107"/>
        <v/>
      </c>
      <c r="AE501" s="182"/>
      <c r="AF501" s="182"/>
      <c r="AG501" s="182"/>
      <c r="AH501" s="182"/>
      <c r="AI501" s="182"/>
      <c r="AJ501" s="182"/>
      <c r="AK501" s="182"/>
      <c r="AL501" s="182"/>
      <c r="AM501" s="182"/>
      <c r="AN501" s="182"/>
      <c r="AO501" s="182"/>
      <c r="AP501" s="182"/>
      <c r="AQ501" s="182"/>
      <c r="AR501" s="182"/>
      <c r="AS501" s="182"/>
    </row>
    <row r="502" spans="1:45">
      <c r="A502" s="263">
        <v>63</v>
      </c>
      <c r="B502" s="252"/>
      <c r="C502" s="243"/>
      <c r="D502" s="184"/>
      <c r="E502" s="186"/>
      <c r="F502" s="186"/>
      <c r="G502" s="186"/>
      <c r="H502" s="186"/>
      <c r="I502" s="186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70" t="str">
        <f t="shared" si="101"/>
        <v/>
      </c>
      <c r="U502" s="170" t="str">
        <f t="shared" si="102"/>
        <v/>
      </c>
      <c r="V502" s="170" t="str">
        <f t="shared" si="103"/>
        <v/>
      </c>
      <c r="W502" s="170" t="str">
        <f t="shared" si="104"/>
        <v/>
      </c>
      <c r="X502" s="170" t="str">
        <f t="shared" si="98"/>
        <v/>
      </c>
      <c r="Y502" s="170" t="str">
        <f t="shared" si="99"/>
        <v/>
      </c>
      <c r="Z502" s="171" t="str">
        <f t="shared" si="100"/>
        <v/>
      </c>
      <c r="AA502" s="170" t="str">
        <f t="shared" si="105"/>
        <v/>
      </c>
      <c r="AB502" s="170" t="str">
        <f t="shared" si="106"/>
        <v/>
      </c>
      <c r="AC502" s="172" t="str">
        <f t="shared" si="107"/>
        <v/>
      </c>
      <c r="AE502" s="182"/>
      <c r="AF502" s="182"/>
      <c r="AG502" s="182"/>
      <c r="AH502" s="182"/>
      <c r="AI502" s="182"/>
      <c r="AJ502" s="182"/>
      <c r="AK502" s="182"/>
      <c r="AL502" s="182"/>
      <c r="AM502" s="182"/>
      <c r="AN502" s="182"/>
      <c r="AO502" s="182"/>
      <c r="AP502" s="182"/>
      <c r="AQ502" s="182"/>
      <c r="AR502" s="182"/>
      <c r="AS502" s="182"/>
    </row>
    <row r="503" spans="1:45" ht="15">
      <c r="A503" s="263"/>
      <c r="B503" s="244"/>
      <c r="C503" s="244"/>
      <c r="D503" s="194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70" t="str">
        <f t="shared" si="101"/>
        <v/>
      </c>
      <c r="U503" s="170" t="str">
        <f t="shared" si="102"/>
        <v/>
      </c>
      <c r="V503" s="170" t="str">
        <f t="shared" si="103"/>
        <v/>
      </c>
      <c r="W503" s="170" t="str">
        <f t="shared" si="104"/>
        <v/>
      </c>
      <c r="X503" s="170" t="str">
        <f t="shared" si="98"/>
        <v/>
      </c>
      <c r="Y503" s="170" t="str">
        <f t="shared" si="99"/>
        <v/>
      </c>
      <c r="Z503" s="171" t="str">
        <f t="shared" si="100"/>
        <v/>
      </c>
      <c r="AA503" s="170" t="str">
        <f t="shared" si="105"/>
        <v/>
      </c>
      <c r="AB503" s="170" t="str">
        <f t="shared" si="106"/>
        <v/>
      </c>
      <c r="AC503" s="172" t="str">
        <f t="shared" si="107"/>
        <v/>
      </c>
      <c r="AE503" s="182"/>
      <c r="AF503" s="182"/>
      <c r="AG503" s="182"/>
      <c r="AH503" s="182"/>
      <c r="AI503" s="182"/>
      <c r="AJ503" s="182"/>
      <c r="AK503" s="182"/>
      <c r="AL503" s="182"/>
      <c r="AM503" s="182"/>
      <c r="AN503" s="182"/>
      <c r="AO503" s="182"/>
      <c r="AP503" s="182"/>
      <c r="AQ503" s="182"/>
      <c r="AR503" s="182"/>
      <c r="AS503" s="182"/>
    </row>
    <row r="504" spans="1:45" ht="15">
      <c r="A504" s="263"/>
      <c r="B504" s="244"/>
      <c r="C504" s="244"/>
      <c r="D504" s="193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70" t="str">
        <f t="shared" si="101"/>
        <v/>
      </c>
      <c r="U504" s="170" t="str">
        <f t="shared" si="102"/>
        <v/>
      </c>
      <c r="V504" s="170" t="str">
        <f t="shared" si="103"/>
        <v/>
      </c>
      <c r="W504" s="170" t="str">
        <f t="shared" si="104"/>
        <v/>
      </c>
      <c r="X504" s="170" t="str">
        <f t="shared" si="98"/>
        <v/>
      </c>
      <c r="Y504" s="170" t="str">
        <f t="shared" si="99"/>
        <v/>
      </c>
      <c r="Z504" s="171" t="str">
        <f t="shared" si="100"/>
        <v/>
      </c>
      <c r="AA504" s="170" t="str">
        <f t="shared" si="105"/>
        <v/>
      </c>
      <c r="AB504" s="170" t="str">
        <f t="shared" si="106"/>
        <v/>
      </c>
      <c r="AC504" s="172" t="str">
        <f t="shared" si="107"/>
        <v/>
      </c>
      <c r="AE504" s="182"/>
      <c r="AF504" s="182"/>
      <c r="AG504" s="182"/>
      <c r="AH504" s="182"/>
      <c r="AI504" s="182"/>
      <c r="AJ504" s="182"/>
      <c r="AK504" s="182"/>
      <c r="AL504" s="182"/>
      <c r="AM504" s="182"/>
      <c r="AN504" s="182"/>
      <c r="AO504" s="182"/>
      <c r="AP504" s="182"/>
      <c r="AQ504" s="182"/>
      <c r="AR504" s="182"/>
      <c r="AS504" s="182"/>
    </row>
    <row r="505" spans="1:45" ht="15">
      <c r="A505" s="263"/>
      <c r="B505" s="244"/>
      <c r="C505" s="244"/>
      <c r="D505" s="193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70" t="str">
        <f t="shared" si="101"/>
        <v/>
      </c>
      <c r="U505" s="170" t="str">
        <f t="shared" si="102"/>
        <v/>
      </c>
      <c r="V505" s="170" t="str">
        <f t="shared" si="103"/>
        <v/>
      </c>
      <c r="W505" s="170" t="str">
        <f t="shared" si="104"/>
        <v/>
      </c>
      <c r="X505" s="170" t="str">
        <f t="shared" si="98"/>
        <v/>
      </c>
      <c r="Y505" s="170" t="str">
        <f t="shared" si="99"/>
        <v/>
      </c>
      <c r="Z505" s="171" t="str">
        <f t="shared" si="100"/>
        <v/>
      </c>
      <c r="AA505" s="170" t="str">
        <f t="shared" si="105"/>
        <v/>
      </c>
      <c r="AB505" s="170" t="str">
        <f t="shared" si="106"/>
        <v/>
      </c>
      <c r="AC505" s="172" t="str">
        <f t="shared" si="107"/>
        <v/>
      </c>
      <c r="AE505" s="182"/>
      <c r="AF505" s="182"/>
      <c r="AG505" s="182"/>
      <c r="AH505" s="182"/>
      <c r="AI505" s="182"/>
      <c r="AJ505" s="182"/>
      <c r="AK505" s="182"/>
      <c r="AL505" s="182"/>
      <c r="AM505" s="182"/>
      <c r="AN505" s="182"/>
      <c r="AO505" s="182"/>
      <c r="AP505" s="182"/>
      <c r="AQ505" s="182"/>
      <c r="AR505" s="182"/>
      <c r="AS505" s="182"/>
    </row>
    <row r="506" spans="1:45" ht="15">
      <c r="A506" s="263"/>
      <c r="B506" s="244"/>
      <c r="C506" s="244"/>
      <c r="D506" s="193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70" t="str">
        <f t="shared" si="101"/>
        <v/>
      </c>
      <c r="U506" s="170" t="str">
        <f t="shared" si="102"/>
        <v/>
      </c>
      <c r="V506" s="170" t="str">
        <f t="shared" si="103"/>
        <v/>
      </c>
      <c r="W506" s="170" t="str">
        <f t="shared" si="104"/>
        <v/>
      </c>
      <c r="X506" s="170" t="str">
        <f t="shared" si="98"/>
        <v/>
      </c>
      <c r="Y506" s="170" t="str">
        <f t="shared" si="99"/>
        <v/>
      </c>
      <c r="Z506" s="171" t="str">
        <f t="shared" si="100"/>
        <v/>
      </c>
      <c r="AA506" s="170" t="str">
        <f t="shared" si="105"/>
        <v/>
      </c>
      <c r="AB506" s="170" t="str">
        <f t="shared" si="106"/>
        <v/>
      </c>
      <c r="AC506" s="172" t="str">
        <f t="shared" si="107"/>
        <v/>
      </c>
      <c r="AE506" s="182"/>
      <c r="AF506" s="182"/>
      <c r="AG506" s="182"/>
      <c r="AH506" s="182"/>
      <c r="AI506" s="182"/>
      <c r="AJ506" s="182"/>
      <c r="AK506" s="182"/>
      <c r="AL506" s="182"/>
      <c r="AM506" s="182"/>
      <c r="AN506" s="182"/>
      <c r="AO506" s="182"/>
      <c r="AP506" s="182"/>
      <c r="AQ506" s="182"/>
      <c r="AR506" s="182"/>
      <c r="AS506" s="182"/>
    </row>
    <row r="507" spans="1:45" ht="15">
      <c r="A507" s="263"/>
      <c r="B507" s="244"/>
      <c r="C507" s="244"/>
      <c r="D507" s="193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70" t="str">
        <f t="shared" si="101"/>
        <v/>
      </c>
      <c r="U507" s="170" t="str">
        <f t="shared" si="102"/>
        <v/>
      </c>
      <c r="V507" s="170" t="str">
        <f t="shared" si="103"/>
        <v/>
      </c>
      <c r="W507" s="170" t="str">
        <f t="shared" si="104"/>
        <v/>
      </c>
      <c r="X507" s="170" t="str">
        <f t="shared" si="98"/>
        <v/>
      </c>
      <c r="Y507" s="170" t="str">
        <f t="shared" si="99"/>
        <v/>
      </c>
      <c r="Z507" s="171" t="str">
        <f t="shared" si="100"/>
        <v/>
      </c>
      <c r="AA507" s="170" t="str">
        <f t="shared" si="105"/>
        <v/>
      </c>
      <c r="AB507" s="170" t="str">
        <f t="shared" si="106"/>
        <v/>
      </c>
      <c r="AC507" s="172" t="str">
        <f t="shared" si="107"/>
        <v/>
      </c>
      <c r="AE507" s="182"/>
      <c r="AF507" s="182"/>
      <c r="AG507" s="182"/>
      <c r="AH507" s="182"/>
      <c r="AI507" s="182"/>
      <c r="AJ507" s="182"/>
      <c r="AK507" s="182"/>
      <c r="AL507" s="182"/>
      <c r="AM507" s="182"/>
      <c r="AN507" s="182"/>
      <c r="AO507" s="182"/>
      <c r="AP507" s="182"/>
      <c r="AQ507" s="182"/>
      <c r="AR507" s="182"/>
      <c r="AS507" s="182"/>
    </row>
    <row r="508" spans="1:45" ht="15">
      <c r="A508" s="263"/>
      <c r="B508" s="244"/>
      <c r="C508" s="244"/>
      <c r="D508" s="193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70" t="str">
        <f t="shared" si="101"/>
        <v/>
      </c>
      <c r="U508" s="170" t="str">
        <f t="shared" si="102"/>
        <v/>
      </c>
      <c r="V508" s="170" t="str">
        <f t="shared" si="103"/>
        <v/>
      </c>
      <c r="W508" s="170" t="str">
        <f t="shared" si="104"/>
        <v/>
      </c>
      <c r="X508" s="170" t="str">
        <f t="shared" si="98"/>
        <v/>
      </c>
      <c r="Y508" s="170" t="str">
        <f t="shared" si="99"/>
        <v/>
      </c>
      <c r="Z508" s="171" t="str">
        <f t="shared" si="100"/>
        <v/>
      </c>
      <c r="AA508" s="170" t="str">
        <f t="shared" si="105"/>
        <v/>
      </c>
      <c r="AB508" s="170" t="str">
        <f t="shared" si="106"/>
        <v/>
      </c>
      <c r="AC508" s="172" t="str">
        <f t="shared" si="107"/>
        <v/>
      </c>
      <c r="AE508" s="182"/>
      <c r="AF508" s="182"/>
      <c r="AG508" s="182"/>
      <c r="AH508" s="182"/>
      <c r="AI508" s="182"/>
      <c r="AJ508" s="182"/>
      <c r="AK508" s="182"/>
      <c r="AL508" s="182"/>
      <c r="AM508" s="182"/>
      <c r="AN508" s="182"/>
      <c r="AO508" s="182"/>
      <c r="AP508" s="182"/>
      <c r="AQ508" s="182"/>
      <c r="AR508" s="182"/>
      <c r="AS508" s="182"/>
    </row>
    <row r="509" spans="1:45" ht="15">
      <c r="A509" s="263"/>
      <c r="B509" s="245"/>
      <c r="C509" s="245"/>
      <c r="D509" s="193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70" t="str">
        <f t="shared" si="101"/>
        <v/>
      </c>
      <c r="U509" s="170" t="str">
        <f t="shared" si="102"/>
        <v/>
      </c>
      <c r="V509" s="170" t="str">
        <f t="shared" si="103"/>
        <v/>
      </c>
      <c r="W509" s="170" t="str">
        <f t="shared" si="104"/>
        <v/>
      </c>
      <c r="X509" s="170" t="str">
        <f t="shared" si="98"/>
        <v/>
      </c>
      <c r="Y509" s="170" t="str">
        <f t="shared" si="99"/>
        <v/>
      </c>
      <c r="Z509" s="171" t="str">
        <f t="shared" si="100"/>
        <v/>
      </c>
      <c r="AA509" s="170" t="str">
        <f t="shared" si="105"/>
        <v/>
      </c>
      <c r="AB509" s="170" t="str">
        <f t="shared" si="106"/>
        <v/>
      </c>
      <c r="AC509" s="172" t="str">
        <f t="shared" si="107"/>
        <v/>
      </c>
      <c r="AE509" s="182"/>
      <c r="AF509" s="182"/>
      <c r="AG509" s="182"/>
      <c r="AH509" s="182"/>
      <c r="AI509" s="182"/>
      <c r="AJ509" s="182"/>
      <c r="AK509" s="182"/>
      <c r="AL509" s="182"/>
      <c r="AM509" s="182"/>
      <c r="AN509" s="182"/>
      <c r="AO509" s="182"/>
      <c r="AP509" s="182"/>
      <c r="AQ509" s="182"/>
      <c r="AR509" s="182"/>
      <c r="AS509" s="182"/>
    </row>
    <row r="510" spans="1:45">
      <c r="A510" s="263">
        <v>64</v>
      </c>
      <c r="B510" s="252"/>
      <c r="C510" s="243"/>
      <c r="D510" s="184"/>
      <c r="E510" s="186"/>
      <c r="F510" s="186"/>
      <c r="G510" s="186"/>
      <c r="H510" s="186"/>
      <c r="I510" s="186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70" t="str">
        <f t="shared" si="101"/>
        <v/>
      </c>
      <c r="U510" s="170" t="str">
        <f t="shared" si="102"/>
        <v/>
      </c>
      <c r="V510" s="170" t="str">
        <f t="shared" si="103"/>
        <v/>
      </c>
      <c r="W510" s="170" t="str">
        <f t="shared" si="104"/>
        <v/>
      </c>
      <c r="X510" s="170" t="str">
        <f t="shared" si="98"/>
        <v/>
      </c>
      <c r="Y510" s="170" t="str">
        <f t="shared" si="99"/>
        <v/>
      </c>
      <c r="Z510" s="171" t="str">
        <f t="shared" si="100"/>
        <v/>
      </c>
      <c r="AA510" s="170" t="str">
        <f t="shared" si="105"/>
        <v/>
      </c>
      <c r="AB510" s="170" t="str">
        <f t="shared" si="106"/>
        <v/>
      </c>
      <c r="AC510" s="172" t="str">
        <f t="shared" si="107"/>
        <v/>
      </c>
      <c r="AE510" s="182"/>
      <c r="AF510" s="182"/>
      <c r="AG510" s="182"/>
      <c r="AH510" s="182"/>
      <c r="AI510" s="182"/>
      <c r="AJ510" s="182"/>
      <c r="AK510" s="182"/>
      <c r="AL510" s="182"/>
      <c r="AM510" s="182"/>
      <c r="AN510" s="182"/>
      <c r="AO510" s="182"/>
      <c r="AP510" s="182"/>
      <c r="AQ510" s="182"/>
      <c r="AR510" s="182"/>
      <c r="AS510" s="182"/>
    </row>
    <row r="511" spans="1:45">
      <c r="A511" s="263"/>
      <c r="B511" s="244"/>
      <c r="C511" s="244"/>
      <c r="D511" s="184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70" t="str">
        <f t="shared" si="101"/>
        <v/>
      </c>
      <c r="U511" s="170" t="str">
        <f t="shared" si="102"/>
        <v/>
      </c>
      <c r="V511" s="170" t="str">
        <f t="shared" si="103"/>
        <v/>
      </c>
      <c r="W511" s="170" t="str">
        <f t="shared" si="104"/>
        <v/>
      </c>
      <c r="X511" s="170" t="str">
        <f t="shared" si="98"/>
        <v/>
      </c>
      <c r="Y511" s="170" t="str">
        <f t="shared" si="99"/>
        <v/>
      </c>
      <c r="Z511" s="171" t="str">
        <f t="shared" si="100"/>
        <v/>
      </c>
      <c r="AA511" s="170" t="str">
        <f t="shared" si="105"/>
        <v/>
      </c>
      <c r="AB511" s="170" t="str">
        <f t="shared" si="106"/>
        <v/>
      </c>
      <c r="AC511" s="172" t="str">
        <f t="shared" si="107"/>
        <v/>
      </c>
      <c r="AE511" s="182"/>
      <c r="AF511" s="182"/>
      <c r="AG511" s="182"/>
      <c r="AH511" s="182"/>
      <c r="AI511" s="182"/>
      <c r="AJ511" s="182"/>
      <c r="AK511" s="182"/>
      <c r="AL511" s="182"/>
      <c r="AM511" s="182"/>
      <c r="AN511" s="182"/>
      <c r="AO511" s="182"/>
      <c r="AP511" s="182"/>
      <c r="AQ511" s="182"/>
      <c r="AR511" s="182"/>
      <c r="AS511" s="182"/>
    </row>
    <row r="512" spans="1:45" ht="15">
      <c r="A512" s="263"/>
      <c r="B512" s="244"/>
      <c r="C512" s="244"/>
      <c r="D512" s="194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70" t="str">
        <f t="shared" si="101"/>
        <v/>
      </c>
      <c r="U512" s="170" t="str">
        <f t="shared" si="102"/>
        <v/>
      </c>
      <c r="V512" s="170" t="str">
        <f t="shared" si="103"/>
        <v/>
      </c>
      <c r="W512" s="170" t="str">
        <f t="shared" si="104"/>
        <v/>
      </c>
      <c r="X512" s="170" t="str">
        <f t="shared" si="98"/>
        <v/>
      </c>
      <c r="Y512" s="170" t="str">
        <f t="shared" si="99"/>
        <v/>
      </c>
      <c r="Z512" s="171" t="str">
        <f t="shared" si="100"/>
        <v/>
      </c>
      <c r="AA512" s="170" t="str">
        <f t="shared" si="105"/>
        <v/>
      </c>
      <c r="AB512" s="170" t="str">
        <f t="shared" si="106"/>
        <v/>
      </c>
      <c r="AC512" s="172" t="str">
        <f t="shared" si="107"/>
        <v/>
      </c>
      <c r="AE512" s="182"/>
      <c r="AF512" s="182"/>
      <c r="AG512" s="182"/>
      <c r="AH512" s="182"/>
      <c r="AI512" s="182"/>
      <c r="AJ512" s="182"/>
      <c r="AK512" s="182"/>
      <c r="AL512" s="182"/>
      <c r="AM512" s="182"/>
      <c r="AN512" s="182"/>
      <c r="AO512" s="182"/>
      <c r="AP512" s="182"/>
      <c r="AQ512" s="182"/>
      <c r="AR512" s="182"/>
      <c r="AS512" s="182"/>
    </row>
    <row r="513" spans="1:45" ht="15">
      <c r="A513" s="263"/>
      <c r="B513" s="244"/>
      <c r="C513" s="244"/>
      <c r="D513" s="193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70" t="str">
        <f t="shared" si="101"/>
        <v/>
      </c>
      <c r="U513" s="170" t="str">
        <f t="shared" si="102"/>
        <v/>
      </c>
      <c r="V513" s="170" t="str">
        <f t="shared" si="103"/>
        <v/>
      </c>
      <c r="W513" s="170" t="str">
        <f t="shared" si="104"/>
        <v/>
      </c>
      <c r="X513" s="170" t="str">
        <f t="shared" si="98"/>
        <v/>
      </c>
      <c r="Y513" s="170" t="str">
        <f t="shared" si="99"/>
        <v/>
      </c>
      <c r="Z513" s="171" t="str">
        <f t="shared" si="100"/>
        <v/>
      </c>
      <c r="AA513" s="170" t="str">
        <f t="shared" si="105"/>
        <v/>
      </c>
      <c r="AB513" s="170" t="str">
        <f t="shared" si="106"/>
        <v/>
      </c>
      <c r="AC513" s="172" t="str">
        <f t="shared" si="107"/>
        <v/>
      </c>
      <c r="AE513" s="182"/>
      <c r="AF513" s="182"/>
      <c r="AG513" s="182"/>
      <c r="AH513" s="182"/>
      <c r="AI513" s="182"/>
      <c r="AJ513" s="182"/>
      <c r="AK513" s="182"/>
      <c r="AL513" s="182"/>
      <c r="AM513" s="182"/>
      <c r="AN513" s="182"/>
      <c r="AO513" s="182"/>
      <c r="AP513" s="182"/>
      <c r="AQ513" s="182"/>
      <c r="AR513" s="182"/>
      <c r="AS513" s="182"/>
    </row>
    <row r="514" spans="1:45" ht="15">
      <c r="A514" s="263"/>
      <c r="B514" s="244"/>
      <c r="C514" s="244"/>
      <c r="D514" s="193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70" t="str">
        <f t="shared" si="101"/>
        <v/>
      </c>
      <c r="U514" s="170" t="str">
        <f t="shared" si="102"/>
        <v/>
      </c>
      <c r="V514" s="170" t="str">
        <f t="shared" si="103"/>
        <v/>
      </c>
      <c r="W514" s="170" t="str">
        <f t="shared" si="104"/>
        <v/>
      </c>
      <c r="X514" s="170" t="str">
        <f t="shared" si="98"/>
        <v/>
      </c>
      <c r="Y514" s="170" t="str">
        <f t="shared" si="99"/>
        <v/>
      </c>
      <c r="Z514" s="171" t="str">
        <f t="shared" si="100"/>
        <v/>
      </c>
      <c r="AA514" s="170" t="str">
        <f t="shared" si="105"/>
        <v/>
      </c>
      <c r="AB514" s="170" t="str">
        <f t="shared" si="106"/>
        <v/>
      </c>
      <c r="AC514" s="172" t="str">
        <f t="shared" si="107"/>
        <v/>
      </c>
      <c r="AE514" s="182"/>
      <c r="AF514" s="182"/>
      <c r="AG514" s="182"/>
      <c r="AH514" s="182"/>
      <c r="AI514" s="182"/>
      <c r="AJ514" s="182"/>
      <c r="AK514" s="182"/>
      <c r="AL514" s="182"/>
      <c r="AM514" s="182"/>
      <c r="AN514" s="182"/>
      <c r="AO514" s="182"/>
      <c r="AP514" s="182"/>
      <c r="AQ514" s="182"/>
      <c r="AR514" s="182"/>
      <c r="AS514" s="182"/>
    </row>
    <row r="515" spans="1:45" ht="15">
      <c r="A515" s="263"/>
      <c r="B515" s="244"/>
      <c r="C515" s="244"/>
      <c r="D515" s="193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70" t="str">
        <f t="shared" si="101"/>
        <v/>
      </c>
      <c r="U515" s="170" t="str">
        <f t="shared" si="102"/>
        <v/>
      </c>
      <c r="V515" s="170" t="str">
        <f t="shared" si="103"/>
        <v/>
      </c>
      <c r="W515" s="170" t="str">
        <f t="shared" si="104"/>
        <v/>
      </c>
      <c r="X515" s="170" t="str">
        <f t="shared" si="98"/>
        <v/>
      </c>
      <c r="Y515" s="170" t="str">
        <f t="shared" si="99"/>
        <v/>
      </c>
      <c r="Z515" s="171" t="str">
        <f t="shared" si="100"/>
        <v/>
      </c>
      <c r="AA515" s="170" t="str">
        <f t="shared" si="105"/>
        <v/>
      </c>
      <c r="AB515" s="170" t="str">
        <f t="shared" si="106"/>
        <v/>
      </c>
      <c r="AC515" s="172" t="str">
        <f t="shared" si="107"/>
        <v/>
      </c>
      <c r="AE515" s="182"/>
      <c r="AF515" s="182"/>
      <c r="AG515" s="182"/>
      <c r="AH515" s="182"/>
      <c r="AI515" s="182"/>
      <c r="AJ515" s="182"/>
      <c r="AK515" s="182"/>
      <c r="AL515" s="182"/>
      <c r="AM515" s="182"/>
      <c r="AN515" s="182"/>
      <c r="AO515" s="182"/>
      <c r="AP515" s="182"/>
      <c r="AQ515" s="182"/>
      <c r="AR515" s="182"/>
      <c r="AS515" s="182"/>
    </row>
    <row r="516" spans="1:45" ht="15">
      <c r="A516" s="263"/>
      <c r="B516" s="244"/>
      <c r="C516" s="244"/>
      <c r="D516" s="193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70" t="str">
        <f t="shared" si="101"/>
        <v/>
      </c>
      <c r="U516" s="170" t="str">
        <f t="shared" si="102"/>
        <v/>
      </c>
      <c r="V516" s="170" t="str">
        <f t="shared" si="103"/>
        <v/>
      </c>
      <c r="W516" s="170" t="str">
        <f t="shared" si="104"/>
        <v/>
      </c>
      <c r="X516" s="170" t="str">
        <f t="shared" si="98"/>
        <v/>
      </c>
      <c r="Y516" s="170" t="str">
        <f t="shared" si="99"/>
        <v/>
      </c>
      <c r="Z516" s="171" t="str">
        <f t="shared" si="100"/>
        <v/>
      </c>
      <c r="AA516" s="170" t="str">
        <f t="shared" si="105"/>
        <v/>
      </c>
      <c r="AB516" s="170" t="str">
        <f t="shared" si="106"/>
        <v/>
      </c>
      <c r="AC516" s="172" t="str">
        <f t="shared" si="107"/>
        <v/>
      </c>
      <c r="AE516" s="182"/>
      <c r="AF516" s="182"/>
      <c r="AG516" s="182"/>
      <c r="AH516" s="182"/>
      <c r="AI516" s="182"/>
      <c r="AJ516" s="182"/>
      <c r="AK516" s="182"/>
      <c r="AL516" s="182"/>
      <c r="AM516" s="182"/>
      <c r="AN516" s="182"/>
      <c r="AO516" s="182"/>
      <c r="AP516" s="182"/>
      <c r="AQ516" s="182"/>
      <c r="AR516" s="182"/>
      <c r="AS516" s="182"/>
    </row>
    <row r="517" spans="1:45" ht="15">
      <c r="A517" s="263"/>
      <c r="B517" s="245"/>
      <c r="C517" s="245"/>
      <c r="D517" s="193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70" t="str">
        <f t="shared" si="101"/>
        <v/>
      </c>
      <c r="U517" s="170" t="str">
        <f t="shared" si="102"/>
        <v/>
      </c>
      <c r="V517" s="170" t="str">
        <f t="shared" si="103"/>
        <v/>
      </c>
      <c r="W517" s="170" t="str">
        <f t="shared" si="104"/>
        <v/>
      </c>
      <c r="X517" s="170" t="str">
        <f t="shared" si="98"/>
        <v/>
      </c>
      <c r="Y517" s="170" t="str">
        <f t="shared" si="99"/>
        <v/>
      </c>
      <c r="Z517" s="171" t="str">
        <f t="shared" si="100"/>
        <v/>
      </c>
      <c r="AA517" s="170" t="str">
        <f t="shared" si="105"/>
        <v/>
      </c>
      <c r="AB517" s="170" t="str">
        <f t="shared" si="106"/>
        <v/>
      </c>
      <c r="AC517" s="172" t="str">
        <f t="shared" si="107"/>
        <v/>
      </c>
      <c r="AE517" s="182"/>
      <c r="AF517" s="182"/>
      <c r="AG517" s="182"/>
      <c r="AH517" s="182"/>
      <c r="AI517" s="182"/>
      <c r="AJ517" s="182"/>
      <c r="AK517" s="182"/>
      <c r="AL517" s="182"/>
      <c r="AM517" s="182"/>
      <c r="AN517" s="182"/>
      <c r="AO517" s="182"/>
      <c r="AP517" s="182"/>
      <c r="AQ517" s="182"/>
      <c r="AR517" s="182"/>
      <c r="AS517" s="182"/>
    </row>
    <row r="518" spans="1:45" ht="15">
      <c r="A518" s="263">
        <v>65</v>
      </c>
      <c r="B518" s="262"/>
      <c r="C518" s="249"/>
      <c r="D518" s="195"/>
      <c r="E518" s="196"/>
      <c r="F518" s="196"/>
      <c r="G518" s="196"/>
      <c r="H518" s="196"/>
      <c r="I518" s="196"/>
      <c r="J518" s="186"/>
      <c r="K518" s="169"/>
      <c r="L518" s="169"/>
      <c r="M518" s="169"/>
      <c r="N518" s="169"/>
      <c r="O518" s="169"/>
      <c r="P518" s="169"/>
      <c r="Q518" s="169"/>
      <c r="R518" s="169"/>
      <c r="S518" s="169"/>
      <c r="T518" s="170" t="str">
        <f t="shared" si="101"/>
        <v/>
      </c>
      <c r="U518" s="170" t="str">
        <f t="shared" si="102"/>
        <v/>
      </c>
      <c r="V518" s="170" t="str">
        <f t="shared" si="103"/>
        <v/>
      </c>
      <c r="W518" s="170" t="str">
        <f t="shared" si="104"/>
        <v/>
      </c>
      <c r="X518" s="170" t="str">
        <f t="shared" si="98"/>
        <v/>
      </c>
      <c r="Y518" s="170" t="str">
        <f t="shared" si="99"/>
        <v/>
      </c>
      <c r="Z518" s="171" t="str">
        <f t="shared" si="100"/>
        <v/>
      </c>
      <c r="AA518" s="170" t="str">
        <f t="shared" si="105"/>
        <v/>
      </c>
      <c r="AB518" s="170" t="str">
        <f t="shared" si="106"/>
        <v/>
      </c>
      <c r="AC518" s="172" t="str">
        <f t="shared" si="107"/>
        <v/>
      </c>
      <c r="AE518" s="182"/>
      <c r="AF518" s="182"/>
      <c r="AG518" s="182"/>
      <c r="AH518" s="182"/>
      <c r="AI518" s="182"/>
      <c r="AJ518" s="182"/>
      <c r="AK518" s="182"/>
      <c r="AL518" s="182"/>
      <c r="AM518" s="182"/>
      <c r="AN518" s="182"/>
      <c r="AO518" s="182"/>
      <c r="AP518" s="182"/>
      <c r="AQ518" s="182"/>
      <c r="AR518" s="182"/>
      <c r="AS518" s="182"/>
    </row>
    <row r="519" spans="1:45" ht="15">
      <c r="A519" s="263"/>
      <c r="B519" s="250"/>
      <c r="C519" s="250"/>
      <c r="D519" s="195"/>
      <c r="E519" s="196"/>
      <c r="F519" s="196"/>
      <c r="G519" s="196"/>
      <c r="H519" s="196"/>
      <c r="I519" s="196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70" t="str">
        <f t="shared" si="101"/>
        <v/>
      </c>
      <c r="U519" s="170" t="str">
        <f t="shared" si="102"/>
        <v/>
      </c>
      <c r="V519" s="170" t="str">
        <f t="shared" si="103"/>
        <v/>
      </c>
      <c r="W519" s="170" t="str">
        <f t="shared" si="104"/>
        <v/>
      </c>
      <c r="X519" s="170" t="str">
        <f t="shared" ref="X519:X582" si="108">IF(COUNT(E519:S519)=0,"",V519-1*W519)</f>
        <v/>
      </c>
      <c r="Y519" s="170" t="str">
        <f t="shared" ref="Y519:Y582" si="109">IF(COUNT(E519:S519)=0,"",V519+1*W519)</f>
        <v/>
      </c>
      <c r="Z519" s="171" t="str">
        <f t="shared" ref="Z519:Z533" si="110">IF(COUNT(E519:S519)=0,"",SUM(IF(AND(E519&gt;X519,E519&lt;Y519),E519,0),IF(AND(F519&gt;X519,F519&lt;Y519),F519,0),IF(AND(G519&gt;X519,G519&lt;Y519),G519,0),IF(AND(H519&gt;X519,H519&lt;Y519),H519,0),IF(AND(I519&gt;X519,I519&lt;Y519),I519,0),IF(AND(J519&gt;X519,J519&lt;Y519),J519,0),IF(AND(K519&gt;X519,K519&lt;Y519),K519,0),IF(AND(L519&gt;X519,L519&lt;Y519),L519,0),IF(AND(M519&gt;X519,M519&lt;Y519),M519,0),IF(AND(N519&gt;X519,N519&lt;Y519),N519,0),IF(AND(O519&gt;X519,O519&lt;Y519),O519,0),IF(AND(P519&gt;X519,P519&lt;Y519),P519,0),IF(AND(Q519&gt;X519,Q519&lt;Y519),Q519,0),IF(AND(R519&gt;X519,R519&lt;Y519),R519,0),IF(AND(S519&gt;X519,S519&lt;Y519),S519,0))/SUM(IF(AND(E519&gt;X519,E519&lt;Y519,E519&lt;&gt;0),1,0),IF(AND(F519&gt;X519,F519&lt;Y519,F519&lt;&gt;0),1,0),IF(AND(G519&gt;X519,G519&lt;Y519,G519&lt;&gt;0),1,0),IF(AND(H519&gt;X519,H519&lt;Y519,H519&lt;&gt;0),1,0),IF(AND(I519&gt;X519,I519&lt;Y519,I519&lt;&gt;0),1,0),IF(AND(J519&gt;X519,J519&lt;Y519,J519&lt;&gt;0),1,0),IF(AND(K519&gt;X519,K519&lt;Y519,K519&lt;&gt;0),1,0),IF(AND(L519&gt;X519,L519&lt;Y519,L519&lt;&gt;0),1,0),IF(AND(M519&gt;X519,M519&lt;Y519,M519&lt;&gt;0),1,0),IF(AND(N519&gt;X519,N519&lt;Y519,N519&lt;&gt;0),1,0),IF(AND(O519&gt;X519,O519&lt;Y519,O519&lt;&gt;0),1,0),IF(AND(P519&gt;X519,P519&lt;Y519,P519&lt;&gt;0),1,0),IF(AND(Q519&gt;X519,Q519&lt;Y519,Q519&lt;&gt;0),1,0),IF(AND(R519&gt;X519,R519&lt;Y519,R519&lt;&gt;0),1,0),IF(AND(S519&gt;X519,S519&lt;Y519,S519&lt;&gt;0),1,0)))</f>
        <v/>
      </c>
      <c r="AA519" s="170" t="str">
        <f t="shared" si="105"/>
        <v/>
      </c>
      <c r="AB519" s="170" t="str">
        <f t="shared" si="106"/>
        <v/>
      </c>
      <c r="AC519" s="172" t="str">
        <f t="shared" si="107"/>
        <v/>
      </c>
      <c r="AE519" s="182"/>
      <c r="AF519" s="182"/>
      <c r="AG519" s="182"/>
      <c r="AH519" s="182"/>
      <c r="AI519" s="182"/>
      <c r="AJ519" s="182"/>
      <c r="AK519" s="182"/>
      <c r="AL519" s="182"/>
      <c r="AM519" s="182"/>
      <c r="AN519" s="182"/>
      <c r="AO519" s="182"/>
      <c r="AP519" s="182"/>
      <c r="AQ519" s="182"/>
      <c r="AR519" s="182"/>
      <c r="AS519" s="182"/>
    </row>
    <row r="520" spans="1:45" ht="15">
      <c r="A520" s="263"/>
      <c r="B520" s="250"/>
      <c r="C520" s="250"/>
      <c r="D520" s="200"/>
      <c r="E520" s="196"/>
      <c r="F520" s="196"/>
      <c r="G520" s="196"/>
      <c r="H520" s="196"/>
      <c r="I520" s="196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70" t="str">
        <f t="shared" si="101"/>
        <v/>
      </c>
      <c r="U520" s="170" t="str">
        <f t="shared" si="102"/>
        <v/>
      </c>
      <c r="V520" s="170" t="str">
        <f t="shared" si="103"/>
        <v/>
      </c>
      <c r="W520" s="170" t="str">
        <f t="shared" si="104"/>
        <v/>
      </c>
      <c r="X520" s="170" t="str">
        <f t="shared" si="108"/>
        <v/>
      </c>
      <c r="Y520" s="170" t="str">
        <f t="shared" si="109"/>
        <v/>
      </c>
      <c r="Z520" s="171" t="str">
        <f t="shared" si="110"/>
        <v/>
      </c>
      <c r="AA520" s="170" t="str">
        <f t="shared" si="105"/>
        <v/>
      </c>
      <c r="AB520" s="170" t="str">
        <f t="shared" si="106"/>
        <v/>
      </c>
      <c r="AC520" s="172" t="str">
        <f t="shared" si="107"/>
        <v/>
      </c>
      <c r="AE520" s="182"/>
      <c r="AF520" s="182"/>
      <c r="AG520" s="182"/>
      <c r="AH520" s="182"/>
      <c r="AI520" s="182"/>
      <c r="AJ520" s="182"/>
      <c r="AK520" s="182"/>
      <c r="AL520" s="182"/>
      <c r="AM520" s="182"/>
      <c r="AN520" s="182"/>
      <c r="AO520" s="182"/>
      <c r="AP520" s="182"/>
      <c r="AQ520" s="182"/>
      <c r="AR520" s="182"/>
      <c r="AS520" s="182"/>
    </row>
    <row r="521" spans="1:45" ht="15">
      <c r="A521" s="263"/>
      <c r="B521" s="250"/>
      <c r="C521" s="250"/>
      <c r="D521" s="200"/>
      <c r="E521" s="196"/>
      <c r="F521" s="196"/>
      <c r="G521" s="196"/>
      <c r="H521" s="196"/>
      <c r="I521" s="196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70" t="str">
        <f t="shared" si="101"/>
        <v/>
      </c>
      <c r="U521" s="170" t="str">
        <f t="shared" si="102"/>
        <v/>
      </c>
      <c r="V521" s="170" t="str">
        <f t="shared" si="103"/>
        <v/>
      </c>
      <c r="W521" s="170" t="str">
        <f t="shared" si="104"/>
        <v/>
      </c>
      <c r="X521" s="170" t="str">
        <f t="shared" si="108"/>
        <v/>
      </c>
      <c r="Y521" s="170" t="str">
        <f t="shared" si="109"/>
        <v/>
      </c>
      <c r="Z521" s="171" t="str">
        <f t="shared" si="110"/>
        <v/>
      </c>
      <c r="AA521" s="170" t="str">
        <f t="shared" si="105"/>
        <v/>
      </c>
      <c r="AB521" s="170" t="str">
        <f t="shared" si="106"/>
        <v/>
      </c>
      <c r="AC521" s="172" t="str">
        <f t="shared" si="107"/>
        <v/>
      </c>
      <c r="AE521" s="182"/>
      <c r="AF521" s="182"/>
      <c r="AG521" s="182"/>
      <c r="AH521" s="182"/>
      <c r="AI521" s="182"/>
      <c r="AJ521" s="182"/>
      <c r="AK521" s="182"/>
      <c r="AL521" s="182"/>
      <c r="AM521" s="182"/>
      <c r="AN521" s="182"/>
      <c r="AO521" s="182"/>
      <c r="AP521" s="182"/>
      <c r="AQ521" s="182"/>
      <c r="AR521" s="182"/>
      <c r="AS521" s="182"/>
    </row>
    <row r="522" spans="1:45" ht="15">
      <c r="A522" s="263"/>
      <c r="B522" s="250"/>
      <c r="C522" s="250"/>
      <c r="D522" s="200"/>
      <c r="E522" s="196"/>
      <c r="F522" s="196"/>
      <c r="G522" s="196"/>
      <c r="H522" s="196"/>
      <c r="I522" s="196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70" t="str">
        <f t="shared" si="101"/>
        <v/>
      </c>
      <c r="U522" s="170" t="str">
        <f t="shared" si="102"/>
        <v/>
      </c>
      <c r="V522" s="170" t="str">
        <f t="shared" si="103"/>
        <v/>
      </c>
      <c r="W522" s="170" t="str">
        <f t="shared" si="104"/>
        <v/>
      </c>
      <c r="X522" s="170" t="str">
        <f t="shared" si="108"/>
        <v/>
      </c>
      <c r="Y522" s="170" t="str">
        <f t="shared" si="109"/>
        <v/>
      </c>
      <c r="Z522" s="171" t="str">
        <f t="shared" si="110"/>
        <v/>
      </c>
      <c r="AA522" s="170" t="str">
        <f t="shared" si="105"/>
        <v/>
      </c>
      <c r="AB522" s="170" t="str">
        <f t="shared" si="106"/>
        <v/>
      </c>
      <c r="AC522" s="172" t="str">
        <f t="shared" si="107"/>
        <v/>
      </c>
      <c r="AE522" s="182"/>
      <c r="AF522" s="182"/>
      <c r="AG522" s="182"/>
      <c r="AH522" s="182"/>
      <c r="AI522" s="182"/>
      <c r="AJ522" s="182"/>
      <c r="AK522" s="182"/>
      <c r="AL522" s="182"/>
      <c r="AM522" s="182"/>
      <c r="AN522" s="182"/>
      <c r="AO522" s="182"/>
      <c r="AP522" s="182"/>
      <c r="AQ522" s="182"/>
      <c r="AR522" s="182"/>
      <c r="AS522" s="182"/>
    </row>
    <row r="523" spans="1:45" ht="15">
      <c r="A523" s="263"/>
      <c r="B523" s="250"/>
      <c r="C523" s="250"/>
      <c r="D523" s="200"/>
      <c r="E523" s="196"/>
      <c r="F523" s="196"/>
      <c r="G523" s="196"/>
      <c r="H523" s="196"/>
      <c r="I523" s="196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70" t="str">
        <f t="shared" si="101"/>
        <v/>
      </c>
      <c r="U523" s="170" t="str">
        <f t="shared" si="102"/>
        <v/>
      </c>
      <c r="V523" s="170" t="str">
        <f t="shared" si="103"/>
        <v/>
      </c>
      <c r="W523" s="170" t="str">
        <f t="shared" si="104"/>
        <v/>
      </c>
      <c r="X523" s="170" t="str">
        <f t="shared" si="108"/>
        <v/>
      </c>
      <c r="Y523" s="170" t="str">
        <f t="shared" si="109"/>
        <v/>
      </c>
      <c r="Z523" s="171" t="str">
        <f t="shared" si="110"/>
        <v/>
      </c>
      <c r="AA523" s="170" t="str">
        <f t="shared" si="105"/>
        <v/>
      </c>
      <c r="AB523" s="170" t="str">
        <f t="shared" si="106"/>
        <v/>
      </c>
      <c r="AC523" s="172" t="str">
        <f t="shared" si="107"/>
        <v/>
      </c>
      <c r="AE523" s="182"/>
      <c r="AF523" s="182"/>
      <c r="AG523" s="182"/>
      <c r="AH523" s="182"/>
      <c r="AI523" s="182"/>
      <c r="AJ523" s="182"/>
      <c r="AK523" s="182"/>
      <c r="AL523" s="182"/>
      <c r="AM523" s="182"/>
      <c r="AN523" s="182"/>
      <c r="AO523" s="182"/>
      <c r="AP523" s="182"/>
      <c r="AQ523" s="182"/>
      <c r="AR523" s="182"/>
      <c r="AS523" s="182"/>
    </row>
    <row r="524" spans="1:45" ht="15">
      <c r="A524" s="263"/>
      <c r="B524" s="250"/>
      <c r="C524" s="250"/>
      <c r="D524" s="200"/>
      <c r="E524" s="196"/>
      <c r="F524" s="196"/>
      <c r="G524" s="196"/>
      <c r="H524" s="196"/>
      <c r="I524" s="196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70" t="str">
        <f t="shared" si="101"/>
        <v/>
      </c>
      <c r="U524" s="170" t="str">
        <f t="shared" si="102"/>
        <v/>
      </c>
      <c r="V524" s="170" t="str">
        <f t="shared" si="103"/>
        <v/>
      </c>
      <c r="W524" s="170" t="str">
        <f t="shared" si="104"/>
        <v/>
      </c>
      <c r="X524" s="170" t="str">
        <f t="shared" si="108"/>
        <v/>
      </c>
      <c r="Y524" s="170" t="str">
        <f t="shared" si="109"/>
        <v/>
      </c>
      <c r="Z524" s="171" t="str">
        <f t="shared" si="110"/>
        <v/>
      </c>
      <c r="AA524" s="170" t="str">
        <f t="shared" si="105"/>
        <v/>
      </c>
      <c r="AB524" s="170" t="str">
        <f t="shared" si="106"/>
        <v/>
      </c>
      <c r="AC524" s="172" t="str">
        <f t="shared" si="107"/>
        <v/>
      </c>
      <c r="AE524" s="182"/>
      <c r="AF524" s="182"/>
      <c r="AG524" s="182"/>
      <c r="AH524" s="182"/>
      <c r="AI524" s="182"/>
      <c r="AJ524" s="182"/>
      <c r="AK524" s="182"/>
      <c r="AL524" s="182"/>
      <c r="AM524" s="182"/>
      <c r="AN524" s="182"/>
      <c r="AO524" s="182"/>
      <c r="AP524" s="182"/>
      <c r="AQ524" s="182"/>
      <c r="AR524" s="182"/>
      <c r="AS524" s="182"/>
    </row>
    <row r="525" spans="1:45" ht="15">
      <c r="A525" s="263"/>
      <c r="B525" s="251"/>
      <c r="C525" s="251"/>
      <c r="D525" s="200"/>
      <c r="E525" s="196"/>
      <c r="F525" s="196"/>
      <c r="G525" s="196"/>
      <c r="H525" s="196"/>
      <c r="I525" s="196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70" t="str">
        <f t="shared" si="101"/>
        <v/>
      </c>
      <c r="U525" s="170" t="str">
        <f t="shared" si="102"/>
        <v/>
      </c>
      <c r="V525" s="170" t="str">
        <f t="shared" si="103"/>
        <v/>
      </c>
      <c r="W525" s="170" t="str">
        <f t="shared" si="104"/>
        <v/>
      </c>
      <c r="X525" s="170" t="str">
        <f t="shared" si="108"/>
        <v/>
      </c>
      <c r="Y525" s="170" t="str">
        <f t="shared" si="109"/>
        <v/>
      </c>
      <c r="Z525" s="171" t="str">
        <f t="shared" si="110"/>
        <v/>
      </c>
      <c r="AA525" s="170" t="str">
        <f t="shared" si="105"/>
        <v/>
      </c>
      <c r="AB525" s="170" t="str">
        <f t="shared" si="106"/>
        <v/>
      </c>
      <c r="AC525" s="172" t="str">
        <f t="shared" si="107"/>
        <v/>
      </c>
      <c r="AE525" s="182"/>
      <c r="AF525" s="182"/>
      <c r="AG525" s="182"/>
      <c r="AH525" s="182"/>
      <c r="AI525" s="182"/>
      <c r="AJ525" s="182"/>
      <c r="AK525" s="182"/>
      <c r="AL525" s="182"/>
      <c r="AM525" s="182"/>
      <c r="AN525" s="182"/>
      <c r="AO525" s="182"/>
      <c r="AP525" s="182"/>
      <c r="AQ525" s="182"/>
      <c r="AR525" s="182"/>
      <c r="AS525" s="182"/>
    </row>
    <row r="526" spans="1:45" ht="15">
      <c r="A526" s="263">
        <v>66</v>
      </c>
      <c r="B526" s="262"/>
      <c r="C526" s="249"/>
      <c r="D526" s="195"/>
      <c r="E526" s="196"/>
      <c r="F526" s="196"/>
      <c r="G526" s="196"/>
      <c r="H526" s="196"/>
      <c r="I526" s="196"/>
      <c r="J526" s="186"/>
      <c r="K526" s="169"/>
      <c r="L526" s="169"/>
      <c r="M526" s="169"/>
      <c r="N526" s="169"/>
      <c r="O526" s="169"/>
      <c r="P526" s="169"/>
      <c r="Q526" s="169"/>
      <c r="R526" s="169"/>
      <c r="S526" s="169"/>
      <c r="T526" s="170" t="str">
        <f t="shared" si="101"/>
        <v/>
      </c>
      <c r="U526" s="170" t="str">
        <f t="shared" si="102"/>
        <v/>
      </c>
      <c r="V526" s="170" t="str">
        <f t="shared" si="103"/>
        <v/>
      </c>
      <c r="W526" s="170" t="str">
        <f t="shared" si="104"/>
        <v/>
      </c>
      <c r="X526" s="170" t="str">
        <f t="shared" si="108"/>
        <v/>
      </c>
      <c r="Y526" s="170" t="str">
        <f t="shared" si="109"/>
        <v/>
      </c>
      <c r="Z526" s="171" t="str">
        <f t="shared" si="110"/>
        <v/>
      </c>
      <c r="AA526" s="170" t="str">
        <f t="shared" si="105"/>
        <v/>
      </c>
      <c r="AB526" s="170" t="str">
        <f t="shared" si="106"/>
        <v/>
      </c>
      <c r="AC526" s="172" t="str">
        <f t="shared" si="107"/>
        <v/>
      </c>
      <c r="AE526" s="182"/>
      <c r="AF526" s="182"/>
      <c r="AG526" s="182"/>
      <c r="AH526" s="182"/>
      <c r="AI526" s="182"/>
      <c r="AJ526" s="182"/>
      <c r="AK526" s="182"/>
      <c r="AL526" s="182"/>
      <c r="AM526" s="182"/>
      <c r="AN526" s="182"/>
      <c r="AO526" s="182"/>
      <c r="AP526" s="182"/>
      <c r="AQ526" s="182"/>
      <c r="AR526" s="182"/>
      <c r="AS526" s="182"/>
    </row>
    <row r="527" spans="1:45" ht="15">
      <c r="A527" s="263"/>
      <c r="B527" s="250"/>
      <c r="C527" s="250"/>
      <c r="D527" s="195"/>
      <c r="E527" s="196"/>
      <c r="F527" s="196"/>
      <c r="G527" s="196"/>
      <c r="H527" s="196"/>
      <c r="I527" s="196"/>
      <c r="J527" s="186"/>
      <c r="K527" s="169"/>
      <c r="L527" s="169"/>
      <c r="M527" s="169"/>
      <c r="N527" s="169"/>
      <c r="O527" s="169"/>
      <c r="P527" s="169"/>
      <c r="Q527" s="169"/>
      <c r="R527" s="169"/>
      <c r="S527" s="169"/>
      <c r="T527" s="170" t="str">
        <f t="shared" si="101"/>
        <v/>
      </c>
      <c r="U527" s="170" t="str">
        <f t="shared" si="102"/>
        <v/>
      </c>
      <c r="V527" s="170" t="str">
        <f t="shared" si="103"/>
        <v/>
      </c>
      <c r="W527" s="170" t="str">
        <f t="shared" si="104"/>
        <v/>
      </c>
      <c r="X527" s="170" t="str">
        <f t="shared" si="108"/>
        <v/>
      </c>
      <c r="Y527" s="170" t="str">
        <f t="shared" si="109"/>
        <v/>
      </c>
      <c r="Z527" s="171" t="str">
        <f t="shared" si="110"/>
        <v/>
      </c>
      <c r="AA527" s="170" t="str">
        <f t="shared" si="105"/>
        <v/>
      </c>
      <c r="AB527" s="170" t="str">
        <f t="shared" si="106"/>
        <v/>
      </c>
      <c r="AC527" s="172" t="str">
        <f t="shared" si="107"/>
        <v/>
      </c>
      <c r="AE527" s="182"/>
      <c r="AF527" s="182"/>
      <c r="AG527" s="182"/>
      <c r="AH527" s="182"/>
      <c r="AI527" s="182"/>
      <c r="AJ527" s="182"/>
      <c r="AK527" s="182"/>
      <c r="AL527" s="182"/>
      <c r="AM527" s="182"/>
      <c r="AN527" s="182"/>
      <c r="AO527" s="182"/>
      <c r="AP527" s="182"/>
      <c r="AQ527" s="182"/>
      <c r="AR527" s="182"/>
      <c r="AS527" s="182"/>
    </row>
    <row r="528" spans="1:45" ht="15">
      <c r="A528" s="263"/>
      <c r="B528" s="250"/>
      <c r="C528" s="250"/>
      <c r="D528" s="200"/>
      <c r="E528" s="196"/>
      <c r="F528" s="196"/>
      <c r="G528" s="196"/>
      <c r="H528" s="196"/>
      <c r="I528" s="196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70" t="str">
        <f t="shared" si="101"/>
        <v/>
      </c>
      <c r="U528" s="170" t="str">
        <f t="shared" si="102"/>
        <v/>
      </c>
      <c r="V528" s="170" t="str">
        <f t="shared" si="103"/>
        <v/>
      </c>
      <c r="W528" s="170" t="str">
        <f t="shared" si="104"/>
        <v/>
      </c>
      <c r="X528" s="170" t="str">
        <f t="shared" si="108"/>
        <v/>
      </c>
      <c r="Y528" s="170" t="str">
        <f t="shared" si="109"/>
        <v/>
      </c>
      <c r="Z528" s="171" t="str">
        <f t="shared" si="110"/>
        <v/>
      </c>
      <c r="AA528" s="170" t="str">
        <f t="shared" si="105"/>
        <v/>
      </c>
      <c r="AB528" s="170" t="str">
        <f t="shared" si="106"/>
        <v/>
      </c>
      <c r="AC528" s="172" t="str">
        <f t="shared" si="107"/>
        <v/>
      </c>
      <c r="AE528" s="182"/>
      <c r="AF528" s="182"/>
      <c r="AG528" s="182"/>
      <c r="AH528" s="182"/>
      <c r="AI528" s="182"/>
      <c r="AJ528" s="182"/>
      <c r="AK528" s="182"/>
      <c r="AL528" s="182"/>
      <c r="AM528" s="182"/>
      <c r="AN528" s="182"/>
      <c r="AO528" s="182"/>
      <c r="AP528" s="182"/>
      <c r="AQ528" s="182"/>
      <c r="AR528" s="182"/>
      <c r="AS528" s="182"/>
    </row>
    <row r="529" spans="1:45" ht="15">
      <c r="A529" s="263"/>
      <c r="B529" s="250"/>
      <c r="C529" s="250"/>
      <c r="D529" s="200"/>
      <c r="E529" s="196"/>
      <c r="F529" s="196"/>
      <c r="G529" s="196"/>
      <c r="H529" s="196"/>
      <c r="I529" s="196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70" t="str">
        <f t="shared" si="101"/>
        <v/>
      </c>
      <c r="U529" s="170" t="str">
        <f t="shared" si="102"/>
        <v/>
      </c>
      <c r="V529" s="170" t="str">
        <f t="shared" si="103"/>
        <v/>
      </c>
      <c r="W529" s="170" t="str">
        <f t="shared" si="104"/>
        <v/>
      </c>
      <c r="X529" s="170" t="str">
        <f t="shared" si="108"/>
        <v/>
      </c>
      <c r="Y529" s="170" t="str">
        <f t="shared" si="109"/>
        <v/>
      </c>
      <c r="Z529" s="171" t="str">
        <f t="shared" si="110"/>
        <v/>
      </c>
      <c r="AA529" s="170" t="str">
        <f t="shared" si="105"/>
        <v/>
      </c>
      <c r="AB529" s="170" t="str">
        <f t="shared" si="106"/>
        <v/>
      </c>
      <c r="AC529" s="172" t="str">
        <f t="shared" si="107"/>
        <v/>
      </c>
      <c r="AE529" s="182"/>
      <c r="AF529" s="182"/>
      <c r="AG529" s="182"/>
      <c r="AH529" s="182"/>
      <c r="AI529" s="182"/>
      <c r="AJ529" s="182"/>
      <c r="AK529" s="182"/>
      <c r="AL529" s="182"/>
      <c r="AM529" s="182"/>
      <c r="AN529" s="182"/>
      <c r="AO529" s="182"/>
      <c r="AP529" s="182"/>
      <c r="AQ529" s="182"/>
      <c r="AR529" s="182"/>
      <c r="AS529" s="182"/>
    </row>
    <row r="530" spans="1:45" ht="15">
      <c r="A530" s="263"/>
      <c r="B530" s="250"/>
      <c r="C530" s="250"/>
      <c r="D530" s="200"/>
      <c r="E530" s="196"/>
      <c r="F530" s="196"/>
      <c r="G530" s="196"/>
      <c r="H530" s="196"/>
      <c r="I530" s="196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70" t="str">
        <f t="shared" si="101"/>
        <v/>
      </c>
      <c r="U530" s="170" t="str">
        <f t="shared" si="102"/>
        <v/>
      </c>
      <c r="V530" s="170" t="str">
        <f t="shared" si="103"/>
        <v/>
      </c>
      <c r="W530" s="170" t="str">
        <f t="shared" si="104"/>
        <v/>
      </c>
      <c r="X530" s="170" t="str">
        <f t="shared" si="108"/>
        <v/>
      </c>
      <c r="Y530" s="170" t="str">
        <f t="shared" si="109"/>
        <v/>
      </c>
      <c r="Z530" s="171" t="str">
        <f t="shared" si="110"/>
        <v/>
      </c>
      <c r="AA530" s="170" t="str">
        <f t="shared" si="105"/>
        <v/>
      </c>
      <c r="AB530" s="170" t="str">
        <f t="shared" si="106"/>
        <v/>
      </c>
      <c r="AC530" s="172" t="str">
        <f t="shared" si="107"/>
        <v/>
      </c>
      <c r="AE530" s="182"/>
      <c r="AF530" s="182"/>
      <c r="AG530" s="182"/>
      <c r="AH530" s="182"/>
      <c r="AI530" s="182"/>
      <c r="AJ530" s="182"/>
      <c r="AK530" s="182"/>
      <c r="AL530" s="182"/>
      <c r="AM530" s="182"/>
      <c r="AN530" s="182"/>
      <c r="AO530" s="182"/>
      <c r="AP530" s="182"/>
      <c r="AQ530" s="182"/>
      <c r="AR530" s="182"/>
      <c r="AS530" s="182"/>
    </row>
    <row r="531" spans="1:45" ht="15">
      <c r="A531" s="263"/>
      <c r="B531" s="250"/>
      <c r="C531" s="250"/>
      <c r="D531" s="200"/>
      <c r="E531" s="196"/>
      <c r="F531" s="196"/>
      <c r="G531" s="196"/>
      <c r="H531" s="196"/>
      <c r="I531" s="196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70" t="str">
        <f t="shared" si="101"/>
        <v/>
      </c>
      <c r="U531" s="170" t="str">
        <f t="shared" si="102"/>
        <v/>
      </c>
      <c r="V531" s="170" t="str">
        <f t="shared" si="103"/>
        <v/>
      </c>
      <c r="W531" s="170" t="str">
        <f t="shared" si="104"/>
        <v/>
      </c>
      <c r="X531" s="170" t="str">
        <f t="shared" si="108"/>
        <v/>
      </c>
      <c r="Y531" s="170" t="str">
        <f t="shared" si="109"/>
        <v/>
      </c>
      <c r="Z531" s="171" t="str">
        <f t="shared" si="110"/>
        <v/>
      </c>
      <c r="AA531" s="170" t="str">
        <f t="shared" si="105"/>
        <v/>
      </c>
      <c r="AB531" s="170" t="str">
        <f t="shared" si="106"/>
        <v/>
      </c>
      <c r="AC531" s="172" t="str">
        <f t="shared" si="107"/>
        <v/>
      </c>
      <c r="AE531" s="182"/>
      <c r="AF531" s="182"/>
      <c r="AG531" s="182"/>
      <c r="AH531" s="182"/>
      <c r="AI531" s="182"/>
      <c r="AJ531" s="182"/>
      <c r="AK531" s="182"/>
      <c r="AL531" s="182"/>
      <c r="AM531" s="182"/>
      <c r="AN531" s="182"/>
      <c r="AO531" s="182"/>
      <c r="AP531" s="182"/>
      <c r="AQ531" s="182"/>
      <c r="AR531" s="182"/>
      <c r="AS531" s="182"/>
    </row>
    <row r="532" spans="1:45" ht="15">
      <c r="A532" s="263"/>
      <c r="B532" s="250"/>
      <c r="C532" s="250"/>
      <c r="D532" s="200"/>
      <c r="E532" s="196"/>
      <c r="F532" s="196"/>
      <c r="G532" s="196"/>
      <c r="H532" s="196"/>
      <c r="I532" s="196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70" t="str">
        <f t="shared" si="101"/>
        <v/>
      </c>
      <c r="U532" s="170" t="str">
        <f t="shared" si="102"/>
        <v/>
      </c>
      <c r="V532" s="170" t="str">
        <f t="shared" si="103"/>
        <v/>
      </c>
      <c r="W532" s="170" t="str">
        <f t="shared" si="104"/>
        <v/>
      </c>
      <c r="X532" s="170" t="str">
        <f t="shared" si="108"/>
        <v/>
      </c>
      <c r="Y532" s="170" t="str">
        <f t="shared" si="109"/>
        <v/>
      </c>
      <c r="Z532" s="171" t="str">
        <f t="shared" si="110"/>
        <v/>
      </c>
      <c r="AA532" s="170" t="str">
        <f t="shared" si="105"/>
        <v/>
      </c>
      <c r="AB532" s="170" t="str">
        <f t="shared" si="106"/>
        <v/>
      </c>
      <c r="AC532" s="172" t="str">
        <f t="shared" si="107"/>
        <v/>
      </c>
      <c r="AE532" s="182"/>
      <c r="AF532" s="182"/>
      <c r="AG532" s="182"/>
      <c r="AH532" s="182"/>
      <c r="AI532" s="182"/>
      <c r="AJ532" s="182"/>
      <c r="AK532" s="182"/>
      <c r="AL532" s="182"/>
      <c r="AM532" s="182"/>
      <c r="AN532" s="182"/>
      <c r="AO532" s="182"/>
      <c r="AP532" s="182"/>
      <c r="AQ532" s="182"/>
      <c r="AR532" s="182"/>
      <c r="AS532" s="182"/>
    </row>
    <row r="533" spans="1:45" ht="15">
      <c r="A533" s="263"/>
      <c r="B533" s="251"/>
      <c r="C533" s="251"/>
      <c r="D533" s="200"/>
      <c r="E533" s="196"/>
      <c r="F533" s="196"/>
      <c r="G533" s="196"/>
      <c r="H533" s="196"/>
      <c r="I533" s="196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70" t="str">
        <f t="shared" si="101"/>
        <v/>
      </c>
      <c r="U533" s="170" t="str">
        <f t="shared" si="102"/>
        <v/>
      </c>
      <c r="V533" s="170" t="str">
        <f t="shared" si="103"/>
        <v/>
      </c>
      <c r="W533" s="170" t="str">
        <f t="shared" si="104"/>
        <v/>
      </c>
      <c r="X533" s="170" t="str">
        <f t="shared" si="108"/>
        <v/>
      </c>
      <c r="Y533" s="170" t="str">
        <f t="shared" si="109"/>
        <v/>
      </c>
      <c r="Z533" s="171" t="str">
        <f t="shared" si="110"/>
        <v/>
      </c>
      <c r="AA533" s="170" t="str">
        <f t="shared" si="105"/>
        <v/>
      </c>
      <c r="AB533" s="170" t="str">
        <f t="shared" si="106"/>
        <v/>
      </c>
      <c r="AC533" s="172" t="str">
        <f t="shared" si="107"/>
        <v/>
      </c>
      <c r="AE533" s="182"/>
      <c r="AF533" s="182"/>
      <c r="AG533" s="182"/>
      <c r="AH533" s="182"/>
      <c r="AI533" s="182"/>
      <c r="AJ533" s="182"/>
      <c r="AK533" s="182"/>
      <c r="AL533" s="182"/>
      <c r="AM533" s="182"/>
      <c r="AN533" s="182"/>
      <c r="AO533" s="182"/>
      <c r="AP533" s="182"/>
      <c r="AQ533" s="182"/>
      <c r="AR533" s="182"/>
      <c r="AS533" s="182"/>
    </row>
    <row r="534" spans="1:45">
      <c r="A534" s="263">
        <v>67</v>
      </c>
      <c r="B534" s="252"/>
      <c r="C534" s="243"/>
      <c r="D534" s="184"/>
      <c r="E534" s="169"/>
      <c r="F534" s="169"/>
      <c r="G534" s="169"/>
      <c r="H534" s="169"/>
      <c r="I534" s="186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70" t="str">
        <f t="shared" ref="T534:T581" si="111">IF(COUNT(E534:S534)=0,"",SUM(E534:S534))</f>
        <v/>
      </c>
      <c r="U534" s="170" t="str">
        <f t="shared" ref="U534:U581" si="112">IF(COUNT(E534:S534)=0,"",SUMSQ(E534:S534))</f>
        <v/>
      </c>
      <c r="V534" s="170" t="str">
        <f t="shared" ref="V534:V581" si="113">IF(COUNT(E534:S534)=0,"",AVERAGE(E534:S534))</f>
        <v/>
      </c>
      <c r="W534" s="170" t="str">
        <f t="shared" ref="W534:W581" si="114">IF(COUNT(E534:S534)=0,"",STDEVP(E534:S534))</f>
        <v/>
      </c>
      <c r="X534" s="170" t="str">
        <f t="shared" si="108"/>
        <v/>
      </c>
      <c r="Y534" s="170" t="str">
        <f t="shared" si="109"/>
        <v/>
      </c>
      <c r="Z534" s="171" t="str">
        <f t="shared" ref="Z534:Z581" si="115">IF(COUNT(E534:S534)=0,"",SUM(IF(AND(E534&gt;X534,E534&lt;Y534),E534,0),IF(AND(F534&gt;X534,F534&lt;Y534),F534,0),IF(AND(G534&gt;X534,G534&lt;Y534),G534,0),IF(AND(H534&gt;X534,H534&lt;Y534),H534,0),IF(AND(I534&gt;X534,I534&lt;Y534),I534,0),IF(AND(J534&gt;X534,J534&lt;Y534),J534,0),IF(AND(K534&gt;X534,K534&lt;Y534),K534,0),IF(AND(L534&gt;X534,L534&lt;Y534),L534,0),IF(AND(M534&gt;X534,M534&lt;Y534),M534,0),IF(AND(N534&gt;X534,N534&lt;Y534),N534,0),IF(AND(O534&gt;X534,O534&lt;Y534),O534,0),IF(AND(P534&gt;X534,P534&lt;Y534),P534,0),IF(AND(Q534&gt;X534,Q534&lt;Y534),Q534,0),IF(AND(R534&gt;X534,R534&lt;Y534),R534,0),IF(AND(S534&gt;X534,S534&lt;Y534),S534,0))/SUM(IF(AND(E534&gt;X534,E534&lt;Y534,E534&lt;&gt;0),1,0),IF(AND(F534&gt;X534,F534&lt;Y534,F534&lt;&gt;0),1,0),IF(AND(G534&gt;X534,G534&lt;Y534,G534&lt;&gt;0),1,0),IF(AND(H534&gt;X534,H534&lt;Y534,H534&lt;&gt;0),1,0),IF(AND(I534&gt;X534,I534&lt;Y534,I534&lt;&gt;0),1,0),IF(AND(J534&gt;X534,J534&lt;Y534,J534&lt;&gt;0),1,0),IF(AND(K534&gt;X534,K534&lt;Y534,K534&lt;&gt;0),1,0),IF(AND(L534&gt;X534,L534&lt;Y534,L534&lt;&gt;0),1,0),IF(AND(M534&gt;X534,M534&lt;Y534,M534&lt;&gt;0),1,0),IF(AND(N534&gt;X534,N534&lt;Y534,N534&lt;&gt;0),1,0),IF(AND(O534&gt;X534,O534&lt;Y534,O534&lt;&gt;0),1,0),IF(AND(P534&gt;X534,P534&lt;Y534,P534&lt;&gt;0),1,0),IF(AND(Q534&gt;X534,Q534&lt;Y534,Q534&lt;&gt;0),1,0),IF(AND(R534&gt;X534,R534&lt;Y534,R534&lt;&gt;0),1,0),IF(AND(S534&gt;X534,S534&lt;Y534,S534&lt;&gt;0),1,0)))</f>
        <v/>
      </c>
      <c r="AA534" s="170" t="str">
        <f t="shared" ref="AA534:AA581" si="116">IF(COUNT(E534:S534)=0,"",SUM(IF(AND(E534&gt;X534,E534&lt;Y534),E534,0),IF(AND(F534&gt;X534,F534&lt;Y534),F534,0),IF(AND(G534&gt;X534,G534&lt;Y534),G534,0),IF(AND(H534&gt;X534,H534&lt;Y534),H534,0),IF(AND(I534&gt;X534,I534&lt;Y534),I534,0),IF(AND(J534&gt;X534,J534&lt;Y534),J534,0),IF(AND(K534&gt;X534,K534&lt;Y534),K534,0),IF(AND(L534&gt;X534,L534&lt;Y534),L534,0),IF(AND(M534&gt;X534,M534&lt;Y534),M534,0),IF(AND(N534&gt;X534,N534&lt;Y534),N534,0),IF(AND(O534&gt;X534,O534&lt;Y534),O534,0),IF(AND(P534&gt;X534,P534&lt;Y534),P534,0),IF(AND(Q534&gt;X534,Q534&lt;Y534),Q534,0),IF(AND(R534&gt;X534,R534&lt;Y534),R534,0),IF(AND(S534&gt;X534,S534&lt;Y534),S534,0)))</f>
        <v/>
      </c>
      <c r="AB534" s="170" t="str">
        <f t="shared" ref="AB534:AB581" si="117">IF(COUNT(E534:S534)=0,"",SUMSQ(IF(AND(E534&gt;X534,E534&lt;Y534),E534,0),IF(AND(F534&gt;X534,F534&lt;Y534),F534,0),IF(AND(G534&gt;X534,G534&lt;Y534),G534,0),IF(AND(H534&gt;X534,H534&lt;Y534),H534,0),IF(AND(I534&gt;X534,I534&lt;Y534),I534,0),IF(AND(J534&gt;X534,J534&lt;Y534),J534,0),IF(AND(K534&gt;X534,K534&lt;Y534),K534,0),IF(AND(L534&gt;X534,L534&lt;Y534),L534,0),IF(AND(M534&gt;X534,M534&lt;Y534),M534,0),IF(AND(N534&gt;X534,N534&lt;Y534),N534,0),IF(AND(O534&gt;X534,O534&lt;Y534),O534,0),IF(AND(P534&gt;X534,P534&lt;Y534),P534,0),IF(AND(Q534&gt;X534,Q534&lt;Y534),Q534,0),IF(AND(R534&gt;X534,R534&lt;Y534),R534,0),IF(AND(S534&gt;X534,S534&lt;Y534),S534,0)))</f>
        <v/>
      </c>
      <c r="AC534" s="172" t="str">
        <f t="shared" ref="AC534:AC581" si="118">IF(COUNT(E534:S534)=0,"",POWER(40*SQRT(SUM(IF(AND(E534&gt;X534,E534&lt;Y534),1,0),IF(AND(F534&gt;X534,F534&lt;Y534),1,0),IF(AND(G534&gt;X534,G534&lt;Y534),1,0),IF(AND(H534&gt;X534,H534&lt;Y534),1,0),IF(AND(I534&gt;X534,I534&lt;Y534),1,0),IF(AND(J534&gt;X534,J534&lt;Y534),1,0),IF(AND(K534&gt;X534,K534&lt;Y534),1,0),IF(AND(L534&gt;X534,L534&lt;Y534),1,0),IF(AND(M534&gt;X534,M534&lt;Y534),1,0),IF(AND(N534&gt;X534,N534&lt;Y534),1,0),IF(AND(O534&gt;X534,O534&lt;Y534),1,0),IF(AND(P534&gt;X534,P534&lt;Y534),1,0),IF(AND(Q534&gt;X534,Q534&lt;Y534),1,0),IF(AND(R534&gt;X534,R534&lt;Y534),1,0),IF(AND(S534&gt;X534,S534&lt;Y534),1,0))*AB534-POWER(AA534,2))/AA534,2))</f>
        <v/>
      </c>
    </row>
    <row r="535" spans="1:45">
      <c r="A535" s="263"/>
      <c r="B535" s="244"/>
      <c r="C535" s="244"/>
      <c r="D535" s="184"/>
      <c r="E535" s="169"/>
      <c r="F535" s="169"/>
      <c r="G535" s="169"/>
      <c r="H535" s="169"/>
      <c r="I535" s="186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70" t="str">
        <f t="shared" si="111"/>
        <v/>
      </c>
      <c r="U535" s="170" t="str">
        <f t="shared" si="112"/>
        <v/>
      </c>
      <c r="V535" s="170" t="str">
        <f t="shared" si="113"/>
        <v/>
      </c>
      <c r="W535" s="170" t="str">
        <f t="shared" si="114"/>
        <v/>
      </c>
      <c r="X535" s="170" t="str">
        <f t="shared" si="108"/>
        <v/>
      </c>
      <c r="Y535" s="170" t="str">
        <f t="shared" si="109"/>
        <v/>
      </c>
      <c r="Z535" s="171" t="str">
        <f t="shared" si="115"/>
        <v/>
      </c>
      <c r="AA535" s="170" t="str">
        <f t="shared" si="116"/>
        <v/>
      </c>
      <c r="AB535" s="170" t="str">
        <f t="shared" si="117"/>
        <v/>
      </c>
      <c r="AC535" s="172" t="str">
        <f t="shared" si="118"/>
        <v/>
      </c>
    </row>
    <row r="536" spans="1:45">
      <c r="A536" s="263"/>
      <c r="B536" s="244"/>
      <c r="C536" s="244"/>
      <c r="D536" s="184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70" t="str">
        <f t="shared" si="111"/>
        <v/>
      </c>
      <c r="U536" s="170" t="str">
        <f t="shared" si="112"/>
        <v/>
      </c>
      <c r="V536" s="170" t="str">
        <f t="shared" si="113"/>
        <v/>
      </c>
      <c r="W536" s="170" t="str">
        <f t="shared" si="114"/>
        <v/>
      </c>
      <c r="X536" s="170" t="str">
        <f t="shared" si="108"/>
        <v/>
      </c>
      <c r="Y536" s="170" t="str">
        <f t="shared" si="109"/>
        <v/>
      </c>
      <c r="Z536" s="171" t="str">
        <f t="shared" si="115"/>
        <v/>
      </c>
      <c r="AA536" s="170" t="str">
        <f t="shared" si="116"/>
        <v/>
      </c>
      <c r="AB536" s="170" t="str">
        <f t="shared" si="117"/>
        <v/>
      </c>
      <c r="AC536" s="172" t="str">
        <f t="shared" si="118"/>
        <v/>
      </c>
    </row>
    <row r="537" spans="1:45" ht="15">
      <c r="A537" s="263"/>
      <c r="B537" s="244"/>
      <c r="C537" s="244"/>
      <c r="D537" s="193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70" t="str">
        <f t="shared" si="111"/>
        <v/>
      </c>
      <c r="U537" s="170" t="str">
        <f t="shared" si="112"/>
        <v/>
      </c>
      <c r="V537" s="170" t="str">
        <f t="shared" si="113"/>
        <v/>
      </c>
      <c r="W537" s="170" t="str">
        <f t="shared" si="114"/>
        <v/>
      </c>
      <c r="X537" s="170" t="str">
        <f t="shared" si="108"/>
        <v/>
      </c>
      <c r="Y537" s="170" t="str">
        <f t="shared" si="109"/>
        <v/>
      </c>
      <c r="Z537" s="171" t="str">
        <f t="shared" si="115"/>
        <v/>
      </c>
      <c r="AA537" s="170" t="str">
        <f t="shared" si="116"/>
        <v/>
      </c>
      <c r="AB537" s="170" t="str">
        <f t="shared" si="117"/>
        <v/>
      </c>
      <c r="AC537" s="172" t="str">
        <f t="shared" si="118"/>
        <v/>
      </c>
    </row>
    <row r="538" spans="1:45" ht="15">
      <c r="A538" s="263"/>
      <c r="B538" s="244"/>
      <c r="C538" s="244"/>
      <c r="D538" s="193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70" t="str">
        <f t="shared" si="111"/>
        <v/>
      </c>
      <c r="U538" s="170" t="str">
        <f t="shared" si="112"/>
        <v/>
      </c>
      <c r="V538" s="170" t="str">
        <f t="shared" si="113"/>
        <v/>
      </c>
      <c r="W538" s="170" t="str">
        <f t="shared" si="114"/>
        <v/>
      </c>
      <c r="X538" s="170" t="str">
        <f t="shared" si="108"/>
        <v/>
      </c>
      <c r="Y538" s="170" t="str">
        <f t="shared" si="109"/>
        <v/>
      </c>
      <c r="Z538" s="171" t="str">
        <f t="shared" si="115"/>
        <v/>
      </c>
      <c r="AA538" s="170" t="str">
        <f t="shared" si="116"/>
        <v/>
      </c>
      <c r="AB538" s="170" t="str">
        <f t="shared" si="117"/>
        <v/>
      </c>
      <c r="AC538" s="172" t="str">
        <f t="shared" si="118"/>
        <v/>
      </c>
    </row>
    <row r="539" spans="1:45" ht="15">
      <c r="A539" s="263"/>
      <c r="B539" s="244"/>
      <c r="C539" s="244"/>
      <c r="D539" s="193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70" t="str">
        <f t="shared" si="111"/>
        <v/>
      </c>
      <c r="U539" s="170" t="str">
        <f t="shared" si="112"/>
        <v/>
      </c>
      <c r="V539" s="170" t="str">
        <f t="shared" si="113"/>
        <v/>
      </c>
      <c r="W539" s="170" t="str">
        <f t="shared" si="114"/>
        <v/>
      </c>
      <c r="X539" s="170" t="str">
        <f t="shared" si="108"/>
        <v/>
      </c>
      <c r="Y539" s="170" t="str">
        <f t="shared" si="109"/>
        <v/>
      </c>
      <c r="Z539" s="171" t="str">
        <f t="shared" si="115"/>
        <v/>
      </c>
      <c r="AA539" s="170" t="str">
        <f t="shared" si="116"/>
        <v/>
      </c>
      <c r="AB539" s="170" t="str">
        <f t="shared" si="117"/>
        <v/>
      </c>
      <c r="AC539" s="172" t="str">
        <f t="shared" si="118"/>
        <v/>
      </c>
    </row>
    <row r="540" spans="1:45" ht="15">
      <c r="A540" s="263"/>
      <c r="B540" s="244"/>
      <c r="C540" s="244"/>
      <c r="D540" s="193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70" t="str">
        <f t="shared" si="111"/>
        <v/>
      </c>
      <c r="U540" s="170" t="str">
        <f t="shared" si="112"/>
        <v/>
      </c>
      <c r="V540" s="170" t="str">
        <f t="shared" si="113"/>
        <v/>
      </c>
      <c r="W540" s="170" t="str">
        <f t="shared" si="114"/>
        <v/>
      </c>
      <c r="X540" s="170" t="str">
        <f t="shared" si="108"/>
        <v/>
      </c>
      <c r="Y540" s="170" t="str">
        <f t="shared" si="109"/>
        <v/>
      </c>
      <c r="Z540" s="171" t="str">
        <f t="shared" si="115"/>
        <v/>
      </c>
      <c r="AA540" s="170" t="str">
        <f t="shared" si="116"/>
        <v/>
      </c>
      <c r="AB540" s="170" t="str">
        <f t="shared" si="117"/>
        <v/>
      </c>
      <c r="AC540" s="172" t="str">
        <f t="shared" si="118"/>
        <v/>
      </c>
    </row>
    <row r="541" spans="1:45" ht="15">
      <c r="A541" s="263"/>
      <c r="B541" s="245"/>
      <c r="C541" s="245"/>
      <c r="D541" s="193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70" t="str">
        <f t="shared" si="111"/>
        <v/>
      </c>
      <c r="U541" s="170" t="str">
        <f t="shared" si="112"/>
        <v/>
      </c>
      <c r="V541" s="170" t="str">
        <f t="shared" si="113"/>
        <v/>
      </c>
      <c r="W541" s="170" t="str">
        <f t="shared" si="114"/>
        <v/>
      </c>
      <c r="X541" s="170" t="str">
        <f t="shared" si="108"/>
        <v/>
      </c>
      <c r="Y541" s="170" t="str">
        <f t="shared" si="109"/>
        <v/>
      </c>
      <c r="Z541" s="171" t="str">
        <f t="shared" si="115"/>
        <v/>
      </c>
      <c r="AA541" s="170" t="str">
        <f t="shared" si="116"/>
        <v/>
      </c>
      <c r="AB541" s="170" t="str">
        <f t="shared" si="117"/>
        <v/>
      </c>
      <c r="AC541" s="172" t="str">
        <f t="shared" si="118"/>
        <v/>
      </c>
    </row>
    <row r="542" spans="1:45">
      <c r="A542" s="263">
        <v>68</v>
      </c>
      <c r="B542" s="252"/>
      <c r="C542" s="243"/>
      <c r="D542" s="184"/>
      <c r="E542" s="186"/>
      <c r="F542" s="186"/>
      <c r="G542" s="186"/>
      <c r="H542" s="186"/>
      <c r="I542" s="186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70" t="str">
        <f t="shared" si="111"/>
        <v/>
      </c>
      <c r="U542" s="170" t="str">
        <f t="shared" si="112"/>
        <v/>
      </c>
      <c r="V542" s="170" t="str">
        <f t="shared" si="113"/>
        <v/>
      </c>
      <c r="W542" s="170" t="str">
        <f t="shared" si="114"/>
        <v/>
      </c>
      <c r="X542" s="170" t="str">
        <f t="shared" si="108"/>
        <v/>
      </c>
      <c r="Y542" s="170" t="str">
        <f t="shared" si="109"/>
        <v/>
      </c>
      <c r="Z542" s="171" t="str">
        <f t="shared" si="115"/>
        <v/>
      </c>
      <c r="AA542" s="170" t="str">
        <f t="shared" si="116"/>
        <v/>
      </c>
      <c r="AB542" s="170" t="str">
        <f t="shared" si="117"/>
        <v/>
      </c>
      <c r="AC542" s="172" t="str">
        <f t="shared" si="118"/>
        <v/>
      </c>
    </row>
    <row r="543" spans="1:45" ht="15">
      <c r="A543" s="263"/>
      <c r="B543" s="244"/>
      <c r="C543" s="244"/>
      <c r="D543" s="194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70" t="str">
        <f t="shared" si="111"/>
        <v/>
      </c>
      <c r="U543" s="170" t="str">
        <f t="shared" si="112"/>
        <v/>
      </c>
      <c r="V543" s="170" t="str">
        <f t="shared" si="113"/>
        <v/>
      </c>
      <c r="W543" s="170" t="str">
        <f t="shared" si="114"/>
        <v/>
      </c>
      <c r="X543" s="170" t="str">
        <f t="shared" si="108"/>
        <v/>
      </c>
      <c r="Y543" s="170" t="str">
        <f t="shared" si="109"/>
        <v/>
      </c>
      <c r="Z543" s="171" t="str">
        <f t="shared" si="115"/>
        <v/>
      </c>
      <c r="AA543" s="170" t="str">
        <f t="shared" si="116"/>
        <v/>
      </c>
      <c r="AB543" s="170" t="str">
        <f t="shared" si="117"/>
        <v/>
      </c>
      <c r="AC543" s="172" t="str">
        <f t="shared" si="118"/>
        <v/>
      </c>
    </row>
    <row r="544" spans="1:45" ht="15">
      <c r="A544" s="263"/>
      <c r="B544" s="244"/>
      <c r="C544" s="244"/>
      <c r="D544" s="193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70" t="str">
        <f t="shared" si="111"/>
        <v/>
      </c>
      <c r="U544" s="170" t="str">
        <f t="shared" si="112"/>
        <v/>
      </c>
      <c r="V544" s="170" t="str">
        <f t="shared" si="113"/>
        <v/>
      </c>
      <c r="W544" s="170" t="str">
        <f t="shared" si="114"/>
        <v/>
      </c>
      <c r="X544" s="170" t="str">
        <f t="shared" si="108"/>
        <v/>
      </c>
      <c r="Y544" s="170" t="str">
        <f t="shared" si="109"/>
        <v/>
      </c>
      <c r="Z544" s="171" t="str">
        <f t="shared" si="115"/>
        <v/>
      </c>
      <c r="AA544" s="170" t="str">
        <f t="shared" si="116"/>
        <v/>
      </c>
      <c r="AB544" s="170" t="str">
        <f t="shared" si="117"/>
        <v/>
      </c>
      <c r="AC544" s="172" t="str">
        <f t="shared" si="118"/>
        <v/>
      </c>
    </row>
    <row r="545" spans="1:29" ht="15">
      <c r="A545" s="263"/>
      <c r="B545" s="244"/>
      <c r="C545" s="244"/>
      <c r="D545" s="193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70" t="str">
        <f t="shared" si="111"/>
        <v/>
      </c>
      <c r="U545" s="170" t="str">
        <f t="shared" si="112"/>
        <v/>
      </c>
      <c r="V545" s="170" t="str">
        <f t="shared" si="113"/>
        <v/>
      </c>
      <c r="W545" s="170" t="str">
        <f t="shared" si="114"/>
        <v/>
      </c>
      <c r="X545" s="170" t="str">
        <f t="shared" si="108"/>
        <v/>
      </c>
      <c r="Y545" s="170" t="str">
        <f t="shared" si="109"/>
        <v/>
      </c>
      <c r="Z545" s="171" t="str">
        <f t="shared" si="115"/>
        <v/>
      </c>
      <c r="AA545" s="170" t="str">
        <f t="shared" si="116"/>
        <v/>
      </c>
      <c r="AB545" s="170" t="str">
        <f t="shared" si="117"/>
        <v/>
      </c>
      <c r="AC545" s="172" t="str">
        <f t="shared" si="118"/>
        <v/>
      </c>
    </row>
    <row r="546" spans="1:29" ht="15">
      <c r="A546" s="263"/>
      <c r="B546" s="244"/>
      <c r="C546" s="244"/>
      <c r="D546" s="193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70" t="str">
        <f t="shared" si="111"/>
        <v/>
      </c>
      <c r="U546" s="170" t="str">
        <f t="shared" si="112"/>
        <v/>
      </c>
      <c r="V546" s="170" t="str">
        <f t="shared" si="113"/>
        <v/>
      </c>
      <c r="W546" s="170" t="str">
        <f t="shared" si="114"/>
        <v/>
      </c>
      <c r="X546" s="170" t="str">
        <f t="shared" si="108"/>
        <v/>
      </c>
      <c r="Y546" s="170" t="str">
        <f t="shared" si="109"/>
        <v/>
      </c>
      <c r="Z546" s="171" t="str">
        <f t="shared" si="115"/>
        <v/>
      </c>
      <c r="AA546" s="170" t="str">
        <f t="shared" si="116"/>
        <v/>
      </c>
      <c r="AB546" s="170" t="str">
        <f t="shared" si="117"/>
        <v/>
      </c>
      <c r="AC546" s="172" t="str">
        <f t="shared" si="118"/>
        <v/>
      </c>
    </row>
    <row r="547" spans="1:29" ht="15">
      <c r="A547" s="263"/>
      <c r="B547" s="244"/>
      <c r="C547" s="244"/>
      <c r="D547" s="193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70" t="str">
        <f t="shared" si="111"/>
        <v/>
      </c>
      <c r="U547" s="170" t="str">
        <f t="shared" si="112"/>
        <v/>
      </c>
      <c r="V547" s="170" t="str">
        <f t="shared" si="113"/>
        <v/>
      </c>
      <c r="W547" s="170" t="str">
        <f t="shared" si="114"/>
        <v/>
      </c>
      <c r="X547" s="170" t="str">
        <f t="shared" si="108"/>
        <v/>
      </c>
      <c r="Y547" s="170" t="str">
        <f t="shared" si="109"/>
        <v/>
      </c>
      <c r="Z547" s="171" t="str">
        <f t="shared" si="115"/>
        <v/>
      </c>
      <c r="AA547" s="170" t="str">
        <f t="shared" si="116"/>
        <v/>
      </c>
      <c r="AB547" s="170" t="str">
        <f t="shared" si="117"/>
        <v/>
      </c>
      <c r="AC547" s="172" t="str">
        <f t="shared" si="118"/>
        <v/>
      </c>
    </row>
    <row r="548" spans="1:29" ht="15">
      <c r="A548" s="263"/>
      <c r="B548" s="244"/>
      <c r="C548" s="244"/>
      <c r="D548" s="193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70" t="str">
        <f t="shared" si="111"/>
        <v/>
      </c>
      <c r="U548" s="170" t="str">
        <f t="shared" si="112"/>
        <v/>
      </c>
      <c r="V548" s="170" t="str">
        <f t="shared" si="113"/>
        <v/>
      </c>
      <c r="W548" s="170" t="str">
        <f t="shared" si="114"/>
        <v/>
      </c>
      <c r="X548" s="170" t="str">
        <f t="shared" si="108"/>
        <v/>
      </c>
      <c r="Y548" s="170" t="str">
        <f t="shared" si="109"/>
        <v/>
      </c>
      <c r="Z548" s="171" t="str">
        <f t="shared" si="115"/>
        <v/>
      </c>
      <c r="AA548" s="170" t="str">
        <f t="shared" si="116"/>
        <v/>
      </c>
      <c r="AB548" s="170" t="str">
        <f t="shared" si="117"/>
        <v/>
      </c>
      <c r="AC548" s="172" t="str">
        <f t="shared" si="118"/>
        <v/>
      </c>
    </row>
    <row r="549" spans="1:29" ht="15">
      <c r="A549" s="263"/>
      <c r="B549" s="245"/>
      <c r="C549" s="245"/>
      <c r="D549" s="193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70" t="str">
        <f t="shared" si="111"/>
        <v/>
      </c>
      <c r="U549" s="170" t="str">
        <f t="shared" si="112"/>
        <v/>
      </c>
      <c r="V549" s="170" t="str">
        <f t="shared" si="113"/>
        <v/>
      </c>
      <c r="W549" s="170" t="str">
        <f t="shared" si="114"/>
        <v/>
      </c>
      <c r="X549" s="170" t="str">
        <f t="shared" si="108"/>
        <v/>
      </c>
      <c r="Y549" s="170" t="str">
        <f t="shared" si="109"/>
        <v/>
      </c>
      <c r="Z549" s="171" t="str">
        <f t="shared" si="115"/>
        <v/>
      </c>
      <c r="AA549" s="170" t="str">
        <f t="shared" si="116"/>
        <v/>
      </c>
      <c r="AB549" s="170" t="str">
        <f t="shared" si="117"/>
        <v/>
      </c>
      <c r="AC549" s="172" t="str">
        <f t="shared" si="118"/>
        <v/>
      </c>
    </row>
    <row r="550" spans="1:29">
      <c r="A550" s="263">
        <v>69</v>
      </c>
      <c r="B550" s="252"/>
      <c r="C550" s="243"/>
      <c r="D550" s="184"/>
      <c r="E550" s="186"/>
      <c r="F550" s="186"/>
      <c r="G550" s="186"/>
      <c r="H550" s="186"/>
      <c r="I550" s="186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70" t="str">
        <f t="shared" si="111"/>
        <v/>
      </c>
      <c r="U550" s="170" t="str">
        <f t="shared" si="112"/>
        <v/>
      </c>
      <c r="V550" s="170" t="str">
        <f t="shared" si="113"/>
        <v/>
      </c>
      <c r="W550" s="170" t="str">
        <f t="shared" si="114"/>
        <v/>
      </c>
      <c r="X550" s="170" t="str">
        <f t="shared" si="108"/>
        <v/>
      </c>
      <c r="Y550" s="170" t="str">
        <f t="shared" si="109"/>
        <v/>
      </c>
      <c r="Z550" s="171" t="str">
        <f t="shared" si="115"/>
        <v/>
      </c>
      <c r="AA550" s="170" t="str">
        <f t="shared" si="116"/>
        <v/>
      </c>
      <c r="AB550" s="170" t="str">
        <f t="shared" si="117"/>
        <v/>
      </c>
      <c r="AC550" s="172" t="str">
        <f t="shared" si="118"/>
        <v/>
      </c>
    </row>
    <row r="551" spans="1:29">
      <c r="A551" s="263"/>
      <c r="B551" s="244"/>
      <c r="C551" s="244"/>
      <c r="D551" s="184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70" t="str">
        <f t="shared" si="111"/>
        <v/>
      </c>
      <c r="U551" s="170" t="str">
        <f t="shared" si="112"/>
        <v/>
      </c>
      <c r="V551" s="170" t="str">
        <f t="shared" si="113"/>
        <v/>
      </c>
      <c r="W551" s="170" t="str">
        <f t="shared" si="114"/>
        <v/>
      </c>
      <c r="X551" s="170" t="str">
        <f t="shared" si="108"/>
        <v/>
      </c>
      <c r="Y551" s="170" t="str">
        <f t="shared" si="109"/>
        <v/>
      </c>
      <c r="Z551" s="171" t="str">
        <f t="shared" si="115"/>
        <v/>
      </c>
      <c r="AA551" s="170" t="str">
        <f t="shared" si="116"/>
        <v/>
      </c>
      <c r="AB551" s="170" t="str">
        <f t="shared" si="117"/>
        <v/>
      </c>
      <c r="AC551" s="172" t="str">
        <f t="shared" si="118"/>
        <v/>
      </c>
    </row>
    <row r="552" spans="1:29" ht="15">
      <c r="A552" s="263"/>
      <c r="B552" s="244"/>
      <c r="C552" s="244"/>
      <c r="D552" s="194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70" t="str">
        <f t="shared" si="111"/>
        <v/>
      </c>
      <c r="U552" s="170" t="str">
        <f t="shared" si="112"/>
        <v/>
      </c>
      <c r="V552" s="170" t="str">
        <f t="shared" si="113"/>
        <v/>
      </c>
      <c r="W552" s="170" t="str">
        <f t="shared" si="114"/>
        <v/>
      </c>
      <c r="X552" s="170" t="str">
        <f t="shared" si="108"/>
        <v/>
      </c>
      <c r="Y552" s="170" t="str">
        <f t="shared" si="109"/>
        <v/>
      </c>
      <c r="Z552" s="171" t="str">
        <f t="shared" si="115"/>
        <v/>
      </c>
      <c r="AA552" s="170" t="str">
        <f t="shared" si="116"/>
        <v/>
      </c>
      <c r="AB552" s="170" t="str">
        <f t="shared" si="117"/>
        <v/>
      </c>
      <c r="AC552" s="172" t="str">
        <f t="shared" si="118"/>
        <v/>
      </c>
    </row>
    <row r="553" spans="1:29" ht="15">
      <c r="A553" s="263"/>
      <c r="B553" s="244"/>
      <c r="C553" s="244"/>
      <c r="D553" s="193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70" t="str">
        <f t="shared" si="111"/>
        <v/>
      </c>
      <c r="U553" s="170" t="str">
        <f t="shared" si="112"/>
        <v/>
      </c>
      <c r="V553" s="170" t="str">
        <f t="shared" si="113"/>
        <v/>
      </c>
      <c r="W553" s="170" t="str">
        <f t="shared" si="114"/>
        <v/>
      </c>
      <c r="X553" s="170" t="str">
        <f t="shared" si="108"/>
        <v/>
      </c>
      <c r="Y553" s="170" t="str">
        <f t="shared" si="109"/>
        <v/>
      </c>
      <c r="Z553" s="171" t="str">
        <f t="shared" si="115"/>
        <v/>
      </c>
      <c r="AA553" s="170" t="str">
        <f t="shared" si="116"/>
        <v/>
      </c>
      <c r="AB553" s="170" t="str">
        <f t="shared" si="117"/>
        <v/>
      </c>
      <c r="AC553" s="172" t="str">
        <f t="shared" si="118"/>
        <v/>
      </c>
    </row>
    <row r="554" spans="1:29" ht="15">
      <c r="A554" s="263"/>
      <c r="B554" s="244"/>
      <c r="C554" s="244"/>
      <c r="D554" s="193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70" t="str">
        <f t="shared" si="111"/>
        <v/>
      </c>
      <c r="U554" s="170" t="str">
        <f t="shared" si="112"/>
        <v/>
      </c>
      <c r="V554" s="170" t="str">
        <f t="shared" si="113"/>
        <v/>
      </c>
      <c r="W554" s="170" t="str">
        <f t="shared" si="114"/>
        <v/>
      </c>
      <c r="X554" s="170" t="str">
        <f t="shared" si="108"/>
        <v/>
      </c>
      <c r="Y554" s="170" t="str">
        <f t="shared" si="109"/>
        <v/>
      </c>
      <c r="Z554" s="171" t="str">
        <f t="shared" si="115"/>
        <v/>
      </c>
      <c r="AA554" s="170" t="str">
        <f t="shared" si="116"/>
        <v/>
      </c>
      <c r="AB554" s="170" t="str">
        <f t="shared" si="117"/>
        <v/>
      </c>
      <c r="AC554" s="172" t="str">
        <f t="shared" si="118"/>
        <v/>
      </c>
    </row>
    <row r="555" spans="1:29" ht="15">
      <c r="A555" s="263"/>
      <c r="B555" s="244"/>
      <c r="C555" s="244"/>
      <c r="D555" s="193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70" t="str">
        <f t="shared" si="111"/>
        <v/>
      </c>
      <c r="U555" s="170" t="str">
        <f t="shared" si="112"/>
        <v/>
      </c>
      <c r="V555" s="170" t="str">
        <f t="shared" si="113"/>
        <v/>
      </c>
      <c r="W555" s="170" t="str">
        <f t="shared" si="114"/>
        <v/>
      </c>
      <c r="X555" s="170" t="str">
        <f t="shared" si="108"/>
        <v/>
      </c>
      <c r="Y555" s="170" t="str">
        <f t="shared" si="109"/>
        <v/>
      </c>
      <c r="Z555" s="171" t="str">
        <f t="shared" si="115"/>
        <v/>
      </c>
      <c r="AA555" s="170" t="str">
        <f t="shared" si="116"/>
        <v/>
      </c>
      <c r="AB555" s="170" t="str">
        <f t="shared" si="117"/>
        <v/>
      </c>
      <c r="AC555" s="172" t="str">
        <f t="shared" si="118"/>
        <v/>
      </c>
    </row>
    <row r="556" spans="1:29" ht="15">
      <c r="A556" s="263"/>
      <c r="B556" s="244"/>
      <c r="C556" s="244"/>
      <c r="D556" s="193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70" t="str">
        <f t="shared" si="111"/>
        <v/>
      </c>
      <c r="U556" s="170" t="str">
        <f t="shared" si="112"/>
        <v/>
      </c>
      <c r="V556" s="170" t="str">
        <f t="shared" si="113"/>
        <v/>
      </c>
      <c r="W556" s="170" t="str">
        <f t="shared" si="114"/>
        <v/>
      </c>
      <c r="X556" s="170" t="str">
        <f t="shared" si="108"/>
        <v/>
      </c>
      <c r="Y556" s="170" t="str">
        <f t="shared" si="109"/>
        <v/>
      </c>
      <c r="Z556" s="171" t="str">
        <f t="shared" si="115"/>
        <v/>
      </c>
      <c r="AA556" s="170" t="str">
        <f t="shared" si="116"/>
        <v/>
      </c>
      <c r="AB556" s="170" t="str">
        <f t="shared" si="117"/>
        <v/>
      </c>
      <c r="AC556" s="172" t="str">
        <f t="shared" si="118"/>
        <v/>
      </c>
    </row>
    <row r="557" spans="1:29" ht="15">
      <c r="A557" s="263"/>
      <c r="B557" s="245"/>
      <c r="C557" s="245"/>
      <c r="D557" s="193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70" t="str">
        <f t="shared" si="111"/>
        <v/>
      </c>
      <c r="U557" s="170" t="str">
        <f t="shared" si="112"/>
        <v/>
      </c>
      <c r="V557" s="170" t="str">
        <f t="shared" si="113"/>
        <v/>
      </c>
      <c r="W557" s="170" t="str">
        <f t="shared" si="114"/>
        <v/>
      </c>
      <c r="X557" s="170" t="str">
        <f t="shared" si="108"/>
        <v/>
      </c>
      <c r="Y557" s="170" t="str">
        <f t="shared" si="109"/>
        <v/>
      </c>
      <c r="Z557" s="171" t="str">
        <f t="shared" si="115"/>
        <v/>
      </c>
      <c r="AA557" s="170" t="str">
        <f t="shared" si="116"/>
        <v/>
      </c>
      <c r="AB557" s="170" t="str">
        <f t="shared" si="117"/>
        <v/>
      </c>
      <c r="AC557" s="172" t="str">
        <f t="shared" si="118"/>
        <v/>
      </c>
    </row>
    <row r="558" spans="1:29">
      <c r="A558" s="263">
        <v>70</v>
      </c>
      <c r="B558" s="252"/>
      <c r="C558" s="243"/>
      <c r="D558" s="184"/>
      <c r="E558" s="186"/>
      <c r="F558" s="186"/>
      <c r="G558" s="186"/>
      <c r="H558" s="186"/>
      <c r="I558" s="186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70" t="str">
        <f t="shared" si="111"/>
        <v/>
      </c>
      <c r="U558" s="170" t="str">
        <f t="shared" si="112"/>
        <v/>
      </c>
      <c r="V558" s="170" t="str">
        <f t="shared" si="113"/>
        <v/>
      </c>
      <c r="W558" s="170" t="str">
        <f t="shared" si="114"/>
        <v/>
      </c>
      <c r="X558" s="170" t="str">
        <f t="shared" si="108"/>
        <v/>
      </c>
      <c r="Y558" s="170" t="str">
        <f t="shared" si="109"/>
        <v/>
      </c>
      <c r="Z558" s="171" t="str">
        <f t="shared" si="115"/>
        <v/>
      </c>
      <c r="AA558" s="170" t="str">
        <f t="shared" si="116"/>
        <v/>
      </c>
      <c r="AB558" s="170" t="str">
        <f t="shared" si="117"/>
        <v/>
      </c>
      <c r="AC558" s="172" t="str">
        <f t="shared" si="118"/>
        <v/>
      </c>
    </row>
    <row r="559" spans="1:29" ht="15">
      <c r="A559" s="263"/>
      <c r="B559" s="244"/>
      <c r="C559" s="244"/>
      <c r="D559" s="194"/>
      <c r="E559" s="169"/>
      <c r="F559" s="169"/>
      <c r="G559" s="169"/>
      <c r="H559" s="169"/>
      <c r="I559" s="186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70" t="str">
        <f t="shared" si="111"/>
        <v/>
      </c>
      <c r="U559" s="170" t="str">
        <f t="shared" si="112"/>
        <v/>
      </c>
      <c r="V559" s="170" t="str">
        <f t="shared" si="113"/>
        <v/>
      </c>
      <c r="W559" s="170" t="str">
        <f t="shared" si="114"/>
        <v/>
      </c>
      <c r="X559" s="170" t="str">
        <f t="shared" si="108"/>
        <v/>
      </c>
      <c r="Y559" s="170" t="str">
        <f t="shared" si="109"/>
        <v/>
      </c>
      <c r="Z559" s="171" t="str">
        <f t="shared" si="115"/>
        <v/>
      </c>
      <c r="AA559" s="170" t="str">
        <f t="shared" si="116"/>
        <v/>
      </c>
      <c r="AB559" s="170" t="str">
        <f t="shared" si="117"/>
        <v/>
      </c>
      <c r="AC559" s="172" t="str">
        <f t="shared" si="118"/>
        <v/>
      </c>
    </row>
    <row r="560" spans="1:29" ht="15">
      <c r="A560" s="263"/>
      <c r="B560" s="244"/>
      <c r="C560" s="244"/>
      <c r="D560" s="193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70" t="str">
        <f t="shared" si="111"/>
        <v/>
      </c>
      <c r="U560" s="170" t="str">
        <f t="shared" si="112"/>
        <v/>
      </c>
      <c r="V560" s="170" t="str">
        <f t="shared" si="113"/>
        <v/>
      </c>
      <c r="W560" s="170" t="str">
        <f t="shared" si="114"/>
        <v/>
      </c>
      <c r="X560" s="170" t="str">
        <f t="shared" si="108"/>
        <v/>
      </c>
      <c r="Y560" s="170" t="str">
        <f t="shared" si="109"/>
        <v/>
      </c>
      <c r="Z560" s="171" t="str">
        <f t="shared" si="115"/>
        <v/>
      </c>
      <c r="AA560" s="170" t="str">
        <f t="shared" si="116"/>
        <v/>
      </c>
      <c r="AB560" s="170" t="str">
        <f t="shared" si="117"/>
        <v/>
      </c>
      <c r="AC560" s="172" t="str">
        <f t="shared" si="118"/>
        <v/>
      </c>
    </row>
    <row r="561" spans="1:29" ht="15">
      <c r="A561" s="263"/>
      <c r="B561" s="244"/>
      <c r="C561" s="244"/>
      <c r="D561" s="193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70" t="str">
        <f t="shared" si="111"/>
        <v/>
      </c>
      <c r="U561" s="170" t="str">
        <f t="shared" si="112"/>
        <v/>
      </c>
      <c r="V561" s="170" t="str">
        <f t="shared" si="113"/>
        <v/>
      </c>
      <c r="W561" s="170" t="str">
        <f t="shared" si="114"/>
        <v/>
      </c>
      <c r="X561" s="170" t="str">
        <f t="shared" si="108"/>
        <v/>
      </c>
      <c r="Y561" s="170" t="str">
        <f t="shared" si="109"/>
        <v/>
      </c>
      <c r="Z561" s="171" t="str">
        <f t="shared" si="115"/>
        <v/>
      </c>
      <c r="AA561" s="170" t="str">
        <f t="shared" si="116"/>
        <v/>
      </c>
      <c r="AB561" s="170" t="str">
        <f t="shared" si="117"/>
        <v/>
      </c>
      <c r="AC561" s="172" t="str">
        <f t="shared" si="118"/>
        <v/>
      </c>
    </row>
    <row r="562" spans="1:29" ht="15">
      <c r="A562" s="263"/>
      <c r="B562" s="244"/>
      <c r="C562" s="244"/>
      <c r="D562" s="193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70" t="str">
        <f t="shared" si="111"/>
        <v/>
      </c>
      <c r="U562" s="170" t="str">
        <f t="shared" si="112"/>
        <v/>
      </c>
      <c r="V562" s="170" t="str">
        <f t="shared" si="113"/>
        <v/>
      </c>
      <c r="W562" s="170" t="str">
        <f t="shared" si="114"/>
        <v/>
      </c>
      <c r="X562" s="170" t="str">
        <f t="shared" si="108"/>
        <v/>
      </c>
      <c r="Y562" s="170" t="str">
        <f t="shared" si="109"/>
        <v/>
      </c>
      <c r="Z562" s="171" t="str">
        <f t="shared" si="115"/>
        <v/>
      </c>
      <c r="AA562" s="170" t="str">
        <f t="shared" si="116"/>
        <v/>
      </c>
      <c r="AB562" s="170" t="str">
        <f t="shared" si="117"/>
        <v/>
      </c>
      <c r="AC562" s="172" t="str">
        <f t="shared" si="118"/>
        <v/>
      </c>
    </row>
    <row r="563" spans="1:29" ht="15">
      <c r="A563" s="263"/>
      <c r="B563" s="244"/>
      <c r="C563" s="244"/>
      <c r="D563" s="193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70" t="str">
        <f t="shared" si="111"/>
        <v/>
      </c>
      <c r="U563" s="170" t="str">
        <f t="shared" si="112"/>
        <v/>
      </c>
      <c r="V563" s="170" t="str">
        <f t="shared" si="113"/>
        <v/>
      </c>
      <c r="W563" s="170" t="str">
        <f t="shared" si="114"/>
        <v/>
      </c>
      <c r="X563" s="170" t="str">
        <f t="shared" si="108"/>
        <v/>
      </c>
      <c r="Y563" s="170" t="str">
        <f t="shared" si="109"/>
        <v/>
      </c>
      <c r="Z563" s="171" t="str">
        <f t="shared" si="115"/>
        <v/>
      </c>
      <c r="AA563" s="170" t="str">
        <f t="shared" si="116"/>
        <v/>
      </c>
      <c r="AB563" s="170" t="str">
        <f t="shared" si="117"/>
        <v/>
      </c>
      <c r="AC563" s="172" t="str">
        <f t="shared" si="118"/>
        <v/>
      </c>
    </row>
    <row r="564" spans="1:29" ht="15">
      <c r="A564" s="263"/>
      <c r="B564" s="244"/>
      <c r="C564" s="244"/>
      <c r="D564" s="193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70" t="str">
        <f t="shared" si="111"/>
        <v/>
      </c>
      <c r="U564" s="170" t="str">
        <f t="shared" si="112"/>
        <v/>
      </c>
      <c r="V564" s="170" t="str">
        <f t="shared" si="113"/>
        <v/>
      </c>
      <c r="W564" s="170" t="str">
        <f t="shared" si="114"/>
        <v/>
      </c>
      <c r="X564" s="170" t="str">
        <f t="shared" si="108"/>
        <v/>
      </c>
      <c r="Y564" s="170" t="str">
        <f t="shared" si="109"/>
        <v/>
      </c>
      <c r="Z564" s="171" t="str">
        <f t="shared" si="115"/>
        <v/>
      </c>
      <c r="AA564" s="170" t="str">
        <f t="shared" si="116"/>
        <v/>
      </c>
      <c r="AB564" s="170" t="str">
        <f t="shared" si="117"/>
        <v/>
      </c>
      <c r="AC564" s="172" t="str">
        <f t="shared" si="118"/>
        <v/>
      </c>
    </row>
    <row r="565" spans="1:29" ht="15">
      <c r="A565" s="263"/>
      <c r="B565" s="245"/>
      <c r="C565" s="245"/>
      <c r="D565" s="193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70" t="str">
        <f t="shared" si="111"/>
        <v/>
      </c>
      <c r="U565" s="170" t="str">
        <f t="shared" si="112"/>
        <v/>
      </c>
      <c r="V565" s="170" t="str">
        <f t="shared" si="113"/>
        <v/>
      </c>
      <c r="W565" s="170" t="str">
        <f t="shared" si="114"/>
        <v/>
      </c>
      <c r="X565" s="170" t="str">
        <f t="shared" si="108"/>
        <v/>
      </c>
      <c r="Y565" s="170" t="str">
        <f t="shared" si="109"/>
        <v/>
      </c>
      <c r="Z565" s="171" t="str">
        <f t="shared" si="115"/>
        <v/>
      </c>
      <c r="AA565" s="170" t="str">
        <f t="shared" si="116"/>
        <v/>
      </c>
      <c r="AB565" s="170" t="str">
        <f t="shared" si="117"/>
        <v/>
      </c>
      <c r="AC565" s="172" t="str">
        <f t="shared" si="118"/>
        <v/>
      </c>
    </row>
    <row r="566" spans="1:29">
      <c r="A566" s="263">
        <v>71</v>
      </c>
      <c r="B566" s="252"/>
      <c r="C566" s="243"/>
      <c r="D566" s="184"/>
      <c r="E566" s="186"/>
      <c r="F566" s="186"/>
      <c r="G566" s="186"/>
      <c r="H566" s="186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70" t="str">
        <f t="shared" si="111"/>
        <v/>
      </c>
      <c r="U566" s="170" t="str">
        <f t="shared" si="112"/>
        <v/>
      </c>
      <c r="V566" s="170" t="str">
        <f t="shared" si="113"/>
        <v/>
      </c>
      <c r="W566" s="170" t="str">
        <f t="shared" si="114"/>
        <v/>
      </c>
      <c r="X566" s="170" t="str">
        <f t="shared" si="108"/>
        <v/>
      </c>
      <c r="Y566" s="170" t="str">
        <f t="shared" si="109"/>
        <v/>
      </c>
      <c r="Z566" s="171" t="str">
        <f t="shared" si="115"/>
        <v/>
      </c>
      <c r="AA566" s="170" t="str">
        <f t="shared" si="116"/>
        <v/>
      </c>
      <c r="AB566" s="170" t="str">
        <f t="shared" si="117"/>
        <v/>
      </c>
      <c r="AC566" s="172" t="str">
        <f t="shared" si="118"/>
        <v/>
      </c>
    </row>
    <row r="567" spans="1:29">
      <c r="A567" s="263"/>
      <c r="B567" s="244"/>
      <c r="C567" s="244"/>
      <c r="D567" s="184"/>
      <c r="E567" s="186"/>
      <c r="F567" s="186"/>
      <c r="G567" s="186"/>
      <c r="H567" s="186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70" t="str">
        <f t="shared" si="111"/>
        <v/>
      </c>
      <c r="U567" s="170" t="str">
        <f t="shared" si="112"/>
        <v/>
      </c>
      <c r="V567" s="170" t="str">
        <f t="shared" si="113"/>
        <v/>
      </c>
      <c r="W567" s="170" t="str">
        <f t="shared" si="114"/>
        <v/>
      </c>
      <c r="X567" s="170" t="str">
        <f t="shared" si="108"/>
        <v/>
      </c>
      <c r="Y567" s="170" t="str">
        <f t="shared" si="109"/>
        <v/>
      </c>
      <c r="Z567" s="171" t="str">
        <f t="shared" si="115"/>
        <v/>
      </c>
      <c r="AA567" s="170" t="str">
        <f t="shared" si="116"/>
        <v/>
      </c>
      <c r="AB567" s="170" t="str">
        <f t="shared" si="117"/>
        <v/>
      </c>
      <c r="AC567" s="172" t="str">
        <f t="shared" si="118"/>
        <v/>
      </c>
    </row>
    <row r="568" spans="1:29" ht="15">
      <c r="A568" s="263"/>
      <c r="B568" s="244"/>
      <c r="C568" s="244"/>
      <c r="D568" s="193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70" t="str">
        <f t="shared" si="111"/>
        <v/>
      </c>
      <c r="U568" s="170" t="str">
        <f t="shared" si="112"/>
        <v/>
      </c>
      <c r="V568" s="170" t="str">
        <f t="shared" si="113"/>
        <v/>
      </c>
      <c r="W568" s="170" t="str">
        <f t="shared" si="114"/>
        <v/>
      </c>
      <c r="X568" s="170" t="str">
        <f t="shared" si="108"/>
        <v/>
      </c>
      <c r="Y568" s="170" t="str">
        <f t="shared" si="109"/>
        <v/>
      </c>
      <c r="Z568" s="171" t="str">
        <f t="shared" si="115"/>
        <v/>
      </c>
      <c r="AA568" s="170" t="str">
        <f t="shared" si="116"/>
        <v/>
      </c>
      <c r="AB568" s="170" t="str">
        <f t="shared" si="117"/>
        <v/>
      </c>
      <c r="AC568" s="172" t="str">
        <f t="shared" si="118"/>
        <v/>
      </c>
    </row>
    <row r="569" spans="1:29" ht="15">
      <c r="A569" s="263"/>
      <c r="B569" s="244"/>
      <c r="C569" s="244"/>
      <c r="D569" s="193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70" t="str">
        <f t="shared" si="111"/>
        <v/>
      </c>
      <c r="U569" s="170" t="str">
        <f t="shared" si="112"/>
        <v/>
      </c>
      <c r="V569" s="170" t="str">
        <f t="shared" si="113"/>
        <v/>
      </c>
      <c r="W569" s="170" t="str">
        <f t="shared" si="114"/>
        <v/>
      </c>
      <c r="X569" s="170" t="str">
        <f t="shared" si="108"/>
        <v/>
      </c>
      <c r="Y569" s="170" t="str">
        <f t="shared" si="109"/>
        <v/>
      </c>
      <c r="Z569" s="171" t="str">
        <f t="shared" si="115"/>
        <v/>
      </c>
      <c r="AA569" s="170" t="str">
        <f t="shared" si="116"/>
        <v/>
      </c>
      <c r="AB569" s="170" t="str">
        <f t="shared" si="117"/>
        <v/>
      </c>
      <c r="AC569" s="172" t="str">
        <f t="shared" si="118"/>
        <v/>
      </c>
    </row>
    <row r="570" spans="1:29" ht="15">
      <c r="A570" s="263"/>
      <c r="B570" s="244"/>
      <c r="C570" s="244"/>
      <c r="D570" s="193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70" t="str">
        <f t="shared" si="111"/>
        <v/>
      </c>
      <c r="U570" s="170" t="str">
        <f t="shared" si="112"/>
        <v/>
      </c>
      <c r="V570" s="170" t="str">
        <f t="shared" si="113"/>
        <v/>
      </c>
      <c r="W570" s="170" t="str">
        <f t="shared" si="114"/>
        <v/>
      </c>
      <c r="X570" s="170" t="str">
        <f t="shared" si="108"/>
        <v/>
      </c>
      <c r="Y570" s="170" t="str">
        <f t="shared" si="109"/>
        <v/>
      </c>
      <c r="Z570" s="171" t="str">
        <f t="shared" si="115"/>
        <v/>
      </c>
      <c r="AA570" s="170" t="str">
        <f t="shared" si="116"/>
        <v/>
      </c>
      <c r="AB570" s="170" t="str">
        <f t="shared" si="117"/>
        <v/>
      </c>
      <c r="AC570" s="172" t="str">
        <f t="shared" si="118"/>
        <v/>
      </c>
    </row>
    <row r="571" spans="1:29" ht="15">
      <c r="A571" s="263"/>
      <c r="B571" s="244"/>
      <c r="C571" s="244"/>
      <c r="D571" s="193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70" t="str">
        <f t="shared" si="111"/>
        <v/>
      </c>
      <c r="U571" s="170" t="str">
        <f t="shared" si="112"/>
        <v/>
      </c>
      <c r="V571" s="170" t="str">
        <f t="shared" si="113"/>
        <v/>
      </c>
      <c r="W571" s="170" t="str">
        <f t="shared" si="114"/>
        <v/>
      </c>
      <c r="X571" s="170" t="str">
        <f t="shared" si="108"/>
        <v/>
      </c>
      <c r="Y571" s="170" t="str">
        <f t="shared" si="109"/>
        <v/>
      </c>
      <c r="Z571" s="171" t="str">
        <f t="shared" si="115"/>
        <v/>
      </c>
      <c r="AA571" s="170" t="str">
        <f t="shared" si="116"/>
        <v/>
      </c>
      <c r="AB571" s="170" t="str">
        <f t="shared" si="117"/>
        <v/>
      </c>
      <c r="AC571" s="172" t="str">
        <f t="shared" si="118"/>
        <v/>
      </c>
    </row>
    <row r="572" spans="1:29" ht="15">
      <c r="A572" s="263"/>
      <c r="B572" s="244"/>
      <c r="C572" s="244"/>
      <c r="D572" s="193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70" t="str">
        <f t="shared" si="111"/>
        <v/>
      </c>
      <c r="U572" s="170" t="str">
        <f t="shared" si="112"/>
        <v/>
      </c>
      <c r="V572" s="170" t="str">
        <f t="shared" si="113"/>
        <v/>
      </c>
      <c r="W572" s="170" t="str">
        <f t="shared" si="114"/>
        <v/>
      </c>
      <c r="X572" s="170" t="str">
        <f t="shared" si="108"/>
        <v/>
      </c>
      <c r="Y572" s="170" t="str">
        <f t="shared" si="109"/>
        <v/>
      </c>
      <c r="Z572" s="171" t="str">
        <f t="shared" si="115"/>
        <v/>
      </c>
      <c r="AA572" s="170" t="str">
        <f t="shared" si="116"/>
        <v/>
      </c>
      <c r="AB572" s="170" t="str">
        <f t="shared" si="117"/>
        <v/>
      </c>
      <c r="AC572" s="172" t="str">
        <f t="shared" si="118"/>
        <v/>
      </c>
    </row>
    <row r="573" spans="1:29" ht="15">
      <c r="A573" s="263"/>
      <c r="B573" s="245"/>
      <c r="C573" s="245"/>
      <c r="D573" s="193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70" t="str">
        <f t="shared" si="111"/>
        <v/>
      </c>
      <c r="U573" s="170" t="str">
        <f t="shared" si="112"/>
        <v/>
      </c>
      <c r="V573" s="170" t="str">
        <f t="shared" si="113"/>
        <v/>
      </c>
      <c r="W573" s="170" t="str">
        <f t="shared" si="114"/>
        <v/>
      </c>
      <c r="X573" s="170" t="str">
        <f t="shared" si="108"/>
        <v/>
      </c>
      <c r="Y573" s="170" t="str">
        <f t="shared" si="109"/>
        <v/>
      </c>
      <c r="Z573" s="171" t="str">
        <f t="shared" si="115"/>
        <v/>
      </c>
      <c r="AA573" s="170" t="str">
        <f t="shared" si="116"/>
        <v/>
      </c>
      <c r="AB573" s="170" t="str">
        <f t="shared" si="117"/>
        <v/>
      </c>
      <c r="AC573" s="172" t="str">
        <f t="shared" si="118"/>
        <v/>
      </c>
    </row>
    <row r="574" spans="1:29">
      <c r="A574" s="263">
        <v>72</v>
      </c>
      <c r="B574" s="252"/>
      <c r="C574" s="243"/>
      <c r="D574" s="184"/>
      <c r="E574" s="186"/>
      <c r="F574" s="186"/>
      <c r="G574" s="186"/>
      <c r="H574" s="186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70" t="str">
        <f t="shared" si="111"/>
        <v/>
      </c>
      <c r="U574" s="170" t="str">
        <f t="shared" si="112"/>
        <v/>
      </c>
      <c r="V574" s="170" t="str">
        <f t="shared" si="113"/>
        <v/>
      </c>
      <c r="W574" s="170" t="str">
        <f t="shared" si="114"/>
        <v/>
      </c>
      <c r="X574" s="170" t="str">
        <f t="shared" si="108"/>
        <v/>
      </c>
      <c r="Y574" s="170" t="str">
        <f t="shared" si="109"/>
        <v/>
      </c>
      <c r="Z574" s="171" t="str">
        <f t="shared" si="115"/>
        <v/>
      </c>
      <c r="AA574" s="170" t="str">
        <f t="shared" si="116"/>
        <v/>
      </c>
      <c r="AB574" s="170" t="str">
        <f t="shared" si="117"/>
        <v/>
      </c>
      <c r="AC574" s="172" t="str">
        <f t="shared" si="118"/>
        <v/>
      </c>
    </row>
    <row r="575" spans="1:29">
      <c r="A575" s="263"/>
      <c r="B575" s="244"/>
      <c r="C575" s="244"/>
      <c r="D575" s="184"/>
      <c r="E575" s="186"/>
      <c r="F575" s="186"/>
      <c r="G575" s="186"/>
      <c r="H575" s="186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70" t="str">
        <f t="shared" si="111"/>
        <v/>
      </c>
      <c r="U575" s="170" t="str">
        <f t="shared" si="112"/>
        <v/>
      </c>
      <c r="V575" s="170" t="str">
        <f t="shared" si="113"/>
        <v/>
      </c>
      <c r="W575" s="170" t="str">
        <f t="shared" si="114"/>
        <v/>
      </c>
      <c r="X575" s="170" t="str">
        <f t="shared" si="108"/>
        <v/>
      </c>
      <c r="Y575" s="170" t="str">
        <f t="shared" si="109"/>
        <v/>
      </c>
      <c r="Z575" s="171" t="str">
        <f t="shared" si="115"/>
        <v/>
      </c>
      <c r="AA575" s="170" t="str">
        <f t="shared" si="116"/>
        <v/>
      </c>
      <c r="AB575" s="170" t="str">
        <f t="shared" si="117"/>
        <v/>
      </c>
      <c r="AC575" s="172" t="str">
        <f t="shared" si="118"/>
        <v/>
      </c>
    </row>
    <row r="576" spans="1:29" ht="15">
      <c r="A576" s="263"/>
      <c r="B576" s="244"/>
      <c r="C576" s="244"/>
      <c r="D576" s="193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70" t="str">
        <f t="shared" si="111"/>
        <v/>
      </c>
      <c r="U576" s="170" t="str">
        <f t="shared" si="112"/>
        <v/>
      </c>
      <c r="V576" s="170" t="str">
        <f t="shared" si="113"/>
        <v/>
      </c>
      <c r="W576" s="170" t="str">
        <f t="shared" si="114"/>
        <v/>
      </c>
      <c r="X576" s="170" t="str">
        <f t="shared" si="108"/>
        <v/>
      </c>
      <c r="Y576" s="170" t="str">
        <f t="shared" si="109"/>
        <v/>
      </c>
      <c r="Z576" s="171" t="str">
        <f t="shared" si="115"/>
        <v/>
      </c>
      <c r="AA576" s="170" t="str">
        <f t="shared" si="116"/>
        <v/>
      </c>
      <c r="AB576" s="170" t="str">
        <f t="shared" si="117"/>
        <v/>
      </c>
      <c r="AC576" s="172" t="str">
        <f t="shared" si="118"/>
        <v/>
      </c>
    </row>
    <row r="577" spans="1:29" ht="15">
      <c r="A577" s="263"/>
      <c r="B577" s="244"/>
      <c r="C577" s="244"/>
      <c r="D577" s="193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70" t="str">
        <f t="shared" si="111"/>
        <v/>
      </c>
      <c r="U577" s="170" t="str">
        <f t="shared" si="112"/>
        <v/>
      </c>
      <c r="V577" s="170" t="str">
        <f t="shared" si="113"/>
        <v/>
      </c>
      <c r="W577" s="170" t="str">
        <f t="shared" si="114"/>
        <v/>
      </c>
      <c r="X577" s="170" t="str">
        <f t="shared" si="108"/>
        <v/>
      </c>
      <c r="Y577" s="170" t="str">
        <f t="shared" si="109"/>
        <v/>
      </c>
      <c r="Z577" s="171" t="str">
        <f t="shared" si="115"/>
        <v/>
      </c>
      <c r="AA577" s="170" t="str">
        <f t="shared" si="116"/>
        <v/>
      </c>
      <c r="AB577" s="170" t="str">
        <f t="shared" si="117"/>
        <v/>
      </c>
      <c r="AC577" s="172" t="str">
        <f t="shared" si="118"/>
        <v/>
      </c>
    </row>
    <row r="578" spans="1:29" ht="15">
      <c r="A578" s="263"/>
      <c r="B578" s="244"/>
      <c r="C578" s="244"/>
      <c r="D578" s="193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70" t="str">
        <f t="shared" si="111"/>
        <v/>
      </c>
      <c r="U578" s="170" t="str">
        <f t="shared" si="112"/>
        <v/>
      </c>
      <c r="V578" s="170" t="str">
        <f t="shared" si="113"/>
        <v/>
      </c>
      <c r="W578" s="170" t="str">
        <f t="shared" si="114"/>
        <v/>
      </c>
      <c r="X578" s="170" t="str">
        <f t="shared" si="108"/>
        <v/>
      </c>
      <c r="Y578" s="170" t="str">
        <f t="shared" si="109"/>
        <v/>
      </c>
      <c r="Z578" s="171" t="str">
        <f t="shared" si="115"/>
        <v/>
      </c>
      <c r="AA578" s="170" t="str">
        <f t="shared" si="116"/>
        <v/>
      </c>
      <c r="AB578" s="170" t="str">
        <f t="shared" si="117"/>
        <v/>
      </c>
      <c r="AC578" s="172" t="str">
        <f t="shared" si="118"/>
        <v/>
      </c>
    </row>
    <row r="579" spans="1:29" ht="15">
      <c r="A579" s="263"/>
      <c r="B579" s="244"/>
      <c r="C579" s="244"/>
      <c r="D579" s="193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70" t="str">
        <f t="shared" si="111"/>
        <v/>
      </c>
      <c r="U579" s="170" t="str">
        <f t="shared" si="112"/>
        <v/>
      </c>
      <c r="V579" s="170" t="str">
        <f t="shared" si="113"/>
        <v/>
      </c>
      <c r="W579" s="170" t="str">
        <f t="shared" si="114"/>
        <v/>
      </c>
      <c r="X579" s="170" t="str">
        <f t="shared" si="108"/>
        <v/>
      </c>
      <c r="Y579" s="170" t="str">
        <f t="shared" si="109"/>
        <v/>
      </c>
      <c r="Z579" s="171" t="str">
        <f t="shared" si="115"/>
        <v/>
      </c>
      <c r="AA579" s="170" t="str">
        <f t="shared" si="116"/>
        <v/>
      </c>
      <c r="AB579" s="170" t="str">
        <f t="shared" si="117"/>
        <v/>
      </c>
      <c r="AC579" s="172" t="str">
        <f t="shared" si="118"/>
        <v/>
      </c>
    </row>
    <row r="580" spans="1:29" ht="15">
      <c r="A580" s="263"/>
      <c r="B580" s="244"/>
      <c r="C580" s="244"/>
      <c r="D580" s="193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70" t="str">
        <f t="shared" si="111"/>
        <v/>
      </c>
      <c r="U580" s="170" t="str">
        <f t="shared" si="112"/>
        <v/>
      </c>
      <c r="V580" s="170" t="str">
        <f t="shared" si="113"/>
        <v/>
      </c>
      <c r="W580" s="170" t="str">
        <f t="shared" si="114"/>
        <v/>
      </c>
      <c r="X580" s="170" t="str">
        <f t="shared" si="108"/>
        <v/>
      </c>
      <c r="Y580" s="170" t="str">
        <f t="shared" si="109"/>
        <v/>
      </c>
      <c r="Z580" s="171" t="str">
        <f t="shared" si="115"/>
        <v/>
      </c>
      <c r="AA580" s="170" t="str">
        <f t="shared" si="116"/>
        <v/>
      </c>
      <c r="AB580" s="170" t="str">
        <f t="shared" si="117"/>
        <v/>
      </c>
      <c r="AC580" s="172" t="str">
        <f t="shared" si="118"/>
        <v/>
      </c>
    </row>
    <row r="581" spans="1:29" ht="15">
      <c r="A581" s="263"/>
      <c r="B581" s="245"/>
      <c r="C581" s="245"/>
      <c r="D581" s="193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70" t="str">
        <f t="shared" si="111"/>
        <v/>
      </c>
      <c r="U581" s="170" t="str">
        <f t="shared" si="112"/>
        <v/>
      </c>
      <c r="V581" s="170" t="str">
        <f t="shared" si="113"/>
        <v/>
      </c>
      <c r="W581" s="170" t="str">
        <f t="shared" si="114"/>
        <v/>
      </c>
      <c r="X581" s="170" t="str">
        <f t="shared" si="108"/>
        <v/>
      </c>
      <c r="Y581" s="170" t="str">
        <f t="shared" si="109"/>
        <v/>
      </c>
      <c r="Z581" s="171" t="str">
        <f t="shared" si="115"/>
        <v/>
      </c>
      <c r="AA581" s="170" t="str">
        <f t="shared" si="116"/>
        <v/>
      </c>
      <c r="AB581" s="170" t="str">
        <f t="shared" si="117"/>
        <v/>
      </c>
      <c r="AC581" s="172" t="str">
        <f t="shared" si="118"/>
        <v/>
      </c>
    </row>
    <row r="582" spans="1:29">
      <c r="A582" s="263">
        <v>73</v>
      </c>
      <c r="B582" s="253"/>
      <c r="C582" s="246"/>
      <c r="D582" s="201"/>
      <c r="E582" s="202"/>
      <c r="F582" s="202"/>
      <c r="G582" s="202"/>
      <c r="H582" s="202"/>
      <c r="I582" s="202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70" t="str">
        <f t="shared" ref="T582:T621" si="119">IF(COUNT(E582:S582)=0,"",SUM(E582:S582))</f>
        <v/>
      </c>
      <c r="U582" s="170" t="str">
        <f t="shared" ref="U582:U621" si="120">IF(COUNT(E582:S582)=0,"",SUMSQ(E582:S582))</f>
        <v/>
      </c>
      <c r="V582" s="170" t="str">
        <f t="shared" ref="V582:V621" si="121">IF(COUNT(E582:S582)=0,"",AVERAGE(E582:S582))</f>
        <v/>
      </c>
      <c r="W582" s="170" t="str">
        <f t="shared" ref="W582:W621" si="122">IF(COUNT(E582:S582)=0,"",STDEVP(E582:S582))</f>
        <v/>
      </c>
      <c r="X582" s="170" t="str">
        <f t="shared" si="108"/>
        <v/>
      </c>
      <c r="Y582" s="170" t="str">
        <f t="shared" si="109"/>
        <v/>
      </c>
      <c r="Z582" s="171" t="str">
        <f t="shared" ref="Z582:Z621" si="123">IF(COUNT(E582:S582)=0,"",SUM(IF(AND(E582&gt;X582,E582&lt;Y582),E582,0),IF(AND(F582&gt;X582,F582&lt;Y582),F582,0),IF(AND(G582&gt;X582,G582&lt;Y582),G582,0),IF(AND(H582&gt;X582,H582&lt;Y582),H582,0),IF(AND(I582&gt;X582,I582&lt;Y582),I582,0),IF(AND(J582&gt;X582,J582&lt;Y582),J582,0),IF(AND(K582&gt;X582,K582&lt;Y582),K582,0),IF(AND(L582&gt;X582,L582&lt;Y582),L582,0),IF(AND(M582&gt;X582,M582&lt;Y582),M582,0),IF(AND(N582&gt;X582,N582&lt;Y582),N582,0),IF(AND(O582&gt;X582,O582&lt;Y582),O582,0),IF(AND(P582&gt;X582,P582&lt;Y582),P582,0),IF(AND(Q582&gt;X582,Q582&lt;Y582),Q582,0),IF(AND(R582&gt;X582,R582&lt;Y582),R582,0),IF(AND(S582&gt;X582,S582&lt;Y582),S582,0))/SUM(IF(AND(E582&gt;X582,E582&lt;Y582,E582&lt;&gt;0),1,0),IF(AND(F582&gt;X582,F582&lt;Y582,F582&lt;&gt;0),1,0),IF(AND(G582&gt;X582,G582&lt;Y582,G582&lt;&gt;0),1,0),IF(AND(H582&gt;X582,H582&lt;Y582,H582&lt;&gt;0),1,0),IF(AND(I582&gt;X582,I582&lt;Y582,I582&lt;&gt;0),1,0),IF(AND(J582&gt;X582,J582&lt;Y582,J582&lt;&gt;0),1,0),IF(AND(K582&gt;X582,K582&lt;Y582,K582&lt;&gt;0),1,0),IF(AND(L582&gt;X582,L582&lt;Y582,L582&lt;&gt;0),1,0),IF(AND(M582&gt;X582,M582&lt;Y582,M582&lt;&gt;0),1,0),IF(AND(N582&gt;X582,N582&lt;Y582,N582&lt;&gt;0),1,0),IF(AND(O582&gt;X582,O582&lt;Y582,O582&lt;&gt;0),1,0),IF(AND(P582&gt;X582,P582&lt;Y582,P582&lt;&gt;0),1,0),IF(AND(Q582&gt;X582,Q582&lt;Y582,Q582&lt;&gt;0),1,0),IF(AND(R582&gt;X582,R582&lt;Y582,R582&lt;&gt;0),1,0),IF(AND(S582&gt;X582,S582&lt;Y582,S582&lt;&gt;0),1,0)))</f>
        <v/>
      </c>
      <c r="AA582" s="170" t="str">
        <f t="shared" ref="AA582:AA621" si="124">IF(COUNT(E582:S582)=0,"",SUM(IF(AND(E582&gt;X582,E582&lt;Y582),E582,0),IF(AND(F582&gt;X582,F582&lt;Y582),F582,0),IF(AND(G582&gt;X582,G582&lt;Y582),G582,0),IF(AND(H582&gt;X582,H582&lt;Y582),H582,0),IF(AND(I582&gt;X582,I582&lt;Y582),I582,0),IF(AND(J582&gt;X582,J582&lt;Y582),J582,0),IF(AND(K582&gt;X582,K582&lt;Y582),K582,0),IF(AND(L582&gt;X582,L582&lt;Y582),L582,0),IF(AND(M582&gt;X582,M582&lt;Y582),M582,0),IF(AND(N582&gt;X582,N582&lt;Y582),N582,0),IF(AND(O582&gt;X582,O582&lt;Y582),O582,0),IF(AND(P582&gt;X582,P582&lt;Y582),P582,0),IF(AND(Q582&gt;X582,Q582&lt;Y582),Q582,0),IF(AND(R582&gt;X582,R582&lt;Y582),R582,0),IF(AND(S582&gt;X582,S582&lt;Y582),S582,0)))</f>
        <v/>
      </c>
      <c r="AB582" s="170" t="str">
        <f t="shared" ref="AB582:AB621" si="125">IF(COUNT(E582:S582)=0,"",SUMSQ(IF(AND(E582&gt;X582,E582&lt;Y582),E582,0),IF(AND(F582&gt;X582,F582&lt;Y582),F582,0),IF(AND(G582&gt;X582,G582&lt;Y582),G582,0),IF(AND(H582&gt;X582,H582&lt;Y582),H582,0),IF(AND(I582&gt;X582,I582&lt;Y582),I582,0),IF(AND(J582&gt;X582,J582&lt;Y582),J582,0),IF(AND(K582&gt;X582,K582&lt;Y582),K582,0),IF(AND(L582&gt;X582,L582&lt;Y582),L582,0),IF(AND(M582&gt;X582,M582&lt;Y582),M582,0),IF(AND(N582&gt;X582,N582&lt;Y582),N582,0),IF(AND(O582&gt;X582,O582&lt;Y582),O582,0),IF(AND(P582&gt;X582,P582&lt;Y582),P582,0),IF(AND(Q582&gt;X582,Q582&lt;Y582),Q582,0),IF(AND(R582&gt;X582,R582&lt;Y582),R582,0),IF(AND(S582&gt;X582,S582&lt;Y582),S582,0)))</f>
        <v/>
      </c>
      <c r="AC582" s="172" t="str">
        <f t="shared" ref="AC582:AC621" si="126">IF(COUNT(E582:S582)=0,"",POWER(40*SQRT(SUM(IF(AND(E582&gt;X582,E582&lt;Y582),1,0),IF(AND(F582&gt;X582,F582&lt;Y582),1,0),IF(AND(G582&gt;X582,G582&lt;Y582),1,0),IF(AND(H582&gt;X582,H582&lt;Y582),1,0),IF(AND(I582&gt;X582,I582&lt;Y582),1,0),IF(AND(J582&gt;X582,J582&lt;Y582),1,0),IF(AND(K582&gt;X582,K582&lt;Y582),1,0),IF(AND(L582&gt;X582,L582&lt;Y582),1,0),IF(AND(M582&gt;X582,M582&lt;Y582),1,0),IF(AND(N582&gt;X582,N582&lt;Y582),1,0),IF(AND(O582&gt;X582,O582&lt;Y582),1,0),IF(AND(P582&gt;X582,P582&lt;Y582),1,0),IF(AND(Q582&gt;X582,Q582&lt;Y582),1,0),IF(AND(R582&gt;X582,R582&lt;Y582),1,0),IF(AND(S582&gt;X582,S582&lt;Y582),1,0))*AB582-POWER(AA582,2))/AA582,2))</f>
        <v/>
      </c>
    </row>
    <row r="583" spans="1:29">
      <c r="A583" s="263"/>
      <c r="B583" s="247"/>
      <c r="C583" s="247"/>
      <c r="D583" s="201"/>
      <c r="E583" s="202"/>
      <c r="F583" s="202"/>
      <c r="G583" s="202"/>
      <c r="H583" s="202"/>
      <c r="I583" s="202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70" t="str">
        <f t="shared" si="119"/>
        <v/>
      </c>
      <c r="U583" s="170" t="str">
        <f t="shared" si="120"/>
        <v/>
      </c>
      <c r="V583" s="170" t="str">
        <f t="shared" si="121"/>
        <v/>
      </c>
      <c r="W583" s="170" t="str">
        <f t="shared" si="122"/>
        <v/>
      </c>
      <c r="X583" s="170" t="str">
        <f t="shared" ref="X583:X637" si="127">IF(COUNT(E583:S583)=0,"",V583-1*W583)</f>
        <v/>
      </c>
      <c r="Y583" s="170" t="str">
        <f t="shared" ref="Y583:Y637" si="128">IF(COUNT(E583:S583)=0,"",V583+1*W583)</f>
        <v/>
      </c>
      <c r="Z583" s="171" t="str">
        <f t="shared" si="123"/>
        <v/>
      </c>
      <c r="AA583" s="170" t="str">
        <f t="shared" si="124"/>
        <v/>
      </c>
      <c r="AB583" s="170" t="str">
        <f t="shared" si="125"/>
        <v/>
      </c>
      <c r="AC583" s="172" t="str">
        <f t="shared" si="126"/>
        <v/>
      </c>
    </row>
    <row r="584" spans="1:29" ht="15">
      <c r="A584" s="263"/>
      <c r="B584" s="247"/>
      <c r="C584" s="247"/>
      <c r="D584" s="203"/>
      <c r="E584" s="204"/>
      <c r="F584" s="204"/>
      <c r="G584" s="204"/>
      <c r="H584" s="204"/>
      <c r="I584" s="204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70" t="str">
        <f t="shared" si="119"/>
        <v/>
      </c>
      <c r="U584" s="170" t="str">
        <f t="shared" si="120"/>
        <v/>
      </c>
      <c r="V584" s="170" t="str">
        <f t="shared" si="121"/>
        <v/>
      </c>
      <c r="W584" s="170" t="str">
        <f t="shared" si="122"/>
        <v/>
      </c>
      <c r="X584" s="170" t="str">
        <f t="shared" si="127"/>
        <v/>
      </c>
      <c r="Y584" s="170" t="str">
        <f t="shared" si="128"/>
        <v/>
      </c>
      <c r="Z584" s="171" t="str">
        <f t="shared" si="123"/>
        <v/>
      </c>
      <c r="AA584" s="170" t="str">
        <f t="shared" si="124"/>
        <v/>
      </c>
      <c r="AB584" s="170" t="str">
        <f t="shared" si="125"/>
        <v/>
      </c>
      <c r="AC584" s="172" t="str">
        <f t="shared" si="126"/>
        <v/>
      </c>
    </row>
    <row r="585" spans="1:29" ht="15">
      <c r="A585" s="263"/>
      <c r="B585" s="247"/>
      <c r="C585" s="247"/>
      <c r="D585" s="203"/>
      <c r="E585" s="204"/>
      <c r="F585" s="204"/>
      <c r="G585" s="204"/>
      <c r="H585" s="204"/>
      <c r="I585" s="204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70" t="str">
        <f t="shared" si="119"/>
        <v/>
      </c>
      <c r="U585" s="170" t="str">
        <f t="shared" si="120"/>
        <v/>
      </c>
      <c r="V585" s="170" t="str">
        <f t="shared" si="121"/>
        <v/>
      </c>
      <c r="W585" s="170" t="str">
        <f t="shared" si="122"/>
        <v/>
      </c>
      <c r="X585" s="170" t="str">
        <f t="shared" si="127"/>
        <v/>
      </c>
      <c r="Y585" s="170" t="str">
        <f t="shared" si="128"/>
        <v/>
      </c>
      <c r="Z585" s="171" t="str">
        <f t="shared" si="123"/>
        <v/>
      </c>
      <c r="AA585" s="170" t="str">
        <f t="shared" si="124"/>
        <v/>
      </c>
      <c r="AB585" s="170" t="str">
        <f t="shared" si="125"/>
        <v/>
      </c>
      <c r="AC585" s="172" t="str">
        <f t="shared" si="126"/>
        <v/>
      </c>
    </row>
    <row r="586" spans="1:29" ht="15">
      <c r="A586" s="263"/>
      <c r="B586" s="247"/>
      <c r="C586" s="247"/>
      <c r="D586" s="203"/>
      <c r="E586" s="204"/>
      <c r="F586" s="204"/>
      <c r="G586" s="204"/>
      <c r="H586" s="204"/>
      <c r="I586" s="204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70" t="str">
        <f t="shared" si="119"/>
        <v/>
      </c>
      <c r="U586" s="170" t="str">
        <f t="shared" si="120"/>
        <v/>
      </c>
      <c r="V586" s="170" t="str">
        <f t="shared" si="121"/>
        <v/>
      </c>
      <c r="W586" s="170" t="str">
        <f t="shared" si="122"/>
        <v/>
      </c>
      <c r="X586" s="170" t="str">
        <f t="shared" si="127"/>
        <v/>
      </c>
      <c r="Y586" s="170" t="str">
        <f t="shared" si="128"/>
        <v/>
      </c>
      <c r="Z586" s="171" t="str">
        <f t="shared" si="123"/>
        <v/>
      </c>
      <c r="AA586" s="170" t="str">
        <f t="shared" si="124"/>
        <v/>
      </c>
      <c r="AB586" s="170" t="str">
        <f t="shared" si="125"/>
        <v/>
      </c>
      <c r="AC586" s="172" t="str">
        <f t="shared" si="126"/>
        <v/>
      </c>
    </row>
    <row r="587" spans="1:29" ht="15">
      <c r="A587" s="263"/>
      <c r="B587" s="247"/>
      <c r="C587" s="247"/>
      <c r="D587" s="203"/>
      <c r="E587" s="204"/>
      <c r="F587" s="204"/>
      <c r="G587" s="204"/>
      <c r="H587" s="204"/>
      <c r="I587" s="204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70" t="str">
        <f t="shared" si="119"/>
        <v/>
      </c>
      <c r="U587" s="170" t="str">
        <f t="shared" si="120"/>
        <v/>
      </c>
      <c r="V587" s="170" t="str">
        <f t="shared" si="121"/>
        <v/>
      </c>
      <c r="W587" s="170" t="str">
        <f t="shared" si="122"/>
        <v/>
      </c>
      <c r="X587" s="170" t="str">
        <f t="shared" si="127"/>
        <v/>
      </c>
      <c r="Y587" s="170" t="str">
        <f t="shared" si="128"/>
        <v/>
      </c>
      <c r="Z587" s="171" t="str">
        <f t="shared" si="123"/>
        <v/>
      </c>
      <c r="AA587" s="170" t="str">
        <f t="shared" si="124"/>
        <v/>
      </c>
      <c r="AB587" s="170" t="str">
        <f t="shared" si="125"/>
        <v/>
      </c>
      <c r="AC587" s="172" t="str">
        <f t="shared" si="126"/>
        <v/>
      </c>
    </row>
    <row r="588" spans="1:29" ht="15">
      <c r="A588" s="263"/>
      <c r="B588" s="247"/>
      <c r="C588" s="247"/>
      <c r="D588" s="203"/>
      <c r="E588" s="204"/>
      <c r="F588" s="204"/>
      <c r="G588" s="204"/>
      <c r="H588" s="204"/>
      <c r="I588" s="204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70" t="str">
        <f t="shared" si="119"/>
        <v/>
      </c>
      <c r="U588" s="170" t="str">
        <f t="shared" si="120"/>
        <v/>
      </c>
      <c r="V588" s="170" t="str">
        <f t="shared" si="121"/>
        <v/>
      </c>
      <c r="W588" s="170" t="str">
        <f t="shared" si="122"/>
        <v/>
      </c>
      <c r="X588" s="170" t="str">
        <f t="shared" si="127"/>
        <v/>
      </c>
      <c r="Y588" s="170" t="str">
        <f t="shared" si="128"/>
        <v/>
      </c>
      <c r="Z588" s="171" t="str">
        <f t="shared" si="123"/>
        <v/>
      </c>
      <c r="AA588" s="170" t="str">
        <f t="shared" si="124"/>
        <v/>
      </c>
      <c r="AB588" s="170" t="str">
        <f t="shared" si="125"/>
        <v/>
      </c>
      <c r="AC588" s="172" t="str">
        <f t="shared" si="126"/>
        <v/>
      </c>
    </row>
    <row r="589" spans="1:29" ht="15">
      <c r="A589" s="263"/>
      <c r="B589" s="248"/>
      <c r="C589" s="248"/>
      <c r="D589" s="203"/>
      <c r="E589" s="204"/>
      <c r="F589" s="204"/>
      <c r="G589" s="204"/>
      <c r="H589" s="204"/>
      <c r="I589" s="204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70" t="str">
        <f t="shared" si="119"/>
        <v/>
      </c>
      <c r="U589" s="170" t="str">
        <f t="shared" si="120"/>
        <v/>
      </c>
      <c r="V589" s="170" t="str">
        <f t="shared" si="121"/>
        <v/>
      </c>
      <c r="W589" s="170" t="str">
        <f t="shared" si="122"/>
        <v/>
      </c>
      <c r="X589" s="170" t="str">
        <f t="shared" si="127"/>
        <v/>
      </c>
      <c r="Y589" s="170" t="str">
        <f t="shared" si="128"/>
        <v/>
      </c>
      <c r="Z589" s="171" t="str">
        <f t="shared" si="123"/>
        <v/>
      </c>
      <c r="AA589" s="170" t="str">
        <f t="shared" si="124"/>
        <v/>
      </c>
      <c r="AB589" s="170" t="str">
        <f t="shared" si="125"/>
        <v/>
      </c>
      <c r="AC589" s="172" t="str">
        <f t="shared" si="126"/>
        <v/>
      </c>
    </row>
    <row r="590" spans="1:29">
      <c r="A590" s="263">
        <v>74</v>
      </c>
      <c r="B590" s="252"/>
      <c r="C590" s="243"/>
      <c r="D590" s="184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70" t="str">
        <f t="shared" si="119"/>
        <v/>
      </c>
      <c r="U590" s="170" t="str">
        <f t="shared" si="120"/>
        <v/>
      </c>
      <c r="V590" s="170" t="str">
        <f t="shared" si="121"/>
        <v/>
      </c>
      <c r="W590" s="170" t="str">
        <f t="shared" si="122"/>
        <v/>
      </c>
      <c r="X590" s="170" t="str">
        <f t="shared" si="127"/>
        <v/>
      </c>
      <c r="Y590" s="170" t="str">
        <f t="shared" si="128"/>
        <v/>
      </c>
      <c r="Z590" s="171" t="str">
        <f t="shared" si="123"/>
        <v/>
      </c>
      <c r="AA590" s="170" t="str">
        <f t="shared" si="124"/>
        <v/>
      </c>
      <c r="AB590" s="170" t="str">
        <f t="shared" si="125"/>
        <v/>
      </c>
      <c r="AC590" s="172" t="str">
        <f t="shared" si="126"/>
        <v/>
      </c>
    </row>
    <row r="591" spans="1:29" ht="15">
      <c r="A591" s="263"/>
      <c r="B591" s="244"/>
      <c r="C591" s="244"/>
      <c r="D591" s="194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70" t="str">
        <f t="shared" si="119"/>
        <v/>
      </c>
      <c r="U591" s="170" t="str">
        <f t="shared" si="120"/>
        <v/>
      </c>
      <c r="V591" s="170" t="str">
        <f t="shared" si="121"/>
        <v/>
      </c>
      <c r="W591" s="170" t="str">
        <f t="shared" si="122"/>
        <v/>
      </c>
      <c r="X591" s="170" t="str">
        <f t="shared" si="127"/>
        <v/>
      </c>
      <c r="Y591" s="170" t="str">
        <f t="shared" si="128"/>
        <v/>
      </c>
      <c r="Z591" s="171" t="str">
        <f t="shared" si="123"/>
        <v/>
      </c>
      <c r="AA591" s="170" t="str">
        <f t="shared" si="124"/>
        <v/>
      </c>
      <c r="AB591" s="170" t="str">
        <f t="shared" si="125"/>
        <v/>
      </c>
      <c r="AC591" s="172" t="str">
        <f t="shared" si="126"/>
        <v/>
      </c>
    </row>
    <row r="592" spans="1:29" ht="15">
      <c r="A592" s="263"/>
      <c r="B592" s="244"/>
      <c r="C592" s="244"/>
      <c r="D592" s="194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70" t="str">
        <f t="shared" si="119"/>
        <v/>
      </c>
      <c r="U592" s="170" t="str">
        <f t="shared" si="120"/>
        <v/>
      </c>
      <c r="V592" s="170" t="str">
        <f t="shared" si="121"/>
        <v/>
      </c>
      <c r="W592" s="170" t="str">
        <f t="shared" si="122"/>
        <v/>
      </c>
      <c r="X592" s="170" t="str">
        <f t="shared" si="127"/>
        <v/>
      </c>
      <c r="Y592" s="170" t="str">
        <f t="shared" si="128"/>
        <v/>
      </c>
      <c r="Z592" s="171" t="str">
        <f t="shared" si="123"/>
        <v/>
      </c>
      <c r="AA592" s="170" t="str">
        <f t="shared" si="124"/>
        <v/>
      </c>
      <c r="AB592" s="170" t="str">
        <f t="shared" si="125"/>
        <v/>
      </c>
      <c r="AC592" s="172" t="str">
        <f t="shared" si="126"/>
        <v/>
      </c>
    </row>
    <row r="593" spans="1:29" ht="15">
      <c r="A593" s="263"/>
      <c r="B593" s="244"/>
      <c r="C593" s="244"/>
      <c r="D593" s="193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70" t="str">
        <f t="shared" si="119"/>
        <v/>
      </c>
      <c r="U593" s="170" t="str">
        <f t="shared" si="120"/>
        <v/>
      </c>
      <c r="V593" s="170" t="str">
        <f t="shared" si="121"/>
        <v/>
      </c>
      <c r="W593" s="170" t="str">
        <f t="shared" si="122"/>
        <v/>
      </c>
      <c r="X593" s="170" t="str">
        <f t="shared" si="127"/>
        <v/>
      </c>
      <c r="Y593" s="170" t="str">
        <f t="shared" si="128"/>
        <v/>
      </c>
      <c r="Z593" s="171" t="str">
        <f t="shared" si="123"/>
        <v/>
      </c>
      <c r="AA593" s="170" t="str">
        <f t="shared" si="124"/>
        <v/>
      </c>
      <c r="AB593" s="170" t="str">
        <f t="shared" si="125"/>
        <v/>
      </c>
      <c r="AC593" s="172" t="str">
        <f t="shared" si="126"/>
        <v/>
      </c>
    </row>
    <row r="594" spans="1:29" ht="15">
      <c r="A594" s="263"/>
      <c r="B594" s="244"/>
      <c r="C594" s="244"/>
      <c r="D594" s="193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70" t="str">
        <f t="shared" si="119"/>
        <v/>
      </c>
      <c r="U594" s="170" t="str">
        <f t="shared" si="120"/>
        <v/>
      </c>
      <c r="V594" s="170" t="str">
        <f t="shared" si="121"/>
        <v/>
      </c>
      <c r="W594" s="170" t="str">
        <f t="shared" si="122"/>
        <v/>
      </c>
      <c r="X594" s="170" t="str">
        <f t="shared" si="127"/>
        <v/>
      </c>
      <c r="Y594" s="170" t="str">
        <f t="shared" si="128"/>
        <v/>
      </c>
      <c r="Z594" s="171" t="str">
        <f t="shared" si="123"/>
        <v/>
      </c>
      <c r="AA594" s="170" t="str">
        <f t="shared" si="124"/>
        <v/>
      </c>
      <c r="AB594" s="170" t="str">
        <f t="shared" si="125"/>
        <v/>
      </c>
      <c r="AC594" s="172" t="str">
        <f t="shared" si="126"/>
        <v/>
      </c>
    </row>
    <row r="595" spans="1:29" ht="15">
      <c r="A595" s="263"/>
      <c r="B595" s="244"/>
      <c r="C595" s="244"/>
      <c r="D595" s="193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70" t="str">
        <f t="shared" si="119"/>
        <v/>
      </c>
      <c r="U595" s="170" t="str">
        <f t="shared" si="120"/>
        <v/>
      </c>
      <c r="V595" s="170" t="str">
        <f t="shared" si="121"/>
        <v/>
      </c>
      <c r="W595" s="170" t="str">
        <f t="shared" si="122"/>
        <v/>
      </c>
      <c r="X595" s="170" t="str">
        <f t="shared" si="127"/>
        <v/>
      </c>
      <c r="Y595" s="170" t="str">
        <f t="shared" si="128"/>
        <v/>
      </c>
      <c r="Z595" s="171" t="str">
        <f t="shared" si="123"/>
        <v/>
      </c>
      <c r="AA595" s="170" t="str">
        <f t="shared" si="124"/>
        <v/>
      </c>
      <c r="AB595" s="170" t="str">
        <f t="shared" si="125"/>
        <v/>
      </c>
      <c r="AC595" s="172" t="str">
        <f t="shared" si="126"/>
        <v/>
      </c>
    </row>
    <row r="596" spans="1:29" ht="15">
      <c r="A596" s="263"/>
      <c r="B596" s="244"/>
      <c r="C596" s="244"/>
      <c r="D596" s="193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70" t="str">
        <f t="shared" si="119"/>
        <v/>
      </c>
      <c r="U596" s="170" t="str">
        <f t="shared" si="120"/>
        <v/>
      </c>
      <c r="V596" s="170" t="str">
        <f t="shared" si="121"/>
        <v/>
      </c>
      <c r="W596" s="170" t="str">
        <f t="shared" si="122"/>
        <v/>
      </c>
      <c r="X596" s="170" t="str">
        <f t="shared" si="127"/>
        <v/>
      </c>
      <c r="Y596" s="170" t="str">
        <f t="shared" si="128"/>
        <v/>
      </c>
      <c r="Z596" s="171" t="str">
        <f t="shared" si="123"/>
        <v/>
      </c>
      <c r="AA596" s="170" t="str">
        <f t="shared" si="124"/>
        <v/>
      </c>
      <c r="AB596" s="170" t="str">
        <f t="shared" si="125"/>
        <v/>
      </c>
      <c r="AC596" s="172" t="str">
        <f t="shared" si="126"/>
        <v/>
      </c>
    </row>
    <row r="597" spans="1:29" ht="15">
      <c r="A597" s="263"/>
      <c r="B597" s="245"/>
      <c r="C597" s="245"/>
      <c r="D597" s="193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70" t="str">
        <f t="shared" si="119"/>
        <v/>
      </c>
      <c r="U597" s="170" t="str">
        <f t="shared" si="120"/>
        <v/>
      </c>
      <c r="V597" s="170" t="str">
        <f t="shared" si="121"/>
        <v/>
      </c>
      <c r="W597" s="170" t="str">
        <f t="shared" si="122"/>
        <v/>
      </c>
      <c r="X597" s="170" t="str">
        <f t="shared" si="127"/>
        <v/>
      </c>
      <c r="Y597" s="170" t="str">
        <f t="shared" si="128"/>
        <v/>
      </c>
      <c r="Z597" s="171" t="str">
        <f t="shared" si="123"/>
        <v/>
      </c>
      <c r="AA597" s="170" t="str">
        <f t="shared" si="124"/>
        <v/>
      </c>
      <c r="AB597" s="170" t="str">
        <f t="shared" si="125"/>
        <v/>
      </c>
      <c r="AC597" s="172" t="str">
        <f t="shared" si="126"/>
        <v/>
      </c>
    </row>
    <row r="598" spans="1:29">
      <c r="A598" s="263">
        <v>75</v>
      </c>
      <c r="B598" s="252"/>
      <c r="C598" s="243"/>
      <c r="D598" s="184"/>
      <c r="E598" s="186"/>
      <c r="F598" s="186"/>
      <c r="G598" s="186"/>
      <c r="H598" s="186"/>
      <c r="I598" s="186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70" t="str">
        <f t="shared" si="119"/>
        <v/>
      </c>
      <c r="U598" s="170" t="str">
        <f t="shared" si="120"/>
        <v/>
      </c>
      <c r="V598" s="170" t="str">
        <f t="shared" si="121"/>
        <v/>
      </c>
      <c r="W598" s="170" t="str">
        <f t="shared" si="122"/>
        <v/>
      </c>
      <c r="X598" s="170" t="str">
        <f t="shared" si="127"/>
        <v/>
      </c>
      <c r="Y598" s="170" t="str">
        <f t="shared" si="128"/>
        <v/>
      </c>
      <c r="Z598" s="171" t="str">
        <f t="shared" si="123"/>
        <v/>
      </c>
      <c r="AA598" s="170" t="str">
        <f t="shared" si="124"/>
        <v/>
      </c>
      <c r="AB598" s="170" t="str">
        <f t="shared" si="125"/>
        <v/>
      </c>
      <c r="AC598" s="172" t="str">
        <f t="shared" si="126"/>
        <v/>
      </c>
    </row>
    <row r="599" spans="1:29">
      <c r="A599" s="263"/>
      <c r="B599" s="244"/>
      <c r="C599" s="244"/>
      <c r="D599" s="184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70" t="str">
        <f t="shared" si="119"/>
        <v/>
      </c>
      <c r="U599" s="170" t="str">
        <f t="shared" si="120"/>
        <v/>
      </c>
      <c r="V599" s="170" t="str">
        <f t="shared" si="121"/>
        <v/>
      </c>
      <c r="W599" s="170" t="str">
        <f t="shared" si="122"/>
        <v/>
      </c>
      <c r="X599" s="170" t="str">
        <f t="shared" si="127"/>
        <v/>
      </c>
      <c r="Y599" s="170" t="str">
        <f t="shared" si="128"/>
        <v/>
      </c>
      <c r="Z599" s="171" t="str">
        <f t="shared" si="123"/>
        <v/>
      </c>
      <c r="AA599" s="170" t="str">
        <f t="shared" si="124"/>
        <v/>
      </c>
      <c r="AB599" s="170" t="str">
        <f t="shared" si="125"/>
        <v/>
      </c>
      <c r="AC599" s="172" t="str">
        <f t="shared" si="126"/>
        <v/>
      </c>
    </row>
    <row r="600" spans="1:29" ht="15">
      <c r="A600" s="263"/>
      <c r="B600" s="244"/>
      <c r="C600" s="244"/>
      <c r="D600" s="193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70" t="str">
        <f t="shared" si="119"/>
        <v/>
      </c>
      <c r="U600" s="170" t="str">
        <f t="shared" si="120"/>
        <v/>
      </c>
      <c r="V600" s="170" t="str">
        <f t="shared" si="121"/>
        <v/>
      </c>
      <c r="W600" s="170" t="str">
        <f t="shared" si="122"/>
        <v/>
      </c>
      <c r="X600" s="170" t="str">
        <f t="shared" si="127"/>
        <v/>
      </c>
      <c r="Y600" s="170" t="str">
        <f t="shared" si="128"/>
        <v/>
      </c>
      <c r="Z600" s="171" t="str">
        <f t="shared" si="123"/>
        <v/>
      </c>
      <c r="AA600" s="170" t="str">
        <f t="shared" si="124"/>
        <v/>
      </c>
      <c r="AB600" s="170" t="str">
        <f t="shared" si="125"/>
        <v/>
      </c>
      <c r="AC600" s="172" t="str">
        <f t="shared" si="126"/>
        <v/>
      </c>
    </row>
    <row r="601" spans="1:29" ht="15">
      <c r="A601" s="263"/>
      <c r="B601" s="244"/>
      <c r="C601" s="244"/>
      <c r="D601" s="193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70" t="str">
        <f t="shared" si="119"/>
        <v/>
      </c>
      <c r="U601" s="170" t="str">
        <f t="shared" si="120"/>
        <v/>
      </c>
      <c r="V601" s="170" t="str">
        <f t="shared" si="121"/>
        <v/>
      </c>
      <c r="W601" s="170" t="str">
        <f t="shared" si="122"/>
        <v/>
      </c>
      <c r="X601" s="170" t="str">
        <f t="shared" si="127"/>
        <v/>
      </c>
      <c r="Y601" s="170" t="str">
        <f t="shared" si="128"/>
        <v/>
      </c>
      <c r="Z601" s="171" t="str">
        <f t="shared" si="123"/>
        <v/>
      </c>
      <c r="AA601" s="170" t="str">
        <f t="shared" si="124"/>
        <v/>
      </c>
      <c r="AB601" s="170" t="str">
        <f t="shared" si="125"/>
        <v/>
      </c>
      <c r="AC601" s="172" t="str">
        <f t="shared" si="126"/>
        <v/>
      </c>
    </row>
    <row r="602" spans="1:29" ht="15">
      <c r="A602" s="263"/>
      <c r="B602" s="244"/>
      <c r="C602" s="244"/>
      <c r="D602" s="193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70" t="str">
        <f t="shared" si="119"/>
        <v/>
      </c>
      <c r="U602" s="170" t="str">
        <f t="shared" si="120"/>
        <v/>
      </c>
      <c r="V602" s="170" t="str">
        <f t="shared" si="121"/>
        <v/>
      </c>
      <c r="W602" s="170" t="str">
        <f t="shared" si="122"/>
        <v/>
      </c>
      <c r="X602" s="170" t="str">
        <f t="shared" si="127"/>
        <v/>
      </c>
      <c r="Y602" s="170" t="str">
        <f t="shared" si="128"/>
        <v/>
      </c>
      <c r="Z602" s="171" t="str">
        <f t="shared" si="123"/>
        <v/>
      </c>
      <c r="AA602" s="170" t="str">
        <f t="shared" si="124"/>
        <v/>
      </c>
      <c r="AB602" s="170" t="str">
        <f t="shared" si="125"/>
        <v/>
      </c>
      <c r="AC602" s="172" t="str">
        <f t="shared" si="126"/>
        <v/>
      </c>
    </row>
    <row r="603" spans="1:29" ht="15">
      <c r="A603" s="263"/>
      <c r="B603" s="244"/>
      <c r="C603" s="244"/>
      <c r="D603" s="193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70" t="str">
        <f t="shared" si="119"/>
        <v/>
      </c>
      <c r="U603" s="170" t="str">
        <f t="shared" si="120"/>
        <v/>
      </c>
      <c r="V603" s="170" t="str">
        <f t="shared" si="121"/>
        <v/>
      </c>
      <c r="W603" s="170" t="str">
        <f t="shared" si="122"/>
        <v/>
      </c>
      <c r="X603" s="170" t="str">
        <f t="shared" si="127"/>
        <v/>
      </c>
      <c r="Y603" s="170" t="str">
        <f t="shared" si="128"/>
        <v/>
      </c>
      <c r="Z603" s="171" t="str">
        <f t="shared" si="123"/>
        <v/>
      </c>
      <c r="AA603" s="170" t="str">
        <f t="shared" si="124"/>
        <v/>
      </c>
      <c r="AB603" s="170" t="str">
        <f t="shared" si="125"/>
        <v/>
      </c>
      <c r="AC603" s="172" t="str">
        <f t="shared" si="126"/>
        <v/>
      </c>
    </row>
    <row r="604" spans="1:29" ht="15">
      <c r="A604" s="263"/>
      <c r="B604" s="244"/>
      <c r="C604" s="244"/>
      <c r="D604" s="193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70" t="str">
        <f t="shared" si="119"/>
        <v/>
      </c>
      <c r="U604" s="170" t="str">
        <f t="shared" si="120"/>
        <v/>
      </c>
      <c r="V604" s="170" t="str">
        <f t="shared" si="121"/>
        <v/>
      </c>
      <c r="W604" s="170" t="str">
        <f t="shared" si="122"/>
        <v/>
      </c>
      <c r="X604" s="170" t="str">
        <f t="shared" si="127"/>
        <v/>
      </c>
      <c r="Y604" s="170" t="str">
        <f t="shared" si="128"/>
        <v/>
      </c>
      <c r="Z604" s="171" t="str">
        <f t="shared" si="123"/>
        <v/>
      </c>
      <c r="AA604" s="170" t="str">
        <f t="shared" si="124"/>
        <v/>
      </c>
      <c r="AB604" s="170" t="str">
        <f t="shared" si="125"/>
        <v/>
      </c>
      <c r="AC604" s="172" t="str">
        <f t="shared" si="126"/>
        <v/>
      </c>
    </row>
    <row r="605" spans="1:29" ht="15">
      <c r="A605" s="263"/>
      <c r="B605" s="245"/>
      <c r="C605" s="245"/>
      <c r="D605" s="193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70" t="str">
        <f t="shared" si="119"/>
        <v/>
      </c>
      <c r="U605" s="170" t="str">
        <f t="shared" si="120"/>
        <v/>
      </c>
      <c r="V605" s="170" t="str">
        <f t="shared" si="121"/>
        <v/>
      </c>
      <c r="W605" s="170" t="str">
        <f t="shared" si="122"/>
        <v/>
      </c>
      <c r="X605" s="170" t="str">
        <f t="shared" si="127"/>
        <v/>
      </c>
      <c r="Y605" s="170" t="str">
        <f t="shared" si="128"/>
        <v/>
      </c>
      <c r="Z605" s="171" t="str">
        <f t="shared" si="123"/>
        <v/>
      </c>
      <c r="AA605" s="170" t="str">
        <f t="shared" si="124"/>
        <v/>
      </c>
      <c r="AB605" s="170" t="str">
        <f t="shared" si="125"/>
        <v/>
      </c>
      <c r="AC605" s="172" t="str">
        <f t="shared" si="126"/>
        <v/>
      </c>
    </row>
    <row r="606" spans="1:29">
      <c r="A606" s="263">
        <v>76</v>
      </c>
      <c r="B606" s="252"/>
      <c r="C606" s="243"/>
      <c r="D606" s="184"/>
      <c r="E606" s="186"/>
      <c r="F606" s="186"/>
      <c r="G606" s="186"/>
      <c r="H606" s="186"/>
      <c r="I606" s="186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70" t="str">
        <f t="shared" si="119"/>
        <v/>
      </c>
      <c r="U606" s="170" t="str">
        <f t="shared" si="120"/>
        <v/>
      </c>
      <c r="V606" s="170" t="str">
        <f t="shared" si="121"/>
        <v/>
      </c>
      <c r="W606" s="170" t="str">
        <f t="shared" si="122"/>
        <v/>
      </c>
      <c r="X606" s="170" t="str">
        <f t="shared" si="127"/>
        <v/>
      </c>
      <c r="Y606" s="170" t="str">
        <f t="shared" si="128"/>
        <v/>
      </c>
      <c r="Z606" s="171" t="str">
        <f t="shared" si="123"/>
        <v/>
      </c>
      <c r="AA606" s="170" t="str">
        <f t="shared" si="124"/>
        <v/>
      </c>
      <c r="AB606" s="170" t="str">
        <f t="shared" si="125"/>
        <v/>
      </c>
      <c r="AC606" s="172" t="str">
        <f t="shared" si="126"/>
        <v/>
      </c>
    </row>
    <row r="607" spans="1:29" ht="15">
      <c r="A607" s="263"/>
      <c r="B607" s="244"/>
      <c r="C607" s="244"/>
      <c r="D607" s="194"/>
      <c r="E607" s="169"/>
      <c r="F607" s="169"/>
      <c r="G607" s="169"/>
      <c r="H607" s="169"/>
      <c r="I607" s="186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70" t="str">
        <f t="shared" si="119"/>
        <v/>
      </c>
      <c r="U607" s="170" t="str">
        <f t="shared" si="120"/>
        <v/>
      </c>
      <c r="V607" s="170" t="str">
        <f t="shared" si="121"/>
        <v/>
      </c>
      <c r="W607" s="170" t="str">
        <f t="shared" si="122"/>
        <v/>
      </c>
      <c r="X607" s="170" t="str">
        <f t="shared" si="127"/>
        <v/>
      </c>
      <c r="Y607" s="170" t="str">
        <f t="shared" si="128"/>
        <v/>
      </c>
      <c r="Z607" s="171" t="str">
        <f t="shared" si="123"/>
        <v/>
      </c>
      <c r="AA607" s="170" t="str">
        <f t="shared" si="124"/>
        <v/>
      </c>
      <c r="AB607" s="170" t="str">
        <f t="shared" si="125"/>
        <v/>
      </c>
      <c r="AC607" s="172" t="str">
        <f t="shared" si="126"/>
        <v/>
      </c>
    </row>
    <row r="608" spans="1:29" ht="15">
      <c r="A608" s="263"/>
      <c r="B608" s="244"/>
      <c r="C608" s="244"/>
      <c r="D608" s="194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70" t="str">
        <f t="shared" si="119"/>
        <v/>
      </c>
      <c r="U608" s="170" t="str">
        <f t="shared" si="120"/>
        <v/>
      </c>
      <c r="V608" s="170" t="str">
        <f t="shared" si="121"/>
        <v/>
      </c>
      <c r="W608" s="170" t="str">
        <f t="shared" si="122"/>
        <v/>
      </c>
      <c r="X608" s="170" t="str">
        <f t="shared" si="127"/>
        <v/>
      </c>
      <c r="Y608" s="170" t="str">
        <f t="shared" si="128"/>
        <v/>
      </c>
      <c r="Z608" s="171" t="str">
        <f t="shared" si="123"/>
        <v/>
      </c>
      <c r="AA608" s="170" t="str">
        <f t="shared" si="124"/>
        <v/>
      </c>
      <c r="AB608" s="170" t="str">
        <f t="shared" si="125"/>
        <v/>
      </c>
      <c r="AC608" s="172" t="str">
        <f t="shared" si="126"/>
        <v/>
      </c>
    </row>
    <row r="609" spans="1:29" ht="15">
      <c r="A609" s="263"/>
      <c r="B609" s="244"/>
      <c r="C609" s="244"/>
      <c r="D609" s="193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70" t="str">
        <f t="shared" si="119"/>
        <v/>
      </c>
      <c r="U609" s="170" t="str">
        <f t="shared" si="120"/>
        <v/>
      </c>
      <c r="V609" s="170" t="str">
        <f t="shared" si="121"/>
        <v/>
      </c>
      <c r="W609" s="170" t="str">
        <f t="shared" si="122"/>
        <v/>
      </c>
      <c r="X609" s="170" t="str">
        <f t="shared" si="127"/>
        <v/>
      </c>
      <c r="Y609" s="170" t="str">
        <f t="shared" si="128"/>
        <v/>
      </c>
      <c r="Z609" s="171" t="str">
        <f t="shared" si="123"/>
        <v/>
      </c>
      <c r="AA609" s="170" t="str">
        <f t="shared" si="124"/>
        <v/>
      </c>
      <c r="AB609" s="170" t="str">
        <f t="shared" si="125"/>
        <v/>
      </c>
      <c r="AC609" s="172" t="str">
        <f t="shared" si="126"/>
        <v/>
      </c>
    </row>
    <row r="610" spans="1:29" ht="15">
      <c r="A610" s="263"/>
      <c r="B610" s="244"/>
      <c r="C610" s="244"/>
      <c r="D610" s="193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70" t="str">
        <f t="shared" si="119"/>
        <v/>
      </c>
      <c r="U610" s="170" t="str">
        <f t="shared" si="120"/>
        <v/>
      </c>
      <c r="V610" s="170" t="str">
        <f t="shared" si="121"/>
        <v/>
      </c>
      <c r="W610" s="170" t="str">
        <f t="shared" si="122"/>
        <v/>
      </c>
      <c r="X610" s="170" t="str">
        <f t="shared" si="127"/>
        <v/>
      </c>
      <c r="Y610" s="170" t="str">
        <f t="shared" si="128"/>
        <v/>
      </c>
      <c r="Z610" s="171" t="str">
        <f t="shared" si="123"/>
        <v/>
      </c>
      <c r="AA610" s="170" t="str">
        <f t="shared" si="124"/>
        <v/>
      </c>
      <c r="AB610" s="170" t="str">
        <f t="shared" si="125"/>
        <v/>
      </c>
      <c r="AC610" s="172" t="str">
        <f t="shared" si="126"/>
        <v/>
      </c>
    </row>
    <row r="611" spans="1:29" ht="15">
      <c r="A611" s="263"/>
      <c r="B611" s="244"/>
      <c r="C611" s="244"/>
      <c r="D611" s="193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70" t="str">
        <f t="shared" si="119"/>
        <v/>
      </c>
      <c r="U611" s="170" t="str">
        <f t="shared" si="120"/>
        <v/>
      </c>
      <c r="V611" s="170" t="str">
        <f t="shared" si="121"/>
        <v/>
      </c>
      <c r="W611" s="170" t="str">
        <f t="shared" si="122"/>
        <v/>
      </c>
      <c r="X611" s="170" t="str">
        <f t="shared" si="127"/>
        <v/>
      </c>
      <c r="Y611" s="170" t="str">
        <f t="shared" si="128"/>
        <v/>
      </c>
      <c r="Z611" s="171" t="str">
        <f t="shared" si="123"/>
        <v/>
      </c>
      <c r="AA611" s="170" t="str">
        <f t="shared" si="124"/>
        <v/>
      </c>
      <c r="AB611" s="170" t="str">
        <f t="shared" si="125"/>
        <v/>
      </c>
      <c r="AC611" s="172" t="str">
        <f t="shared" si="126"/>
        <v/>
      </c>
    </row>
    <row r="612" spans="1:29" ht="15">
      <c r="A612" s="263"/>
      <c r="B612" s="244"/>
      <c r="C612" s="244"/>
      <c r="D612" s="193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70" t="str">
        <f t="shared" si="119"/>
        <v/>
      </c>
      <c r="U612" s="170" t="str">
        <f t="shared" si="120"/>
        <v/>
      </c>
      <c r="V612" s="170" t="str">
        <f t="shared" si="121"/>
        <v/>
      </c>
      <c r="W612" s="170" t="str">
        <f t="shared" si="122"/>
        <v/>
      </c>
      <c r="X612" s="170" t="str">
        <f t="shared" si="127"/>
        <v/>
      </c>
      <c r="Y612" s="170" t="str">
        <f t="shared" si="128"/>
        <v/>
      </c>
      <c r="Z612" s="171" t="str">
        <f t="shared" si="123"/>
        <v/>
      </c>
      <c r="AA612" s="170" t="str">
        <f t="shared" si="124"/>
        <v/>
      </c>
      <c r="AB612" s="170" t="str">
        <f t="shared" si="125"/>
        <v/>
      </c>
      <c r="AC612" s="172" t="str">
        <f t="shared" si="126"/>
        <v/>
      </c>
    </row>
    <row r="613" spans="1:29" ht="15">
      <c r="A613" s="263"/>
      <c r="B613" s="245"/>
      <c r="C613" s="245"/>
      <c r="D613" s="193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70" t="str">
        <f t="shared" si="119"/>
        <v/>
      </c>
      <c r="U613" s="170" t="str">
        <f t="shared" si="120"/>
        <v/>
      </c>
      <c r="V613" s="170" t="str">
        <f t="shared" si="121"/>
        <v/>
      </c>
      <c r="W613" s="170" t="str">
        <f t="shared" si="122"/>
        <v/>
      </c>
      <c r="X613" s="170" t="str">
        <f t="shared" si="127"/>
        <v/>
      </c>
      <c r="Y613" s="170" t="str">
        <f t="shared" si="128"/>
        <v/>
      </c>
      <c r="Z613" s="171" t="str">
        <f t="shared" si="123"/>
        <v/>
      </c>
      <c r="AA613" s="170" t="str">
        <f t="shared" si="124"/>
        <v/>
      </c>
      <c r="AB613" s="170" t="str">
        <f t="shared" si="125"/>
        <v/>
      </c>
      <c r="AC613" s="172" t="str">
        <f t="shared" si="126"/>
        <v/>
      </c>
    </row>
    <row r="614" spans="1:29">
      <c r="A614" s="263">
        <v>77</v>
      </c>
      <c r="B614" s="252"/>
      <c r="C614" s="243"/>
      <c r="D614" s="184"/>
      <c r="E614" s="186"/>
      <c r="F614" s="186"/>
      <c r="G614" s="186"/>
      <c r="H614" s="186"/>
      <c r="I614" s="186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70" t="str">
        <f t="shared" si="119"/>
        <v/>
      </c>
      <c r="U614" s="170" t="str">
        <f t="shared" si="120"/>
        <v/>
      </c>
      <c r="V614" s="170" t="str">
        <f t="shared" si="121"/>
        <v/>
      </c>
      <c r="W614" s="170" t="str">
        <f t="shared" si="122"/>
        <v/>
      </c>
      <c r="X614" s="170" t="str">
        <f t="shared" si="127"/>
        <v/>
      </c>
      <c r="Y614" s="170" t="str">
        <f t="shared" si="128"/>
        <v/>
      </c>
      <c r="Z614" s="171" t="str">
        <f t="shared" si="123"/>
        <v/>
      </c>
      <c r="AA614" s="170" t="str">
        <f t="shared" si="124"/>
        <v/>
      </c>
      <c r="AB614" s="170" t="str">
        <f t="shared" si="125"/>
        <v/>
      </c>
      <c r="AC614" s="172" t="str">
        <f t="shared" si="126"/>
        <v/>
      </c>
    </row>
    <row r="615" spans="1:29">
      <c r="A615" s="263"/>
      <c r="B615" s="244"/>
      <c r="C615" s="244"/>
      <c r="D615" s="184"/>
      <c r="E615" s="186"/>
      <c r="F615" s="186"/>
      <c r="G615" s="186"/>
      <c r="H615" s="186"/>
      <c r="I615" s="186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70" t="str">
        <f t="shared" si="119"/>
        <v/>
      </c>
      <c r="U615" s="170" t="str">
        <f t="shared" si="120"/>
        <v/>
      </c>
      <c r="V615" s="170" t="str">
        <f t="shared" si="121"/>
        <v/>
      </c>
      <c r="W615" s="170" t="str">
        <f t="shared" si="122"/>
        <v/>
      </c>
      <c r="X615" s="170" t="str">
        <f t="shared" si="127"/>
        <v/>
      </c>
      <c r="Y615" s="170" t="str">
        <f t="shared" si="128"/>
        <v/>
      </c>
      <c r="Z615" s="171" t="str">
        <f t="shared" si="123"/>
        <v/>
      </c>
      <c r="AA615" s="170" t="str">
        <f t="shared" si="124"/>
        <v/>
      </c>
      <c r="AB615" s="170" t="str">
        <f t="shared" si="125"/>
        <v/>
      </c>
      <c r="AC615" s="172" t="str">
        <f t="shared" si="126"/>
        <v/>
      </c>
    </row>
    <row r="616" spans="1:29">
      <c r="A616" s="263"/>
      <c r="B616" s="244"/>
      <c r="C616" s="244"/>
      <c r="D616" s="184"/>
      <c r="E616" s="186"/>
      <c r="F616" s="186"/>
      <c r="G616" s="186"/>
      <c r="H616" s="186"/>
      <c r="I616" s="186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70" t="str">
        <f t="shared" si="119"/>
        <v/>
      </c>
      <c r="U616" s="170" t="str">
        <f t="shared" si="120"/>
        <v/>
      </c>
      <c r="V616" s="170" t="str">
        <f t="shared" si="121"/>
        <v/>
      </c>
      <c r="W616" s="170" t="str">
        <f t="shared" si="122"/>
        <v/>
      </c>
      <c r="X616" s="170" t="str">
        <f t="shared" si="127"/>
        <v/>
      </c>
      <c r="Y616" s="170" t="str">
        <f t="shared" si="128"/>
        <v/>
      </c>
      <c r="Z616" s="171" t="str">
        <f t="shared" si="123"/>
        <v/>
      </c>
      <c r="AA616" s="170" t="str">
        <f t="shared" si="124"/>
        <v/>
      </c>
      <c r="AB616" s="170" t="str">
        <f t="shared" si="125"/>
        <v/>
      </c>
      <c r="AC616" s="172" t="str">
        <f t="shared" si="126"/>
        <v/>
      </c>
    </row>
    <row r="617" spans="1:29" ht="15">
      <c r="A617" s="263"/>
      <c r="B617" s="244"/>
      <c r="C617" s="244"/>
      <c r="D617" s="193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70" t="str">
        <f t="shared" si="119"/>
        <v/>
      </c>
      <c r="U617" s="170" t="str">
        <f t="shared" si="120"/>
        <v/>
      </c>
      <c r="V617" s="170" t="str">
        <f t="shared" si="121"/>
        <v/>
      </c>
      <c r="W617" s="170" t="str">
        <f t="shared" si="122"/>
        <v/>
      </c>
      <c r="X617" s="170" t="str">
        <f t="shared" si="127"/>
        <v/>
      </c>
      <c r="Y617" s="170" t="str">
        <f t="shared" si="128"/>
        <v/>
      </c>
      <c r="Z617" s="171" t="str">
        <f t="shared" si="123"/>
        <v/>
      </c>
      <c r="AA617" s="170" t="str">
        <f t="shared" si="124"/>
        <v/>
      </c>
      <c r="AB617" s="170" t="str">
        <f t="shared" si="125"/>
        <v/>
      </c>
      <c r="AC617" s="172" t="str">
        <f t="shared" si="126"/>
        <v/>
      </c>
    </row>
    <row r="618" spans="1:29" ht="15">
      <c r="A618" s="263"/>
      <c r="B618" s="244"/>
      <c r="C618" s="244"/>
      <c r="D618" s="193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70" t="str">
        <f t="shared" si="119"/>
        <v/>
      </c>
      <c r="U618" s="170" t="str">
        <f t="shared" si="120"/>
        <v/>
      </c>
      <c r="V618" s="170" t="str">
        <f t="shared" si="121"/>
        <v/>
      </c>
      <c r="W618" s="170" t="str">
        <f t="shared" si="122"/>
        <v/>
      </c>
      <c r="X618" s="170" t="str">
        <f t="shared" si="127"/>
        <v/>
      </c>
      <c r="Y618" s="170" t="str">
        <f t="shared" si="128"/>
        <v/>
      </c>
      <c r="Z618" s="171" t="str">
        <f t="shared" si="123"/>
        <v/>
      </c>
      <c r="AA618" s="170" t="str">
        <f t="shared" si="124"/>
        <v/>
      </c>
      <c r="AB618" s="170" t="str">
        <f t="shared" si="125"/>
        <v/>
      </c>
      <c r="AC618" s="172" t="str">
        <f t="shared" si="126"/>
        <v/>
      </c>
    </row>
    <row r="619" spans="1:29" ht="15">
      <c r="A619" s="263"/>
      <c r="B619" s="244"/>
      <c r="C619" s="244"/>
      <c r="D619" s="193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70" t="str">
        <f t="shared" si="119"/>
        <v/>
      </c>
      <c r="U619" s="170" t="str">
        <f t="shared" si="120"/>
        <v/>
      </c>
      <c r="V619" s="170" t="str">
        <f t="shared" si="121"/>
        <v/>
      </c>
      <c r="W619" s="170" t="str">
        <f t="shared" si="122"/>
        <v/>
      </c>
      <c r="X619" s="170" t="str">
        <f t="shared" si="127"/>
        <v/>
      </c>
      <c r="Y619" s="170" t="str">
        <f t="shared" si="128"/>
        <v/>
      </c>
      <c r="Z619" s="171" t="str">
        <f t="shared" si="123"/>
        <v/>
      </c>
      <c r="AA619" s="170" t="str">
        <f t="shared" si="124"/>
        <v/>
      </c>
      <c r="AB619" s="170" t="str">
        <f t="shared" si="125"/>
        <v/>
      </c>
      <c r="AC619" s="172" t="str">
        <f t="shared" si="126"/>
        <v/>
      </c>
    </row>
    <row r="620" spans="1:29" ht="15">
      <c r="A620" s="263"/>
      <c r="B620" s="244"/>
      <c r="C620" s="244"/>
      <c r="D620" s="193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70" t="str">
        <f t="shared" si="119"/>
        <v/>
      </c>
      <c r="U620" s="170" t="str">
        <f t="shared" si="120"/>
        <v/>
      </c>
      <c r="V620" s="170" t="str">
        <f t="shared" si="121"/>
        <v/>
      </c>
      <c r="W620" s="170" t="str">
        <f t="shared" si="122"/>
        <v/>
      </c>
      <c r="X620" s="170" t="str">
        <f t="shared" si="127"/>
        <v/>
      </c>
      <c r="Y620" s="170" t="str">
        <f t="shared" si="128"/>
        <v/>
      </c>
      <c r="Z620" s="171" t="str">
        <f t="shared" si="123"/>
        <v/>
      </c>
      <c r="AA620" s="170" t="str">
        <f t="shared" si="124"/>
        <v/>
      </c>
      <c r="AB620" s="170" t="str">
        <f t="shared" si="125"/>
        <v/>
      </c>
      <c r="AC620" s="172" t="str">
        <f t="shared" si="126"/>
        <v/>
      </c>
    </row>
    <row r="621" spans="1:29" ht="15">
      <c r="A621" s="263"/>
      <c r="B621" s="245"/>
      <c r="C621" s="245"/>
      <c r="D621" s="193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70" t="str">
        <f t="shared" si="119"/>
        <v/>
      </c>
      <c r="U621" s="170" t="str">
        <f t="shared" si="120"/>
        <v/>
      </c>
      <c r="V621" s="170" t="str">
        <f t="shared" si="121"/>
        <v/>
      </c>
      <c r="W621" s="170" t="str">
        <f t="shared" si="122"/>
        <v/>
      </c>
      <c r="X621" s="170" t="str">
        <f t="shared" si="127"/>
        <v/>
      </c>
      <c r="Y621" s="170" t="str">
        <f t="shared" si="128"/>
        <v/>
      </c>
      <c r="Z621" s="171" t="str">
        <f t="shared" si="123"/>
        <v/>
      </c>
      <c r="AA621" s="170" t="str">
        <f t="shared" si="124"/>
        <v/>
      </c>
      <c r="AB621" s="170" t="str">
        <f t="shared" si="125"/>
        <v/>
      </c>
      <c r="AC621" s="172" t="str">
        <f t="shared" si="126"/>
        <v/>
      </c>
    </row>
    <row r="622" spans="1:29">
      <c r="A622" s="263">
        <v>78</v>
      </c>
      <c r="B622" s="253"/>
      <c r="C622" s="246"/>
      <c r="D622" s="201"/>
      <c r="E622" s="202"/>
      <c r="F622" s="202"/>
      <c r="G622" s="202"/>
      <c r="H622" s="202"/>
      <c r="I622" s="202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70" t="str">
        <f t="shared" ref="T622:T637" si="129">IF(COUNT(E622:S622)=0,"",SUM(E622:S622))</f>
        <v/>
      </c>
      <c r="U622" s="170" t="str">
        <f t="shared" ref="U622:U637" si="130">IF(COUNT(E622:S622)=0,"",SUMSQ(E622:S622))</f>
        <v/>
      </c>
      <c r="V622" s="170" t="str">
        <f t="shared" ref="V622:V637" si="131">IF(COUNT(E622:S622)=0,"",AVERAGE(E622:S622))</f>
        <v/>
      </c>
      <c r="W622" s="170" t="str">
        <f t="shared" ref="W622:W637" si="132">IF(COUNT(E622:S622)=0,"",STDEVP(E622:S622))</f>
        <v/>
      </c>
      <c r="X622" s="170" t="str">
        <f t="shared" si="127"/>
        <v/>
      </c>
      <c r="Y622" s="170" t="str">
        <f t="shared" si="128"/>
        <v/>
      </c>
      <c r="Z622" s="171" t="str">
        <f t="shared" ref="Z622:Z637" si="133">IF(COUNT(E622:S622)=0,"",SUM(IF(AND(E622&gt;X622,E622&lt;Y622),E622,0),IF(AND(F622&gt;X622,F622&lt;Y622),F622,0),IF(AND(G622&gt;X622,G622&lt;Y622),G622,0),IF(AND(H622&gt;X622,H622&lt;Y622),H622,0),IF(AND(I622&gt;X622,I622&lt;Y622),I622,0),IF(AND(J622&gt;X622,J622&lt;Y622),J622,0),IF(AND(K622&gt;X622,K622&lt;Y622),K622,0),IF(AND(L622&gt;X622,L622&lt;Y622),L622,0),IF(AND(M622&gt;X622,M622&lt;Y622),M622,0),IF(AND(N622&gt;X622,N622&lt;Y622),N622,0),IF(AND(O622&gt;X622,O622&lt;Y622),O622,0),IF(AND(P622&gt;X622,P622&lt;Y622),P622,0),IF(AND(Q622&gt;X622,Q622&lt;Y622),Q622,0),IF(AND(R622&gt;X622,R622&lt;Y622),R622,0),IF(AND(S622&gt;X622,S622&lt;Y622),S622,0))/SUM(IF(AND(E622&gt;X622,E622&lt;Y622,E622&lt;&gt;0),1,0),IF(AND(F622&gt;X622,F622&lt;Y622,F622&lt;&gt;0),1,0),IF(AND(G622&gt;X622,G622&lt;Y622,G622&lt;&gt;0),1,0),IF(AND(H622&gt;X622,H622&lt;Y622,H622&lt;&gt;0),1,0),IF(AND(I622&gt;X622,I622&lt;Y622,I622&lt;&gt;0),1,0),IF(AND(J622&gt;X622,J622&lt;Y622,J622&lt;&gt;0),1,0),IF(AND(K622&gt;X622,K622&lt;Y622,K622&lt;&gt;0),1,0),IF(AND(L622&gt;X622,L622&lt;Y622,L622&lt;&gt;0),1,0),IF(AND(M622&gt;X622,M622&lt;Y622,M622&lt;&gt;0),1,0),IF(AND(N622&gt;X622,N622&lt;Y622,N622&lt;&gt;0),1,0),IF(AND(O622&gt;X622,O622&lt;Y622,O622&lt;&gt;0),1,0),IF(AND(P622&gt;X622,P622&lt;Y622,P622&lt;&gt;0),1,0),IF(AND(Q622&gt;X622,Q622&lt;Y622,Q622&lt;&gt;0),1,0),IF(AND(R622&gt;X622,R622&lt;Y622,R622&lt;&gt;0),1,0),IF(AND(S622&gt;X622,S622&lt;Y622,S622&lt;&gt;0),1,0)))</f>
        <v/>
      </c>
      <c r="AA622" s="170" t="str">
        <f t="shared" ref="AA622:AA637" si="134">IF(COUNT(E622:S622)=0,"",SUM(IF(AND(E622&gt;X622,E622&lt;Y622),E622,0),IF(AND(F622&gt;X622,F622&lt;Y622),F622,0),IF(AND(G622&gt;X622,G622&lt;Y622),G622,0),IF(AND(H622&gt;X622,H622&lt;Y622),H622,0),IF(AND(I622&gt;X622,I622&lt;Y622),I622,0),IF(AND(J622&gt;X622,J622&lt;Y622),J622,0),IF(AND(K622&gt;X622,K622&lt;Y622),K622,0),IF(AND(L622&gt;X622,L622&lt;Y622),L622,0),IF(AND(M622&gt;X622,M622&lt;Y622),M622,0),IF(AND(N622&gt;X622,N622&lt;Y622),N622,0),IF(AND(O622&gt;X622,O622&lt;Y622),O622,0),IF(AND(P622&gt;X622,P622&lt;Y622),P622,0),IF(AND(Q622&gt;X622,Q622&lt;Y622),Q622,0),IF(AND(R622&gt;X622,R622&lt;Y622),R622,0),IF(AND(S622&gt;X622,S622&lt;Y622),S622,0)))</f>
        <v/>
      </c>
      <c r="AB622" s="170" t="str">
        <f t="shared" ref="AB622:AB637" si="135">IF(COUNT(E622:S622)=0,"",SUMSQ(IF(AND(E622&gt;X622,E622&lt;Y622),E622,0),IF(AND(F622&gt;X622,F622&lt;Y622),F622,0),IF(AND(G622&gt;X622,G622&lt;Y622),G622,0),IF(AND(H622&gt;X622,H622&lt;Y622),H622,0),IF(AND(I622&gt;X622,I622&lt;Y622),I622,0),IF(AND(J622&gt;X622,J622&lt;Y622),J622,0),IF(AND(K622&gt;X622,K622&lt;Y622),K622,0),IF(AND(L622&gt;X622,L622&lt;Y622),L622,0),IF(AND(M622&gt;X622,M622&lt;Y622),M622,0),IF(AND(N622&gt;X622,N622&lt;Y622),N622,0),IF(AND(O622&gt;X622,O622&lt;Y622),O622,0),IF(AND(P622&gt;X622,P622&lt;Y622),P622,0),IF(AND(Q622&gt;X622,Q622&lt;Y622),Q622,0),IF(AND(R622&gt;X622,R622&lt;Y622),R622,0),IF(AND(S622&gt;X622,S622&lt;Y622),S622,0)))</f>
        <v/>
      </c>
      <c r="AC622" s="172" t="str">
        <f t="shared" ref="AC622:AC637" si="136">IF(COUNT(E622:S622)=0,"",POWER(40*SQRT(SUM(IF(AND(E622&gt;X622,E622&lt;Y622),1,0),IF(AND(F622&gt;X622,F622&lt;Y622),1,0),IF(AND(G622&gt;X622,G622&lt;Y622),1,0),IF(AND(H622&gt;X622,H622&lt;Y622),1,0),IF(AND(I622&gt;X622,I622&lt;Y622),1,0),IF(AND(J622&gt;X622,J622&lt;Y622),1,0),IF(AND(K622&gt;X622,K622&lt;Y622),1,0),IF(AND(L622&gt;X622,L622&lt;Y622),1,0),IF(AND(M622&gt;X622,M622&lt;Y622),1,0),IF(AND(N622&gt;X622,N622&lt;Y622),1,0),IF(AND(O622&gt;X622,O622&lt;Y622),1,0),IF(AND(P622&gt;X622,P622&lt;Y622),1,0),IF(AND(Q622&gt;X622,Q622&lt;Y622),1,0),IF(AND(R622&gt;X622,R622&lt;Y622),1,0),IF(AND(S622&gt;X622,S622&lt;Y622),1,0))*AB622-POWER(AA622,2))/AA622,2))</f>
        <v/>
      </c>
    </row>
    <row r="623" spans="1:29" ht="15">
      <c r="A623" s="263"/>
      <c r="B623" s="254"/>
      <c r="C623" s="247"/>
      <c r="D623" s="203"/>
      <c r="E623" s="204"/>
      <c r="F623" s="204"/>
      <c r="G623" s="204"/>
      <c r="H623" s="204"/>
      <c r="I623" s="204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70" t="str">
        <f t="shared" si="129"/>
        <v/>
      </c>
      <c r="U623" s="170" t="str">
        <f t="shared" si="130"/>
        <v/>
      </c>
      <c r="V623" s="170" t="str">
        <f t="shared" si="131"/>
        <v/>
      </c>
      <c r="W623" s="170" t="str">
        <f t="shared" si="132"/>
        <v/>
      </c>
      <c r="X623" s="170" t="str">
        <f t="shared" si="127"/>
        <v/>
      </c>
      <c r="Y623" s="170" t="str">
        <f t="shared" si="128"/>
        <v/>
      </c>
      <c r="Z623" s="171" t="str">
        <f t="shared" si="133"/>
        <v/>
      </c>
      <c r="AA623" s="170" t="str">
        <f t="shared" si="134"/>
        <v/>
      </c>
      <c r="AB623" s="170" t="str">
        <f t="shared" si="135"/>
        <v/>
      </c>
      <c r="AC623" s="172" t="str">
        <f t="shared" si="136"/>
        <v/>
      </c>
    </row>
    <row r="624" spans="1:29" ht="15">
      <c r="A624" s="263"/>
      <c r="B624" s="254"/>
      <c r="C624" s="247"/>
      <c r="D624" s="203"/>
      <c r="E624" s="204"/>
      <c r="F624" s="204"/>
      <c r="G624" s="204"/>
      <c r="H624" s="204"/>
      <c r="I624" s="204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70" t="str">
        <f t="shared" si="129"/>
        <v/>
      </c>
      <c r="U624" s="170" t="str">
        <f t="shared" si="130"/>
        <v/>
      </c>
      <c r="V624" s="170" t="str">
        <f t="shared" si="131"/>
        <v/>
      </c>
      <c r="W624" s="170" t="str">
        <f t="shared" si="132"/>
        <v/>
      </c>
      <c r="X624" s="170" t="str">
        <f t="shared" si="127"/>
        <v/>
      </c>
      <c r="Y624" s="170" t="str">
        <f t="shared" si="128"/>
        <v/>
      </c>
      <c r="Z624" s="171" t="str">
        <f t="shared" si="133"/>
        <v/>
      </c>
      <c r="AA624" s="170" t="str">
        <f t="shared" si="134"/>
        <v/>
      </c>
      <c r="AB624" s="170" t="str">
        <f t="shared" si="135"/>
        <v/>
      </c>
      <c r="AC624" s="172" t="str">
        <f t="shared" si="136"/>
        <v/>
      </c>
    </row>
    <row r="625" spans="1:29" ht="15">
      <c r="A625" s="263"/>
      <c r="B625" s="254"/>
      <c r="C625" s="247"/>
      <c r="D625" s="203"/>
      <c r="E625" s="204"/>
      <c r="F625" s="204"/>
      <c r="G625" s="204"/>
      <c r="H625" s="204"/>
      <c r="I625" s="204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70" t="str">
        <f t="shared" si="129"/>
        <v/>
      </c>
      <c r="U625" s="170" t="str">
        <f t="shared" si="130"/>
        <v/>
      </c>
      <c r="V625" s="170" t="str">
        <f t="shared" si="131"/>
        <v/>
      </c>
      <c r="W625" s="170" t="str">
        <f t="shared" si="132"/>
        <v/>
      </c>
      <c r="X625" s="170" t="str">
        <f t="shared" si="127"/>
        <v/>
      </c>
      <c r="Y625" s="170" t="str">
        <f t="shared" si="128"/>
        <v/>
      </c>
      <c r="Z625" s="171" t="str">
        <f t="shared" si="133"/>
        <v/>
      </c>
      <c r="AA625" s="170" t="str">
        <f t="shared" si="134"/>
        <v/>
      </c>
      <c r="AB625" s="170" t="str">
        <f t="shared" si="135"/>
        <v/>
      </c>
      <c r="AC625" s="172" t="str">
        <f t="shared" si="136"/>
        <v/>
      </c>
    </row>
    <row r="626" spans="1:29" ht="15">
      <c r="A626" s="263"/>
      <c r="B626" s="254"/>
      <c r="C626" s="247"/>
      <c r="D626" s="203"/>
      <c r="E626" s="204"/>
      <c r="F626" s="204"/>
      <c r="G626" s="204"/>
      <c r="H626" s="204"/>
      <c r="I626" s="204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70" t="str">
        <f t="shared" si="129"/>
        <v/>
      </c>
      <c r="U626" s="170" t="str">
        <f t="shared" si="130"/>
        <v/>
      </c>
      <c r="V626" s="170" t="str">
        <f t="shared" si="131"/>
        <v/>
      </c>
      <c r="W626" s="170" t="str">
        <f t="shared" si="132"/>
        <v/>
      </c>
      <c r="X626" s="170" t="str">
        <f t="shared" si="127"/>
        <v/>
      </c>
      <c r="Y626" s="170" t="str">
        <f t="shared" si="128"/>
        <v/>
      </c>
      <c r="Z626" s="171" t="str">
        <f t="shared" si="133"/>
        <v/>
      </c>
      <c r="AA626" s="170" t="str">
        <f t="shared" si="134"/>
        <v/>
      </c>
      <c r="AB626" s="170" t="str">
        <f t="shared" si="135"/>
        <v/>
      </c>
      <c r="AC626" s="172" t="str">
        <f t="shared" si="136"/>
        <v/>
      </c>
    </row>
    <row r="627" spans="1:29" ht="15">
      <c r="A627" s="263"/>
      <c r="B627" s="254"/>
      <c r="C627" s="247"/>
      <c r="D627" s="203"/>
      <c r="E627" s="204"/>
      <c r="F627" s="204"/>
      <c r="G627" s="204"/>
      <c r="H627" s="204"/>
      <c r="I627" s="204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70" t="str">
        <f t="shared" si="129"/>
        <v/>
      </c>
      <c r="U627" s="170" t="str">
        <f t="shared" si="130"/>
        <v/>
      </c>
      <c r="V627" s="170" t="str">
        <f t="shared" si="131"/>
        <v/>
      </c>
      <c r="W627" s="170" t="str">
        <f t="shared" si="132"/>
        <v/>
      </c>
      <c r="X627" s="170" t="str">
        <f t="shared" si="127"/>
        <v/>
      </c>
      <c r="Y627" s="170" t="str">
        <f t="shared" si="128"/>
        <v/>
      </c>
      <c r="Z627" s="171" t="str">
        <f t="shared" si="133"/>
        <v/>
      </c>
      <c r="AA627" s="170" t="str">
        <f t="shared" si="134"/>
        <v/>
      </c>
      <c r="AB627" s="170" t="str">
        <f t="shared" si="135"/>
        <v/>
      </c>
      <c r="AC627" s="172" t="str">
        <f t="shared" si="136"/>
        <v/>
      </c>
    </row>
    <row r="628" spans="1:29" ht="15">
      <c r="A628" s="263"/>
      <c r="B628" s="254"/>
      <c r="C628" s="247"/>
      <c r="D628" s="203"/>
      <c r="E628" s="204"/>
      <c r="F628" s="204"/>
      <c r="G628" s="204"/>
      <c r="H628" s="204"/>
      <c r="I628" s="204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70" t="str">
        <f t="shared" si="129"/>
        <v/>
      </c>
      <c r="U628" s="170" t="str">
        <f t="shared" si="130"/>
        <v/>
      </c>
      <c r="V628" s="170" t="str">
        <f t="shared" si="131"/>
        <v/>
      </c>
      <c r="W628" s="170" t="str">
        <f t="shared" si="132"/>
        <v/>
      </c>
      <c r="X628" s="170" t="str">
        <f t="shared" si="127"/>
        <v/>
      </c>
      <c r="Y628" s="170" t="str">
        <f t="shared" si="128"/>
        <v/>
      </c>
      <c r="Z628" s="171" t="str">
        <f t="shared" si="133"/>
        <v/>
      </c>
      <c r="AA628" s="170" t="str">
        <f t="shared" si="134"/>
        <v/>
      </c>
      <c r="AB628" s="170" t="str">
        <f t="shared" si="135"/>
        <v/>
      </c>
      <c r="AC628" s="172" t="str">
        <f t="shared" si="136"/>
        <v/>
      </c>
    </row>
    <row r="629" spans="1:29" ht="15">
      <c r="A629" s="263"/>
      <c r="B629" s="255"/>
      <c r="C629" s="248"/>
      <c r="D629" s="203"/>
      <c r="E629" s="204"/>
      <c r="F629" s="204"/>
      <c r="G629" s="204"/>
      <c r="H629" s="204"/>
      <c r="I629" s="204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70" t="str">
        <f t="shared" si="129"/>
        <v/>
      </c>
      <c r="U629" s="170" t="str">
        <f t="shared" si="130"/>
        <v/>
      </c>
      <c r="V629" s="170" t="str">
        <f t="shared" si="131"/>
        <v/>
      </c>
      <c r="W629" s="170" t="str">
        <f t="shared" si="132"/>
        <v/>
      </c>
      <c r="X629" s="170" t="str">
        <f t="shared" si="127"/>
        <v/>
      </c>
      <c r="Y629" s="170" t="str">
        <f t="shared" si="128"/>
        <v/>
      </c>
      <c r="Z629" s="171" t="str">
        <f t="shared" si="133"/>
        <v/>
      </c>
      <c r="AA629" s="170" t="str">
        <f t="shared" si="134"/>
        <v/>
      </c>
      <c r="AB629" s="170" t="str">
        <f t="shared" si="135"/>
        <v/>
      </c>
      <c r="AC629" s="172" t="str">
        <f t="shared" si="136"/>
        <v/>
      </c>
    </row>
    <row r="630" spans="1:29">
      <c r="A630" s="263">
        <v>79</v>
      </c>
      <c r="B630" s="256"/>
      <c r="C630" s="246"/>
      <c r="D630" s="201"/>
      <c r="E630" s="202"/>
      <c r="F630" s="202"/>
      <c r="G630" s="202"/>
      <c r="H630" s="202"/>
      <c r="I630" s="202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70" t="str">
        <f t="shared" si="129"/>
        <v/>
      </c>
      <c r="U630" s="170" t="str">
        <f t="shared" si="130"/>
        <v/>
      </c>
      <c r="V630" s="170" t="str">
        <f t="shared" si="131"/>
        <v/>
      </c>
      <c r="W630" s="170" t="str">
        <f t="shared" si="132"/>
        <v/>
      </c>
      <c r="X630" s="170" t="str">
        <f t="shared" si="127"/>
        <v/>
      </c>
      <c r="Y630" s="170" t="str">
        <f t="shared" si="128"/>
        <v/>
      </c>
      <c r="Z630" s="171" t="str">
        <f t="shared" si="133"/>
        <v/>
      </c>
      <c r="AA630" s="170" t="str">
        <f t="shared" si="134"/>
        <v/>
      </c>
      <c r="AB630" s="170" t="str">
        <f t="shared" si="135"/>
        <v/>
      </c>
      <c r="AC630" s="172" t="str">
        <f t="shared" si="136"/>
        <v/>
      </c>
    </row>
    <row r="631" spans="1:29" ht="15">
      <c r="A631" s="263"/>
      <c r="B631" s="257"/>
      <c r="C631" s="247"/>
      <c r="D631" s="203"/>
      <c r="E631" s="204"/>
      <c r="F631" s="204"/>
      <c r="G631" s="204"/>
      <c r="H631" s="204"/>
      <c r="I631" s="204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70" t="str">
        <f t="shared" si="129"/>
        <v/>
      </c>
      <c r="U631" s="170" t="str">
        <f t="shared" si="130"/>
        <v/>
      </c>
      <c r="V631" s="170" t="str">
        <f t="shared" si="131"/>
        <v/>
      </c>
      <c r="W631" s="170" t="str">
        <f t="shared" si="132"/>
        <v/>
      </c>
      <c r="X631" s="170" t="str">
        <f t="shared" si="127"/>
        <v/>
      </c>
      <c r="Y631" s="170" t="str">
        <f t="shared" si="128"/>
        <v/>
      </c>
      <c r="Z631" s="171" t="str">
        <f t="shared" si="133"/>
        <v/>
      </c>
      <c r="AA631" s="170" t="str">
        <f t="shared" si="134"/>
        <v/>
      </c>
      <c r="AB631" s="170" t="str">
        <f t="shared" si="135"/>
        <v/>
      </c>
      <c r="AC631" s="172" t="str">
        <f t="shared" si="136"/>
        <v/>
      </c>
    </row>
    <row r="632" spans="1:29" ht="15">
      <c r="A632" s="263"/>
      <c r="B632" s="257"/>
      <c r="C632" s="247"/>
      <c r="D632" s="203"/>
      <c r="E632" s="204"/>
      <c r="F632" s="204"/>
      <c r="G632" s="204"/>
      <c r="H632" s="204"/>
      <c r="I632" s="204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70" t="str">
        <f t="shared" si="129"/>
        <v/>
      </c>
      <c r="U632" s="170" t="str">
        <f t="shared" si="130"/>
        <v/>
      </c>
      <c r="V632" s="170" t="str">
        <f t="shared" si="131"/>
        <v/>
      </c>
      <c r="W632" s="170" t="str">
        <f t="shared" si="132"/>
        <v/>
      </c>
      <c r="X632" s="170" t="str">
        <f t="shared" si="127"/>
        <v/>
      </c>
      <c r="Y632" s="170" t="str">
        <f t="shared" si="128"/>
        <v/>
      </c>
      <c r="Z632" s="171" t="str">
        <f t="shared" si="133"/>
        <v/>
      </c>
      <c r="AA632" s="170" t="str">
        <f t="shared" si="134"/>
        <v/>
      </c>
      <c r="AB632" s="170" t="str">
        <f t="shared" si="135"/>
        <v/>
      </c>
      <c r="AC632" s="172" t="str">
        <f t="shared" si="136"/>
        <v/>
      </c>
    </row>
    <row r="633" spans="1:29" ht="15">
      <c r="A633" s="263"/>
      <c r="B633" s="257"/>
      <c r="C633" s="247"/>
      <c r="D633" s="203"/>
      <c r="E633" s="204"/>
      <c r="F633" s="204"/>
      <c r="G633" s="204"/>
      <c r="H633" s="204"/>
      <c r="I633" s="204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70" t="str">
        <f t="shared" si="129"/>
        <v/>
      </c>
      <c r="U633" s="170" t="str">
        <f t="shared" si="130"/>
        <v/>
      </c>
      <c r="V633" s="170" t="str">
        <f t="shared" si="131"/>
        <v/>
      </c>
      <c r="W633" s="170" t="str">
        <f t="shared" si="132"/>
        <v/>
      </c>
      <c r="X633" s="170" t="str">
        <f t="shared" si="127"/>
        <v/>
      </c>
      <c r="Y633" s="170" t="str">
        <f t="shared" si="128"/>
        <v/>
      </c>
      <c r="Z633" s="171" t="str">
        <f t="shared" si="133"/>
        <v/>
      </c>
      <c r="AA633" s="170" t="str">
        <f t="shared" si="134"/>
        <v/>
      </c>
      <c r="AB633" s="170" t="str">
        <f t="shared" si="135"/>
        <v/>
      </c>
      <c r="AC633" s="172" t="str">
        <f t="shared" si="136"/>
        <v/>
      </c>
    </row>
    <row r="634" spans="1:29" ht="15">
      <c r="A634" s="263"/>
      <c r="B634" s="257"/>
      <c r="C634" s="247"/>
      <c r="D634" s="203"/>
      <c r="E634" s="204"/>
      <c r="F634" s="204"/>
      <c r="G634" s="204"/>
      <c r="H634" s="204"/>
      <c r="I634" s="204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70" t="str">
        <f t="shared" si="129"/>
        <v/>
      </c>
      <c r="U634" s="170" t="str">
        <f t="shared" si="130"/>
        <v/>
      </c>
      <c r="V634" s="170" t="str">
        <f t="shared" si="131"/>
        <v/>
      </c>
      <c r="W634" s="170" t="str">
        <f t="shared" si="132"/>
        <v/>
      </c>
      <c r="X634" s="170" t="str">
        <f t="shared" si="127"/>
        <v/>
      </c>
      <c r="Y634" s="170" t="str">
        <f t="shared" si="128"/>
        <v/>
      </c>
      <c r="Z634" s="171" t="str">
        <f t="shared" si="133"/>
        <v/>
      </c>
      <c r="AA634" s="170" t="str">
        <f t="shared" si="134"/>
        <v/>
      </c>
      <c r="AB634" s="170" t="str">
        <f t="shared" si="135"/>
        <v/>
      </c>
      <c r="AC634" s="172" t="str">
        <f t="shared" si="136"/>
        <v/>
      </c>
    </row>
    <row r="635" spans="1:29" ht="15">
      <c r="A635" s="263"/>
      <c r="B635" s="257"/>
      <c r="C635" s="247"/>
      <c r="D635" s="203"/>
      <c r="E635" s="204"/>
      <c r="F635" s="204"/>
      <c r="G635" s="204"/>
      <c r="H635" s="204"/>
      <c r="I635" s="204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70" t="str">
        <f t="shared" si="129"/>
        <v/>
      </c>
      <c r="U635" s="170" t="str">
        <f t="shared" si="130"/>
        <v/>
      </c>
      <c r="V635" s="170" t="str">
        <f t="shared" si="131"/>
        <v/>
      </c>
      <c r="W635" s="170" t="str">
        <f t="shared" si="132"/>
        <v/>
      </c>
      <c r="X635" s="170" t="str">
        <f t="shared" si="127"/>
        <v/>
      </c>
      <c r="Y635" s="170" t="str">
        <f t="shared" si="128"/>
        <v/>
      </c>
      <c r="Z635" s="171" t="str">
        <f t="shared" si="133"/>
        <v/>
      </c>
      <c r="AA635" s="170" t="str">
        <f t="shared" si="134"/>
        <v/>
      </c>
      <c r="AB635" s="170" t="str">
        <f t="shared" si="135"/>
        <v/>
      </c>
      <c r="AC635" s="172" t="str">
        <f t="shared" si="136"/>
        <v/>
      </c>
    </row>
    <row r="636" spans="1:29" ht="15">
      <c r="A636" s="263"/>
      <c r="B636" s="257"/>
      <c r="C636" s="247"/>
      <c r="D636" s="203"/>
      <c r="E636" s="204"/>
      <c r="F636" s="204"/>
      <c r="G636" s="204"/>
      <c r="H636" s="204"/>
      <c r="I636" s="204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70" t="str">
        <f t="shared" si="129"/>
        <v/>
      </c>
      <c r="U636" s="170" t="str">
        <f t="shared" si="130"/>
        <v/>
      </c>
      <c r="V636" s="170" t="str">
        <f t="shared" si="131"/>
        <v/>
      </c>
      <c r="W636" s="170" t="str">
        <f t="shared" si="132"/>
        <v/>
      </c>
      <c r="X636" s="170" t="str">
        <f t="shared" si="127"/>
        <v/>
      </c>
      <c r="Y636" s="170" t="str">
        <f t="shared" si="128"/>
        <v/>
      </c>
      <c r="Z636" s="171" t="str">
        <f t="shared" si="133"/>
        <v/>
      </c>
      <c r="AA636" s="170" t="str">
        <f t="shared" si="134"/>
        <v/>
      </c>
      <c r="AB636" s="170" t="str">
        <f t="shared" si="135"/>
        <v/>
      </c>
      <c r="AC636" s="172" t="str">
        <f t="shared" si="136"/>
        <v/>
      </c>
    </row>
    <row r="637" spans="1:29" ht="15">
      <c r="A637" s="263"/>
      <c r="B637" s="257"/>
      <c r="C637" s="248"/>
      <c r="D637" s="203"/>
      <c r="E637" s="204"/>
      <c r="F637" s="204"/>
      <c r="G637" s="204"/>
      <c r="H637" s="204"/>
      <c r="I637" s="204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70" t="str">
        <f t="shared" si="129"/>
        <v/>
      </c>
      <c r="U637" s="170" t="str">
        <f t="shared" si="130"/>
        <v/>
      </c>
      <c r="V637" s="170" t="str">
        <f t="shared" si="131"/>
        <v/>
      </c>
      <c r="W637" s="170" t="str">
        <f t="shared" si="132"/>
        <v/>
      </c>
      <c r="X637" s="170" t="str">
        <f t="shared" si="127"/>
        <v/>
      </c>
      <c r="Y637" s="170" t="str">
        <f t="shared" si="128"/>
        <v/>
      </c>
      <c r="Z637" s="171" t="str">
        <f t="shared" si="133"/>
        <v/>
      </c>
      <c r="AA637" s="170" t="str">
        <f t="shared" si="134"/>
        <v/>
      </c>
      <c r="AB637" s="170" t="str">
        <f t="shared" si="135"/>
        <v/>
      </c>
      <c r="AC637" s="172" t="str">
        <f t="shared" si="136"/>
        <v/>
      </c>
    </row>
  </sheetData>
  <autoFilter ref="A4:AX637" xr:uid="{00000000-0009-0000-0000-000001000000}"/>
  <mergeCells count="253">
    <mergeCell ref="A1:T1"/>
    <mergeCell ref="B2:D2"/>
    <mergeCell ref="E2:F2"/>
    <mergeCell ref="G2:J2"/>
    <mergeCell ref="K2:L2"/>
    <mergeCell ref="M2:O2"/>
    <mergeCell ref="P2:Q2"/>
    <mergeCell ref="R2:T2"/>
    <mergeCell ref="H3:I3"/>
    <mergeCell ref="L3:N3"/>
    <mergeCell ref="E4:S4"/>
    <mergeCell ref="AU4:AX4"/>
    <mergeCell ref="A4:A5"/>
    <mergeCell ref="A6:A13"/>
    <mergeCell ref="A14:A21"/>
    <mergeCell ref="A22:A29"/>
    <mergeCell ref="A30:A37"/>
    <mergeCell ref="A38:A45"/>
    <mergeCell ref="A46:A53"/>
    <mergeCell ref="A54:A61"/>
    <mergeCell ref="A62:A69"/>
    <mergeCell ref="A70:A77"/>
    <mergeCell ref="A78:A85"/>
    <mergeCell ref="A86:A93"/>
    <mergeCell ref="A94:A101"/>
    <mergeCell ref="A102:A109"/>
    <mergeCell ref="A110:A117"/>
    <mergeCell ref="A118:A125"/>
    <mergeCell ref="A126:A133"/>
    <mergeCell ref="A134:A141"/>
    <mergeCell ref="A142:A149"/>
    <mergeCell ref="A150:A157"/>
    <mergeCell ref="A158:A165"/>
    <mergeCell ref="A166:A173"/>
    <mergeCell ref="A174:A181"/>
    <mergeCell ref="A182:A189"/>
    <mergeCell ref="A190:A197"/>
    <mergeCell ref="A198:A205"/>
    <mergeCell ref="A206:A213"/>
    <mergeCell ref="A214:A221"/>
    <mergeCell ref="A222:A229"/>
    <mergeCell ref="A230:A237"/>
    <mergeCell ref="A238:A245"/>
    <mergeCell ref="A246:A253"/>
    <mergeCell ref="A254:A261"/>
    <mergeCell ref="A262:A269"/>
    <mergeCell ref="A270:A277"/>
    <mergeCell ref="A278:A285"/>
    <mergeCell ref="A286:A293"/>
    <mergeCell ref="A294:A301"/>
    <mergeCell ref="A302:A309"/>
    <mergeCell ref="A310:A317"/>
    <mergeCell ref="A318:A325"/>
    <mergeCell ref="A326:A333"/>
    <mergeCell ref="A334:A341"/>
    <mergeCell ref="A342:A349"/>
    <mergeCell ref="A350:A357"/>
    <mergeCell ref="A358:A365"/>
    <mergeCell ref="A366:A373"/>
    <mergeCell ref="A374:A381"/>
    <mergeCell ref="A382:A389"/>
    <mergeCell ref="A390:A397"/>
    <mergeCell ref="A398:A405"/>
    <mergeCell ref="A406:A413"/>
    <mergeCell ref="A414:A421"/>
    <mergeCell ref="A422:A429"/>
    <mergeCell ref="A430:A437"/>
    <mergeCell ref="A438:A445"/>
    <mergeCell ref="A446:A453"/>
    <mergeCell ref="A454:A461"/>
    <mergeCell ref="A462:A469"/>
    <mergeCell ref="A470:A477"/>
    <mergeCell ref="A478:A485"/>
    <mergeCell ref="A486:A493"/>
    <mergeCell ref="A494:A501"/>
    <mergeCell ref="A502:A509"/>
    <mergeCell ref="A510:A517"/>
    <mergeCell ref="A518:A525"/>
    <mergeCell ref="A526:A533"/>
    <mergeCell ref="A534:A541"/>
    <mergeCell ref="A542:A549"/>
    <mergeCell ref="A550:A557"/>
    <mergeCell ref="A558:A565"/>
    <mergeCell ref="A566:A573"/>
    <mergeCell ref="A574:A581"/>
    <mergeCell ref="A582:A589"/>
    <mergeCell ref="A590:A597"/>
    <mergeCell ref="A598:A605"/>
    <mergeCell ref="A606:A613"/>
    <mergeCell ref="A614:A621"/>
    <mergeCell ref="A622:A629"/>
    <mergeCell ref="A630:A637"/>
    <mergeCell ref="B4:B5"/>
    <mergeCell ref="B6:B13"/>
    <mergeCell ref="B14:B21"/>
    <mergeCell ref="B22:B29"/>
    <mergeCell ref="B30:B37"/>
    <mergeCell ref="B38:B45"/>
    <mergeCell ref="B46:B53"/>
    <mergeCell ref="B54:B61"/>
    <mergeCell ref="B62:B69"/>
    <mergeCell ref="B70:B77"/>
    <mergeCell ref="B78:B85"/>
    <mergeCell ref="B86:B93"/>
    <mergeCell ref="B94:B101"/>
    <mergeCell ref="B102:B109"/>
    <mergeCell ref="B110:B117"/>
    <mergeCell ref="B118:B125"/>
    <mergeCell ref="B126:B133"/>
    <mergeCell ref="B134:B141"/>
    <mergeCell ref="B142:B149"/>
    <mergeCell ref="B150:B157"/>
    <mergeCell ref="B158:B165"/>
    <mergeCell ref="B166:B173"/>
    <mergeCell ref="B174:B181"/>
    <mergeCell ref="B182:B189"/>
    <mergeCell ref="B190:B197"/>
    <mergeCell ref="B198:B205"/>
    <mergeCell ref="B206:B213"/>
    <mergeCell ref="B214:B221"/>
    <mergeCell ref="B222:B229"/>
    <mergeCell ref="B230:B237"/>
    <mergeCell ref="B238:B245"/>
    <mergeCell ref="B246:B253"/>
    <mergeCell ref="B254:B261"/>
    <mergeCell ref="B262:B269"/>
    <mergeCell ref="B270:B277"/>
    <mergeCell ref="B278:B285"/>
    <mergeCell ref="B286:B293"/>
    <mergeCell ref="B294:B301"/>
    <mergeCell ref="B302:B309"/>
    <mergeCell ref="B310:B317"/>
    <mergeCell ref="B318:B325"/>
    <mergeCell ref="B326:B333"/>
    <mergeCell ref="B334:B341"/>
    <mergeCell ref="B342:B349"/>
    <mergeCell ref="B350:B357"/>
    <mergeCell ref="B358:B365"/>
    <mergeCell ref="B366:B373"/>
    <mergeCell ref="B374:B381"/>
    <mergeCell ref="B382:B389"/>
    <mergeCell ref="B390:B397"/>
    <mergeCell ref="B398:B405"/>
    <mergeCell ref="B406:B413"/>
    <mergeCell ref="B414:B421"/>
    <mergeCell ref="B422:B429"/>
    <mergeCell ref="B430:B437"/>
    <mergeCell ref="B438:B445"/>
    <mergeCell ref="B446:B453"/>
    <mergeCell ref="B454:B461"/>
    <mergeCell ref="B462:B469"/>
    <mergeCell ref="B470:B477"/>
    <mergeCell ref="B478:B485"/>
    <mergeCell ref="B486:B493"/>
    <mergeCell ref="B494:B501"/>
    <mergeCell ref="B502:B509"/>
    <mergeCell ref="B510:B517"/>
    <mergeCell ref="B518:B525"/>
    <mergeCell ref="B526:B533"/>
    <mergeCell ref="B534:B541"/>
    <mergeCell ref="B542:B549"/>
    <mergeCell ref="B550:B557"/>
    <mergeCell ref="B558:B565"/>
    <mergeCell ref="B566:B573"/>
    <mergeCell ref="B574:B581"/>
    <mergeCell ref="B582:B589"/>
    <mergeCell ref="B590:B597"/>
    <mergeCell ref="B598:B605"/>
    <mergeCell ref="B606:B613"/>
    <mergeCell ref="B614:B621"/>
    <mergeCell ref="B622:B629"/>
    <mergeCell ref="B630:B637"/>
    <mergeCell ref="C4:C5"/>
    <mergeCell ref="C6:C13"/>
    <mergeCell ref="C14:C21"/>
    <mergeCell ref="C22:C29"/>
    <mergeCell ref="C30:C37"/>
    <mergeCell ref="C38:C45"/>
    <mergeCell ref="C46:C53"/>
    <mergeCell ref="C54:C61"/>
    <mergeCell ref="C62:C69"/>
    <mergeCell ref="C70:C77"/>
    <mergeCell ref="C78:C85"/>
    <mergeCell ref="C86:C93"/>
    <mergeCell ref="C94:C101"/>
    <mergeCell ref="C102:C109"/>
    <mergeCell ref="C110:C117"/>
    <mergeCell ref="C118:C125"/>
    <mergeCell ref="C126:C133"/>
    <mergeCell ref="C134:C141"/>
    <mergeCell ref="C142:C149"/>
    <mergeCell ref="C150:C157"/>
    <mergeCell ref="C158:C165"/>
    <mergeCell ref="C166:C173"/>
    <mergeCell ref="C174:C181"/>
    <mergeCell ref="C182:C189"/>
    <mergeCell ref="C190:C197"/>
    <mergeCell ref="C198:C205"/>
    <mergeCell ref="C206:C213"/>
    <mergeCell ref="C214:C221"/>
    <mergeCell ref="C222:C229"/>
    <mergeCell ref="C230:C237"/>
    <mergeCell ref="C238:C245"/>
    <mergeCell ref="C246:C253"/>
    <mergeCell ref="C254:C261"/>
    <mergeCell ref="C262:C269"/>
    <mergeCell ref="C270:C277"/>
    <mergeCell ref="C278:C285"/>
    <mergeCell ref="C286:C293"/>
    <mergeCell ref="C294:C301"/>
    <mergeCell ref="C302:C309"/>
    <mergeCell ref="C310:C317"/>
    <mergeCell ref="C318:C325"/>
    <mergeCell ref="C326:C333"/>
    <mergeCell ref="C334:C341"/>
    <mergeCell ref="C342:C349"/>
    <mergeCell ref="C350:C357"/>
    <mergeCell ref="C358:C365"/>
    <mergeCell ref="C366:C373"/>
    <mergeCell ref="C374:C381"/>
    <mergeCell ref="C382:C389"/>
    <mergeCell ref="C390:C397"/>
    <mergeCell ref="C398:C405"/>
    <mergeCell ref="C406:C413"/>
    <mergeCell ref="C414:C421"/>
    <mergeCell ref="C422:C429"/>
    <mergeCell ref="C430:C437"/>
    <mergeCell ref="C438:C445"/>
    <mergeCell ref="C446:C453"/>
    <mergeCell ref="C598:C605"/>
    <mergeCell ref="C606:C613"/>
    <mergeCell ref="C614:C621"/>
    <mergeCell ref="C622:C629"/>
    <mergeCell ref="C630:C637"/>
    <mergeCell ref="D4:D5"/>
    <mergeCell ref="C526:C533"/>
    <mergeCell ref="C534:C541"/>
    <mergeCell ref="C542:C549"/>
    <mergeCell ref="C550:C557"/>
    <mergeCell ref="C558:C565"/>
    <mergeCell ref="C566:C573"/>
    <mergeCell ref="C574:C581"/>
    <mergeCell ref="C582:C589"/>
    <mergeCell ref="C590:C597"/>
    <mergeCell ref="C454:C461"/>
    <mergeCell ref="C462:C469"/>
    <mergeCell ref="C470:C477"/>
    <mergeCell ref="C478:C485"/>
    <mergeCell ref="C486:C493"/>
    <mergeCell ref="C494:C501"/>
    <mergeCell ref="C502:C509"/>
    <mergeCell ref="C510:C517"/>
    <mergeCell ref="C518:C525"/>
  </mergeCells>
  <phoneticPr fontId="93" type="noConversion"/>
  <conditionalFormatting sqref="D441:I445">
    <cfRule type="cellIs" priority="45" stopIfTrue="1" operator="equal">
      <formula>0</formula>
    </cfRule>
    <cfRule type="cellIs" dxfId="196" priority="46" stopIfTrue="1" operator="notBetween">
      <formula>$X441</formula>
      <formula>$Y441</formula>
    </cfRule>
  </conditionalFormatting>
  <conditionalFormatting sqref="D457:I461">
    <cfRule type="cellIs" priority="117" stopIfTrue="1" operator="equal">
      <formula>0</formula>
    </cfRule>
    <cfRule type="cellIs" dxfId="195" priority="118" stopIfTrue="1" operator="notBetween">
      <formula>$X457</formula>
      <formula>$Y457</formula>
    </cfRule>
  </conditionalFormatting>
  <conditionalFormatting sqref="D464:I469">
    <cfRule type="cellIs" dxfId="194" priority="64" stopIfTrue="1" operator="notBetween">
      <formula>$X464</formula>
      <formula>$Y464</formula>
    </cfRule>
    <cfRule type="cellIs" priority="63" stopIfTrue="1" operator="equal">
      <formula>0</formula>
    </cfRule>
  </conditionalFormatting>
  <conditionalFormatting sqref="D480:I485">
    <cfRule type="cellIs" dxfId="193" priority="176" stopIfTrue="1" operator="notBetween">
      <formula>$X480</formula>
      <formula>$Y480</formula>
    </cfRule>
    <cfRule type="cellIs" priority="175" stopIfTrue="1" operator="equal">
      <formula>0</formula>
    </cfRule>
  </conditionalFormatting>
  <conditionalFormatting sqref="D497:I501">
    <cfRule type="cellIs" dxfId="192" priority="342" stopIfTrue="1" operator="notBetween">
      <formula>$X497</formula>
      <formula>$Y497</formula>
    </cfRule>
  </conditionalFormatting>
  <conditionalFormatting sqref="D504:I509">
    <cfRule type="cellIs" dxfId="191" priority="194" stopIfTrue="1" operator="notBetween">
      <formula>$X504</formula>
      <formula>$Y504</formula>
    </cfRule>
    <cfRule type="cellIs" priority="193" stopIfTrue="1" operator="equal">
      <formula>0</formula>
    </cfRule>
  </conditionalFormatting>
  <conditionalFormatting sqref="D497:S501">
    <cfRule type="cellIs" priority="341" stopIfTrue="1" operator="equal">
      <formula>0</formula>
    </cfRule>
  </conditionalFormatting>
  <conditionalFormatting sqref="E382 G382:H382">
    <cfRule type="cellIs" dxfId="190" priority="130" stopIfTrue="1" operator="notBetween">
      <formula>$X382</formula>
      <formula>$Y382</formula>
    </cfRule>
    <cfRule type="cellIs" priority="129" stopIfTrue="1" operator="equal">
      <formula>0</formula>
    </cfRule>
  </conditionalFormatting>
  <conditionalFormatting sqref="E422 G422:H422">
    <cfRule type="cellIs" priority="357" stopIfTrue="1" operator="equal">
      <formula>0</formula>
    </cfRule>
    <cfRule type="cellIs" dxfId="189" priority="358" stopIfTrue="1" operator="notBetween">
      <formula>$X422</formula>
      <formula>$Y422</formula>
    </cfRule>
  </conditionalFormatting>
  <conditionalFormatting sqref="E118:G118">
    <cfRule type="cellIs" dxfId="188" priority="456" stopIfTrue="1" operator="notBetween">
      <formula>$X118</formula>
      <formula>$Y118</formula>
    </cfRule>
    <cfRule type="cellIs" priority="455" stopIfTrue="1" operator="equal">
      <formula>0</formula>
    </cfRule>
  </conditionalFormatting>
  <conditionalFormatting sqref="E126:G126">
    <cfRule type="cellIs" dxfId="187" priority="516" stopIfTrue="1" operator="notBetween">
      <formula>$X126</formula>
      <formula>$Y126</formula>
    </cfRule>
    <cfRule type="cellIs" priority="515" stopIfTrue="1" operator="equal">
      <formula>0</formula>
    </cfRule>
  </conditionalFormatting>
  <conditionalFormatting sqref="E134:G134">
    <cfRule type="cellIs" priority="107" stopIfTrue="1" operator="equal">
      <formula>0</formula>
    </cfRule>
    <cfRule type="cellIs" dxfId="186" priority="108" stopIfTrue="1" operator="notBetween">
      <formula>$X134</formula>
      <formula>$Y134</formula>
    </cfRule>
  </conditionalFormatting>
  <conditionalFormatting sqref="E142:G142">
    <cfRule type="cellIs" dxfId="185" priority="424" stopIfTrue="1" operator="notBetween">
      <formula>$X142</formula>
      <formula>$Y142</formula>
    </cfRule>
    <cfRule type="cellIs" priority="423" stopIfTrue="1" operator="equal">
      <formula>0</formula>
    </cfRule>
  </conditionalFormatting>
  <conditionalFormatting sqref="E150:G150">
    <cfRule type="cellIs" dxfId="184" priority="476" stopIfTrue="1" operator="notBetween">
      <formula>$X150</formula>
      <formula>$Y150</formula>
    </cfRule>
    <cfRule type="cellIs" priority="475" stopIfTrue="1" operator="equal">
      <formula>0</formula>
    </cfRule>
  </conditionalFormatting>
  <conditionalFormatting sqref="E174:G174">
    <cfRule type="cellIs" priority="321" stopIfTrue="1" operator="equal">
      <formula>0</formula>
    </cfRule>
    <cfRule type="cellIs" dxfId="183" priority="322" stopIfTrue="1" operator="notBetween">
      <formula>$X174</formula>
      <formula>$Y174</formula>
    </cfRule>
  </conditionalFormatting>
  <conditionalFormatting sqref="E319:G319">
    <cfRule type="cellIs" dxfId="182" priority="140" stopIfTrue="1" operator="notBetween">
      <formula>$X319</formula>
      <formula>$Y319</formula>
    </cfRule>
    <cfRule type="cellIs" priority="139" stopIfTrue="1" operator="equal">
      <formula>0</formula>
    </cfRule>
  </conditionalFormatting>
  <conditionalFormatting sqref="E327:G327">
    <cfRule type="cellIs" priority="71" stopIfTrue="1" operator="equal">
      <formula>0</formula>
    </cfRule>
    <cfRule type="cellIs" dxfId="181" priority="72" stopIfTrue="1" operator="notBetween">
      <formula>$X327</formula>
      <formula>$Y327</formula>
    </cfRule>
  </conditionalFormatting>
  <conditionalFormatting sqref="E359:G359">
    <cfRule type="cellIs" dxfId="180" priority="384" stopIfTrue="1" operator="notBetween">
      <formula>$X359</formula>
      <formula>$Y359</formula>
    </cfRule>
    <cfRule type="cellIs" priority="383" stopIfTrue="1" operator="equal">
      <formula>0</formula>
    </cfRule>
  </conditionalFormatting>
  <conditionalFormatting sqref="E367:G367">
    <cfRule type="cellIs" priority="285" stopIfTrue="1" operator="equal">
      <formula>0</formula>
    </cfRule>
    <cfRule type="cellIs" dxfId="179" priority="286" stopIfTrue="1" operator="notBetween">
      <formula>$X367</formula>
      <formula>$Y367</formula>
    </cfRule>
  </conditionalFormatting>
  <conditionalFormatting sqref="E422:G422">
    <cfRule type="cellIs" dxfId="178" priority="132" stopIfTrue="1" operator="notBetween">
      <formula>$X422</formula>
      <formula>$Y422</formula>
    </cfRule>
    <cfRule type="cellIs" priority="131" stopIfTrue="1" operator="equal">
      <formula>0</formula>
    </cfRule>
  </conditionalFormatting>
  <conditionalFormatting sqref="E425:G425">
    <cfRule type="cellIs" dxfId="177" priority="134" stopIfTrue="1" operator="notBetween">
      <formula>$X425</formula>
      <formula>$Y425</formula>
    </cfRule>
  </conditionalFormatting>
  <conditionalFormatting sqref="E462:G462">
    <cfRule type="cellIs" dxfId="176" priority="360" stopIfTrue="1" operator="notBetween">
      <formula>$X462</formula>
      <formula>$Y462</formula>
    </cfRule>
    <cfRule type="cellIs" priority="359" stopIfTrue="1" operator="equal">
      <formula>0</formula>
    </cfRule>
  </conditionalFormatting>
  <conditionalFormatting sqref="E134:H134">
    <cfRule type="cellIs" priority="105" stopIfTrue="1" operator="equal">
      <formula>0</formula>
    </cfRule>
    <cfRule type="cellIs" dxfId="175" priority="106" stopIfTrue="1" operator="notBetween">
      <formula>$X134</formula>
      <formula>$Y134</formula>
    </cfRule>
  </conditionalFormatting>
  <conditionalFormatting sqref="E142:H142">
    <cfRule type="cellIs" dxfId="174" priority="104" stopIfTrue="1" operator="notBetween">
      <formula>$X142</formula>
      <formula>$Y142</formula>
    </cfRule>
    <cfRule type="cellIs" priority="103" stopIfTrue="1" operator="equal">
      <formula>0</formula>
    </cfRule>
  </conditionalFormatting>
  <conditionalFormatting sqref="E158:H158">
    <cfRule type="cellIs" priority="91" stopIfTrue="1" operator="equal">
      <formula>0</formula>
    </cfRule>
    <cfRule type="cellIs" dxfId="173" priority="92" stopIfTrue="1" operator="notBetween">
      <formula>$X158</formula>
      <formula>$Y158</formula>
    </cfRule>
  </conditionalFormatting>
  <conditionalFormatting sqref="E174:H174">
    <cfRule type="cellIs" dxfId="172" priority="320" stopIfTrue="1" operator="notBetween">
      <formula>$X174</formula>
      <formula>$Y174</formula>
    </cfRule>
    <cfRule type="cellIs" priority="319" stopIfTrue="1" operator="equal">
      <formula>0</formula>
    </cfRule>
  </conditionalFormatting>
  <conditionalFormatting sqref="E182:H182">
    <cfRule type="cellIs" dxfId="171" priority="318" stopIfTrue="1" operator="notBetween">
      <formula>$X182</formula>
      <formula>$Y182</formula>
    </cfRule>
    <cfRule type="cellIs" priority="317" stopIfTrue="1" operator="equal">
      <formula>0</formula>
    </cfRule>
  </conditionalFormatting>
  <conditionalFormatting sqref="E198:H198">
    <cfRule type="cellIs" priority="305" stopIfTrue="1" operator="equal">
      <formula>0</formula>
    </cfRule>
    <cfRule type="cellIs" dxfId="170" priority="306" stopIfTrue="1" operator="notBetween">
      <formula>$X198</formula>
      <formula>$Y198</formula>
    </cfRule>
  </conditionalFormatting>
  <conditionalFormatting sqref="E207:H213">
    <cfRule type="cellIs" dxfId="169" priority="78" stopIfTrue="1" operator="notBetween">
      <formula>$X207</formula>
      <formula>$Y207</formula>
    </cfRule>
    <cfRule type="cellIs" priority="77" stopIfTrue="1" operator="equal">
      <formula>0</formula>
    </cfRule>
  </conditionalFormatting>
  <conditionalFormatting sqref="E327:H333 E336:H341 E343:H349">
    <cfRule type="cellIs" dxfId="168" priority="142" stopIfTrue="1" operator="notBetween">
      <formula>$X327</formula>
      <formula>$Y327</formula>
    </cfRule>
    <cfRule type="cellIs" priority="141" stopIfTrue="1" operator="equal">
      <formula>0</formula>
    </cfRule>
  </conditionalFormatting>
  <conditionalFormatting sqref="E367:H373 E376:H381 E383:H389">
    <cfRule type="cellIs" dxfId="167" priority="386" stopIfTrue="1" operator="notBetween">
      <formula>$X367</formula>
      <formula>$Y367</formula>
    </cfRule>
    <cfRule type="cellIs" priority="385" stopIfTrue="1" operator="equal">
      <formula>0</formula>
    </cfRule>
  </conditionalFormatting>
  <conditionalFormatting sqref="E406:H407">
    <cfRule type="cellIs" priority="31" stopIfTrue="1" operator="equal">
      <formula>0</formula>
    </cfRule>
    <cfRule type="cellIs" dxfId="166" priority="32" stopIfTrue="1" operator="notBetween">
      <formula>$X406</formula>
      <formula>$Y406</formula>
    </cfRule>
  </conditionalFormatting>
  <conditionalFormatting sqref="E431:H439">
    <cfRule type="cellIs" dxfId="165" priority="42" stopIfTrue="1" operator="notBetween">
      <formula>$X431</formula>
      <formula>$Y431</formula>
    </cfRule>
    <cfRule type="cellIs" priority="41" stopIfTrue="1" operator="equal">
      <formula>0</formula>
    </cfRule>
  </conditionalFormatting>
  <conditionalFormatting sqref="E447:H453">
    <cfRule type="cellIs" dxfId="164" priority="14" stopIfTrue="1" operator="notBetween">
      <formula>$X447</formula>
      <formula>$Y447</formula>
    </cfRule>
    <cfRule type="cellIs" priority="13" stopIfTrue="1" operator="equal">
      <formula>0</formula>
    </cfRule>
  </conditionalFormatting>
  <conditionalFormatting sqref="E455:H455">
    <cfRule type="cellIs" priority="113" stopIfTrue="1" operator="equal">
      <formula>0</formula>
    </cfRule>
    <cfRule type="cellIs" dxfId="163" priority="114" stopIfTrue="1" operator="notBetween">
      <formula>$X455</formula>
      <formula>$Y455</formula>
    </cfRule>
  </conditionalFormatting>
  <conditionalFormatting sqref="E455:H461">
    <cfRule type="cellIs" dxfId="162" priority="48" stopIfTrue="1" operator="notBetween">
      <formula>$X455</formula>
      <formula>$Y455</formula>
    </cfRule>
    <cfRule type="cellIs" priority="47" stopIfTrue="1" operator="equal">
      <formula>0</formula>
    </cfRule>
  </conditionalFormatting>
  <conditionalFormatting sqref="E463:H463">
    <cfRule type="cellIs" dxfId="161" priority="60" stopIfTrue="1" operator="notBetween">
      <formula>$X463</formula>
      <formula>$Y463</formula>
    </cfRule>
    <cfRule type="cellIs" priority="59" stopIfTrue="1" operator="equal">
      <formula>0</formula>
    </cfRule>
  </conditionalFormatting>
  <conditionalFormatting sqref="E471:H477">
    <cfRule type="cellIs" priority="363" stopIfTrue="1" operator="equal">
      <formula>0</formula>
    </cfRule>
    <cfRule type="cellIs" dxfId="160" priority="364" stopIfTrue="1" operator="notBetween">
      <formula>$X471</formula>
      <formula>$Y471</formula>
    </cfRule>
  </conditionalFormatting>
  <conditionalFormatting sqref="E472:H479">
    <cfRule type="cellIs" priority="171" stopIfTrue="1" operator="equal">
      <formula>0</formula>
    </cfRule>
  </conditionalFormatting>
  <conditionalFormatting sqref="E478:H479">
    <cfRule type="cellIs" dxfId="159" priority="172" stopIfTrue="1" operator="notBetween">
      <formula>$X478</formula>
      <formula>$Y478</formula>
    </cfRule>
  </conditionalFormatting>
  <conditionalFormatting sqref="E478:H493">
    <cfRule type="cellIs" dxfId="158" priority="38" stopIfTrue="1" operator="notBetween">
      <formula>$X478</formula>
      <formula>$Y478</formula>
    </cfRule>
    <cfRule type="cellIs" priority="37" stopIfTrue="1" operator="equal">
      <formula>0</formula>
    </cfRule>
  </conditionalFormatting>
  <conditionalFormatting sqref="E487:H495">
    <cfRule type="cellIs" priority="337" stopIfTrue="1" operator="equal">
      <formula>0</formula>
    </cfRule>
    <cfRule type="cellIs" dxfId="157" priority="338" stopIfTrue="1" operator="notBetween">
      <formula>$X487</formula>
      <formula>$Y487</formula>
    </cfRule>
  </conditionalFormatting>
  <conditionalFormatting sqref="E488:H493">
    <cfRule type="cellIs" priority="183" stopIfTrue="1" operator="equal">
      <formula>0</formula>
    </cfRule>
    <cfRule type="cellIs" dxfId="156" priority="184" stopIfTrue="1" operator="notBetween">
      <formula>$X488</formula>
      <formula>$Y488</formula>
    </cfRule>
  </conditionalFormatting>
  <conditionalFormatting sqref="E495:H501">
    <cfRule type="cellIs" priority="177" stopIfTrue="1" operator="equal">
      <formula>0</formula>
    </cfRule>
    <cfRule type="cellIs" dxfId="155" priority="178" stopIfTrue="1" operator="notBetween">
      <formula>$X495</formula>
      <formula>$Y495</formula>
    </cfRule>
  </conditionalFormatting>
  <conditionalFormatting sqref="E503:H503">
    <cfRule type="cellIs" priority="189" stopIfTrue="1" operator="equal">
      <formula>0</formula>
    </cfRule>
    <cfRule type="cellIs" dxfId="154" priority="190" stopIfTrue="1" operator="notBetween">
      <formula>$X503</formula>
      <formula>$Y503</formula>
    </cfRule>
  </conditionalFormatting>
  <conditionalFormatting sqref="E518:H541">
    <cfRule type="cellIs" priority="167" stopIfTrue="1" operator="equal">
      <formula>0</formula>
    </cfRule>
    <cfRule type="cellIs" dxfId="153" priority="168" stopIfTrue="1" operator="notBetween">
      <formula>$X518</formula>
      <formula>$Y518</formula>
    </cfRule>
  </conditionalFormatting>
  <conditionalFormatting sqref="E6:I7">
    <cfRule type="cellIs" dxfId="152" priority="240" stopIfTrue="1" operator="notBetween">
      <formula>$X6</formula>
      <formula>$Y6</formula>
    </cfRule>
    <cfRule type="cellIs" priority="239" stopIfTrue="1" operator="equal">
      <formula>0</formula>
    </cfRule>
  </conditionalFormatting>
  <conditionalFormatting sqref="E6:I16">
    <cfRule type="cellIs" dxfId="151" priority="242" stopIfTrue="1" operator="notBetween">
      <formula>$X6</formula>
      <formula>$Y6</formula>
    </cfRule>
    <cfRule type="cellIs" priority="241" stopIfTrue="1" operator="equal">
      <formula>0</formula>
    </cfRule>
  </conditionalFormatting>
  <conditionalFormatting sqref="E9:I13 E17:I21 E25:I29 E34:I37">
    <cfRule type="cellIs" dxfId="150" priority="282" stopIfTrue="1" operator="notBetween">
      <formula>$X9</formula>
      <formula>$Y9</formula>
    </cfRule>
  </conditionalFormatting>
  <conditionalFormatting sqref="E17:I21 E25:I29 E34:I37 E9:I13">
    <cfRule type="cellIs" priority="281" stopIfTrue="1" operator="equal">
      <formula>0</formula>
    </cfRule>
  </conditionalFormatting>
  <conditionalFormatting sqref="E17:I37">
    <cfRule type="cellIs" dxfId="149" priority="274" stopIfTrue="1" operator="notBetween">
      <formula>$X17</formula>
      <formula>$Y17</formula>
    </cfRule>
    <cfRule type="cellIs" priority="273" stopIfTrue="1" operator="equal">
      <formula>0</formula>
    </cfRule>
  </conditionalFormatting>
  <conditionalFormatting sqref="E22:I24">
    <cfRule type="cellIs" dxfId="148" priority="272" stopIfTrue="1" operator="notBetween">
      <formula>$X22</formula>
      <formula>$Y22</formula>
    </cfRule>
    <cfRule type="cellIs" priority="271" stopIfTrue="1" operator="equal">
      <formula>0</formula>
    </cfRule>
  </conditionalFormatting>
  <conditionalFormatting sqref="E30:I33">
    <cfRule type="cellIs" dxfId="147" priority="2" stopIfTrue="1" operator="notBetween">
      <formula>$X30</formula>
      <formula>$Y30</formula>
    </cfRule>
    <cfRule type="cellIs" priority="1" stopIfTrue="1" operator="equal">
      <formula>0</formula>
    </cfRule>
  </conditionalFormatting>
  <conditionalFormatting sqref="E38:I38 E41:I49">
    <cfRule type="cellIs" priority="253" stopIfTrue="1" operator="equal">
      <formula>0</formula>
    </cfRule>
    <cfRule type="cellIs" dxfId="146" priority="254" stopIfTrue="1" operator="notBetween">
      <formula>$X38</formula>
      <formula>$Y38</formula>
    </cfRule>
  </conditionalFormatting>
  <conditionalFormatting sqref="E38:I49">
    <cfRule type="cellIs" dxfId="145" priority="28" stopIfTrue="1" operator="notBetween">
      <formula>$X38</formula>
      <formula>$Y38</formula>
    </cfRule>
    <cfRule type="cellIs" priority="27" stopIfTrue="1" operator="equal">
      <formula>0</formula>
    </cfRule>
  </conditionalFormatting>
  <conditionalFormatting sqref="E39:I40">
    <cfRule type="cellIs" dxfId="144" priority="26" stopIfTrue="1" operator="notBetween">
      <formula>$X39</formula>
      <formula>$Y39</formula>
    </cfRule>
    <cfRule type="cellIs" priority="25" stopIfTrue="1" operator="equal">
      <formula>0</formula>
    </cfRule>
  </conditionalFormatting>
  <conditionalFormatting sqref="E50:I53 E56:I61 E65:I69">
    <cfRule type="cellIs" dxfId="143" priority="266" stopIfTrue="1" operator="notBetween">
      <formula>$X50</formula>
      <formula>$Y50</formula>
    </cfRule>
    <cfRule type="cellIs" priority="265" stopIfTrue="1" operator="equal">
      <formula>0</formula>
    </cfRule>
  </conditionalFormatting>
  <conditionalFormatting sqref="E50:I61">
    <cfRule type="cellIs" dxfId="142" priority="258" stopIfTrue="1" operator="notBetween">
      <formula>$X50</formula>
      <formula>$Y50</formula>
    </cfRule>
    <cfRule type="cellIs" priority="257" stopIfTrue="1" operator="equal">
      <formula>0</formula>
    </cfRule>
  </conditionalFormatting>
  <conditionalFormatting sqref="E54:I55">
    <cfRule type="cellIs" dxfId="141" priority="256" stopIfTrue="1" operator="notBetween">
      <formula>$X54</formula>
      <formula>$Y54</formula>
    </cfRule>
    <cfRule type="cellIs" priority="255" stopIfTrue="1" operator="equal">
      <formula>0</formula>
    </cfRule>
  </conditionalFormatting>
  <conditionalFormatting sqref="E62:I63">
    <cfRule type="cellIs" dxfId="140" priority="236" stopIfTrue="1" operator="notBetween">
      <formula>$X62</formula>
      <formula>$Y62</formula>
    </cfRule>
    <cfRule type="cellIs" priority="235" stopIfTrue="1" operator="equal">
      <formula>0</formula>
    </cfRule>
  </conditionalFormatting>
  <conditionalFormatting sqref="E62:I64">
    <cfRule type="cellIs" dxfId="139" priority="238" stopIfTrue="1" operator="notBetween">
      <formula>$X62</formula>
      <formula>$Y62</formula>
    </cfRule>
    <cfRule type="cellIs" priority="237" stopIfTrue="1" operator="equal">
      <formula>0</formula>
    </cfRule>
  </conditionalFormatting>
  <conditionalFormatting sqref="E64:I77">
    <cfRule type="cellIs" dxfId="138" priority="246" stopIfTrue="1" operator="notBetween">
      <formula>$X64</formula>
      <formula>$Y64</formula>
    </cfRule>
    <cfRule type="cellIs" priority="245" stopIfTrue="1" operator="equal">
      <formula>0</formula>
    </cfRule>
  </conditionalFormatting>
  <conditionalFormatting sqref="E70:I73">
    <cfRule type="cellIs" dxfId="137" priority="244" stopIfTrue="1" operator="notBetween">
      <formula>$X70</formula>
      <formula>$Y70</formula>
    </cfRule>
    <cfRule type="cellIs" priority="243" stopIfTrue="1" operator="equal">
      <formula>0</formula>
    </cfRule>
  </conditionalFormatting>
  <conditionalFormatting sqref="E74:I77">
    <cfRule type="cellIs" priority="249" stopIfTrue="1" operator="equal">
      <formula>0</formula>
    </cfRule>
    <cfRule type="cellIs" dxfId="136" priority="250" stopIfTrue="1" operator="notBetween">
      <formula>$X74</formula>
      <formula>$Y74</formula>
    </cfRule>
  </conditionalFormatting>
  <conditionalFormatting sqref="E78:I81">
    <cfRule type="cellIs" priority="227" stopIfTrue="1" operator="equal">
      <formula>0</formula>
    </cfRule>
    <cfRule type="cellIs" dxfId="135" priority="228" stopIfTrue="1" operator="notBetween">
      <formula>$X78</formula>
      <formula>$Y78</formula>
    </cfRule>
  </conditionalFormatting>
  <conditionalFormatting sqref="E78:I85">
    <cfRule type="cellIs" dxfId="134" priority="230" stopIfTrue="1" operator="notBetween">
      <formula>$X78</formula>
      <formula>$Y78</formula>
    </cfRule>
    <cfRule type="cellIs" priority="229" stopIfTrue="1" operator="equal">
      <formula>0</formula>
    </cfRule>
  </conditionalFormatting>
  <conditionalFormatting sqref="E82:I85">
    <cfRule type="cellIs" dxfId="133" priority="234" stopIfTrue="1" operator="notBetween">
      <formula>$X82</formula>
      <formula>$Y82</formula>
    </cfRule>
    <cfRule type="cellIs" priority="233" stopIfTrue="1" operator="equal">
      <formula>0</formula>
    </cfRule>
  </conditionalFormatting>
  <conditionalFormatting sqref="E86:I87">
    <cfRule type="cellIs" priority="207" stopIfTrue="1" operator="equal">
      <formula>0</formula>
    </cfRule>
    <cfRule type="cellIs" dxfId="132" priority="208" stopIfTrue="1" operator="notBetween">
      <formula>$X86</formula>
      <formula>$Y86</formula>
    </cfRule>
  </conditionalFormatting>
  <conditionalFormatting sqref="E86:I93">
    <cfRule type="cellIs" priority="209" stopIfTrue="1" operator="equal">
      <formula>0</formula>
    </cfRule>
    <cfRule type="cellIs" dxfId="131" priority="210" stopIfTrue="1" operator="notBetween">
      <formula>$X86</formula>
      <formula>$Y86</formula>
    </cfRule>
  </conditionalFormatting>
  <conditionalFormatting sqref="E88:I101">
    <cfRule type="cellIs" priority="213" stopIfTrue="1" operator="equal">
      <formula>0</formula>
    </cfRule>
    <cfRule type="cellIs" dxfId="130" priority="214" stopIfTrue="1" operator="notBetween">
      <formula>$X88</formula>
      <formula>$Y88</formula>
    </cfRule>
  </conditionalFormatting>
  <conditionalFormatting sqref="E94:I101">
    <cfRule type="cellIs" dxfId="129" priority="218" stopIfTrue="1" operator="notBetween">
      <formula>$X94</formula>
      <formula>$Y94</formula>
    </cfRule>
    <cfRule type="cellIs" priority="217" stopIfTrue="1" operator="equal">
      <formula>0</formula>
    </cfRule>
  </conditionalFormatting>
  <conditionalFormatting sqref="E102:I103">
    <cfRule type="cellIs" priority="199" stopIfTrue="1" operator="equal">
      <formula>0</formula>
    </cfRule>
    <cfRule type="cellIs" dxfId="128" priority="200" stopIfTrue="1" operator="notBetween">
      <formula>$X102</formula>
      <formula>$Y102</formula>
    </cfRule>
  </conditionalFormatting>
  <conditionalFormatting sqref="E102:I109">
    <cfRule type="cellIs" priority="201" stopIfTrue="1" operator="equal">
      <formula>0</formula>
    </cfRule>
    <cfRule type="cellIs" dxfId="127" priority="202" stopIfTrue="1" operator="notBetween">
      <formula>$X102</formula>
      <formula>$Y102</formula>
    </cfRule>
  </conditionalFormatting>
  <conditionalFormatting sqref="E104:I111">
    <cfRule type="cellIs" dxfId="126" priority="206" stopIfTrue="1" operator="notBetween">
      <formula>$X104</formula>
      <formula>$Y104</formula>
    </cfRule>
    <cfRule type="cellIs" priority="205" stopIfTrue="1" operator="equal">
      <formula>0</formula>
    </cfRule>
  </conditionalFormatting>
  <conditionalFormatting sqref="E110:I117">
    <cfRule type="cellIs" dxfId="125" priority="222" stopIfTrue="1" operator="notBetween">
      <formula>$X110</formula>
      <formula>$Y110</formula>
    </cfRule>
    <cfRule type="cellIs" priority="221" stopIfTrue="1" operator="equal">
      <formula>0</formula>
    </cfRule>
  </conditionalFormatting>
  <conditionalFormatting sqref="E112:I118">
    <cfRule type="cellIs" dxfId="124" priority="226" stopIfTrue="1" operator="notBetween">
      <formula>$X112</formula>
      <formula>$Y112</formula>
    </cfRule>
    <cfRule type="cellIs" priority="225" stopIfTrue="1" operator="equal">
      <formula>0</formula>
    </cfRule>
  </conditionalFormatting>
  <conditionalFormatting sqref="E118:I118">
    <cfRule type="cellIs" priority="489" stopIfTrue="1" operator="equal">
      <formula>0</formula>
    </cfRule>
    <cfRule type="cellIs" dxfId="123" priority="490" stopIfTrue="1" operator="notBetween">
      <formula>$X118</formula>
      <formula>$Y118</formula>
    </cfRule>
  </conditionalFormatting>
  <conditionalFormatting sqref="E118:I119">
    <cfRule type="cellIs" dxfId="122" priority="496" stopIfTrue="1" operator="notBetween">
      <formula>$X118</formula>
      <formula>$Y118</formula>
    </cfRule>
    <cfRule type="cellIs" priority="495" stopIfTrue="1" operator="equal">
      <formula>0</formula>
    </cfRule>
  </conditionalFormatting>
  <conditionalFormatting sqref="E118:I120">
    <cfRule type="cellIs" priority="163" stopIfTrue="1" operator="equal">
      <formula>0</formula>
    </cfRule>
    <cfRule type="cellIs" dxfId="121" priority="164" stopIfTrue="1" operator="notBetween">
      <formula>$X118</formula>
      <formula>$Y118</formula>
    </cfRule>
  </conditionalFormatting>
  <conditionalFormatting sqref="E119:I119">
    <cfRule type="cellIs" dxfId="120" priority="502" stopIfTrue="1" operator="notBetween">
      <formula>$X119</formula>
      <formula>$Y119</formula>
    </cfRule>
    <cfRule type="cellIs" priority="501" stopIfTrue="1" operator="equal">
      <formula>0</formula>
    </cfRule>
  </conditionalFormatting>
  <conditionalFormatting sqref="E119:I120 E122:I149">
    <cfRule type="cellIs" dxfId="119" priority="524" stopIfTrue="1" operator="notBetween">
      <formula>$X119</formula>
      <formula>$Y119</formula>
    </cfRule>
  </conditionalFormatting>
  <conditionalFormatting sqref="E119:I120">
    <cfRule type="cellIs" priority="505" stopIfTrue="1" operator="equal">
      <formula>0</formula>
    </cfRule>
    <cfRule type="cellIs" dxfId="118" priority="506" stopIfTrue="1" operator="notBetween">
      <formula>$X119</formula>
      <formula>$Y119</formula>
    </cfRule>
  </conditionalFormatting>
  <conditionalFormatting sqref="E121:I121">
    <cfRule type="cellIs" priority="21" stopIfTrue="1" operator="equal">
      <formula>0</formula>
    </cfRule>
    <cfRule type="cellIs" dxfId="117" priority="22" stopIfTrue="1" operator="notBetween">
      <formula>$X121</formula>
      <formula>$Y121</formula>
    </cfRule>
  </conditionalFormatting>
  <conditionalFormatting sqref="E121:I125">
    <cfRule type="cellIs" priority="23" stopIfTrue="1" operator="equal">
      <formula>0</formula>
    </cfRule>
    <cfRule type="cellIs" dxfId="116" priority="24" stopIfTrue="1" operator="notBetween">
      <formula>$X121</formula>
      <formula>$Y121</formula>
    </cfRule>
  </conditionalFormatting>
  <conditionalFormatting sqref="E122:I126">
    <cfRule type="cellIs" dxfId="115" priority="510" stopIfTrue="1" operator="notBetween">
      <formula>$X122</formula>
      <formula>$Y122</formula>
    </cfRule>
    <cfRule type="cellIs" priority="509" stopIfTrue="1" operator="equal">
      <formula>0</formula>
    </cfRule>
  </conditionalFormatting>
  <conditionalFormatting sqref="E122:I149 E119:I120">
    <cfRule type="cellIs" priority="523" stopIfTrue="1" operator="equal">
      <formula>0</formula>
    </cfRule>
  </conditionalFormatting>
  <conditionalFormatting sqref="E134:I149">
    <cfRule type="cellIs" dxfId="114" priority="112" stopIfTrue="1" operator="notBetween">
      <formula>$X134</formula>
      <formula>$Y134</formula>
    </cfRule>
    <cfRule type="cellIs" priority="111" stopIfTrue="1" operator="equal">
      <formula>0</formula>
    </cfRule>
  </conditionalFormatting>
  <conditionalFormatting sqref="E142:I142">
    <cfRule type="cellIs" dxfId="113" priority="420" stopIfTrue="1" operator="notBetween">
      <formula>$X142</formula>
      <formula>$Y142</formula>
    </cfRule>
    <cfRule type="cellIs" priority="419" stopIfTrue="1" operator="equal">
      <formula>0</formula>
    </cfRule>
  </conditionalFormatting>
  <conditionalFormatting sqref="E143:I165">
    <cfRule type="cellIs" dxfId="112" priority="484" stopIfTrue="1" operator="notBetween">
      <formula>$X143</formula>
      <formula>$Y143</formula>
    </cfRule>
    <cfRule type="cellIs" priority="483" stopIfTrue="1" operator="equal">
      <formula>0</formula>
    </cfRule>
  </conditionalFormatting>
  <conditionalFormatting sqref="E150:I150">
    <cfRule type="cellIs" dxfId="111" priority="96" stopIfTrue="1" operator="notBetween">
      <formula>$X150</formula>
      <formula>$Y150</formula>
    </cfRule>
    <cfRule type="cellIs" priority="95" stopIfTrue="1" operator="equal">
      <formula>0</formula>
    </cfRule>
  </conditionalFormatting>
  <conditionalFormatting sqref="E150:I157">
    <cfRule type="cellIs" dxfId="110" priority="102" stopIfTrue="1" operator="notBetween">
      <formula>$X150</formula>
      <formula>$Y150</formula>
    </cfRule>
    <cfRule type="cellIs" priority="101" stopIfTrue="1" operator="equal">
      <formula>0</formula>
    </cfRule>
  </conditionalFormatting>
  <conditionalFormatting sqref="E158:I158">
    <cfRule type="cellIs" priority="89" stopIfTrue="1" operator="equal">
      <formula>0</formula>
    </cfRule>
    <cfRule type="cellIs" dxfId="109" priority="90" stopIfTrue="1" operator="notBetween">
      <formula>$X158</formula>
      <formula>$Y158</formula>
    </cfRule>
  </conditionalFormatting>
  <conditionalFormatting sqref="E158:I165">
    <cfRule type="cellIs" priority="93" stopIfTrue="1" operator="equal">
      <formula>0</formula>
    </cfRule>
    <cfRule type="cellIs" dxfId="108" priority="94" stopIfTrue="1" operator="notBetween">
      <formula>$X158</formula>
      <formula>$Y158</formula>
    </cfRule>
  </conditionalFormatting>
  <conditionalFormatting sqref="E166:I166">
    <cfRule type="cellIs" dxfId="107" priority="82" stopIfTrue="1" operator="notBetween">
      <formula>$X166</formula>
      <formula>$Y166</formula>
    </cfRule>
    <cfRule type="cellIs" priority="81" stopIfTrue="1" operator="equal">
      <formula>0</formula>
    </cfRule>
  </conditionalFormatting>
  <conditionalFormatting sqref="E166:I174">
    <cfRule type="cellIs" priority="87" stopIfTrue="1" operator="equal">
      <formula>0</formula>
    </cfRule>
    <cfRule type="cellIs" dxfId="106" priority="88" stopIfTrue="1" operator="notBetween">
      <formula>$X166</formula>
      <formula>$Y166</formula>
    </cfRule>
  </conditionalFormatting>
  <conditionalFormatting sqref="E174:I174">
    <cfRule type="cellIs" dxfId="105" priority="148" stopIfTrue="1" operator="notBetween">
      <formula>$X174</formula>
      <formula>$Y174</formula>
    </cfRule>
    <cfRule type="cellIs" priority="147" stopIfTrue="1" operator="equal">
      <formula>0</formula>
    </cfRule>
  </conditionalFormatting>
  <conditionalFormatting sqref="E174:I189">
    <cfRule type="cellIs" priority="325" stopIfTrue="1" operator="equal">
      <formula>0</formula>
    </cfRule>
    <cfRule type="cellIs" dxfId="104" priority="326" stopIfTrue="1" operator="notBetween">
      <formula>$X174</formula>
      <formula>$Y174</formula>
    </cfRule>
  </conditionalFormatting>
  <conditionalFormatting sqref="E182:I182">
    <cfRule type="cellIs" priority="143" stopIfTrue="1" operator="equal">
      <formula>0</formula>
    </cfRule>
    <cfRule type="cellIs" dxfId="103" priority="144" stopIfTrue="1" operator="notBetween">
      <formula>$X182</formula>
      <formula>$Y182</formula>
    </cfRule>
  </conditionalFormatting>
  <conditionalFormatting sqref="E190:I190">
    <cfRule type="cellIs" dxfId="102" priority="152" stopIfTrue="1" operator="notBetween">
      <formula>$X190</formula>
      <formula>$Y190</formula>
    </cfRule>
    <cfRule type="cellIs" priority="151" stopIfTrue="1" operator="equal">
      <formula>0</formula>
    </cfRule>
  </conditionalFormatting>
  <conditionalFormatting sqref="E190:I205">
    <cfRule type="cellIs" dxfId="101" priority="308" stopIfTrue="1" operator="notBetween">
      <formula>$X190</formula>
      <formula>$Y190</formula>
    </cfRule>
    <cfRule type="cellIs" priority="307" stopIfTrue="1" operator="equal">
      <formula>0</formula>
    </cfRule>
  </conditionalFormatting>
  <conditionalFormatting sqref="E198:I198">
    <cfRule type="cellIs" dxfId="100" priority="304" stopIfTrue="1" operator="notBetween">
      <formula>$X198</formula>
      <formula>$Y198</formula>
    </cfRule>
    <cfRule type="cellIs" priority="303" stopIfTrue="1" operator="equal">
      <formula>0</formula>
    </cfRule>
  </conditionalFormatting>
  <conditionalFormatting sqref="E200:I206">
    <cfRule type="cellIs" priority="79" stopIfTrue="1" operator="equal">
      <formula>0</formula>
    </cfRule>
    <cfRule type="cellIs" dxfId="99" priority="80" stopIfTrue="1" operator="notBetween">
      <formula>$X200</formula>
      <formula>$Y200</formula>
    </cfRule>
  </conditionalFormatting>
  <conditionalFormatting sqref="E206:I206">
    <cfRule type="cellIs" priority="297" stopIfTrue="1" operator="equal">
      <formula>0</formula>
    </cfRule>
    <cfRule type="cellIs" dxfId="98" priority="298" stopIfTrue="1" operator="notBetween">
      <formula>$X206</formula>
      <formula>$Y206</formula>
    </cfRule>
  </conditionalFormatting>
  <conditionalFormatting sqref="E206:I214">
    <cfRule type="cellIs" priority="301" stopIfTrue="1" operator="equal">
      <formula>0</formula>
    </cfRule>
    <cfRule type="cellIs" dxfId="97" priority="302" stopIfTrue="1" operator="notBetween">
      <formula>$X206</formula>
      <formula>$Y206</formula>
    </cfRule>
  </conditionalFormatting>
  <conditionalFormatting sqref="E214:I214">
    <cfRule type="cellIs" dxfId="96" priority="396" stopIfTrue="1" operator="notBetween">
      <formula>$X214</formula>
      <formula>$Y214</formula>
    </cfRule>
    <cfRule type="cellIs" priority="395" stopIfTrue="1" operator="equal">
      <formula>0</formula>
    </cfRule>
  </conditionalFormatting>
  <conditionalFormatting sqref="E214:I222">
    <cfRule type="cellIs" priority="75" stopIfTrue="1" operator="equal">
      <formula>0</formula>
    </cfRule>
    <cfRule type="cellIs" dxfId="95" priority="76" stopIfTrue="1" operator="notBetween">
      <formula>$X214</formula>
      <formula>$Y214</formula>
    </cfRule>
  </conditionalFormatting>
  <conditionalFormatting sqref="E222:I222">
    <cfRule type="cellIs" priority="405" stopIfTrue="1" operator="equal">
      <formula>0</formula>
    </cfRule>
    <cfRule type="cellIs" dxfId="94" priority="406" stopIfTrue="1" operator="notBetween">
      <formula>$X222</formula>
      <formula>$Y222</formula>
    </cfRule>
  </conditionalFormatting>
  <conditionalFormatting sqref="E225:I237">
    <cfRule type="cellIs" dxfId="93" priority="74" stopIfTrue="1" operator="notBetween">
      <formula>$X225</formula>
      <formula>$Y225</formula>
    </cfRule>
    <cfRule type="cellIs" priority="73" stopIfTrue="1" operator="equal">
      <formula>0</formula>
    </cfRule>
  </conditionalFormatting>
  <conditionalFormatting sqref="E230:I230">
    <cfRule type="cellIs" priority="403" stopIfTrue="1" operator="equal">
      <formula>0</formula>
    </cfRule>
    <cfRule type="cellIs" dxfId="92" priority="404" stopIfTrue="1" operator="notBetween">
      <formula>$X230</formula>
      <formula>$Y230</formula>
    </cfRule>
  </conditionalFormatting>
  <conditionalFormatting sqref="E240:I245">
    <cfRule type="cellIs" priority="293" stopIfTrue="1" operator="equal">
      <formula>0</formula>
    </cfRule>
    <cfRule type="cellIs" dxfId="91" priority="294" stopIfTrue="1" operator="notBetween">
      <formula>$X240</formula>
      <formula>$Y240</formula>
    </cfRule>
  </conditionalFormatting>
  <conditionalFormatting sqref="E247:I248">
    <cfRule type="cellIs" priority="7" stopIfTrue="1" operator="equal">
      <formula>0</formula>
    </cfRule>
    <cfRule type="cellIs" dxfId="90" priority="8" stopIfTrue="1" operator="notBetween">
      <formula>$X247</formula>
      <formula>$Y247</formula>
    </cfRule>
  </conditionalFormatting>
  <conditionalFormatting sqref="E254:I255">
    <cfRule type="cellIs" priority="5" stopIfTrue="1" operator="equal">
      <formula>0</formula>
    </cfRule>
    <cfRule type="cellIs" dxfId="89" priority="6" stopIfTrue="1" operator="notBetween">
      <formula>$X254</formula>
      <formula>$Y254</formula>
    </cfRule>
  </conditionalFormatting>
  <conditionalFormatting sqref="E265:I277">
    <cfRule type="cellIs" priority="287" stopIfTrue="1" operator="equal">
      <formula>0</formula>
    </cfRule>
    <cfRule type="cellIs" dxfId="88" priority="288" stopIfTrue="1" operator="notBetween">
      <formula>$X265</formula>
      <formula>$Y265</formula>
    </cfRule>
  </conditionalFormatting>
  <conditionalFormatting sqref="E312:I317">
    <cfRule type="cellIs" dxfId="87" priority="70" stopIfTrue="1" operator="notBetween">
      <formula>$X312</formula>
      <formula>$Y312</formula>
    </cfRule>
    <cfRule type="cellIs" priority="69" stopIfTrue="1" operator="equal">
      <formula>0</formula>
    </cfRule>
  </conditionalFormatting>
  <conditionalFormatting sqref="E352:I357">
    <cfRule type="cellIs" priority="283" stopIfTrue="1" operator="equal">
      <formula>0</formula>
    </cfRule>
    <cfRule type="cellIs" dxfId="86" priority="284" stopIfTrue="1" operator="notBetween">
      <formula>$X352</formula>
      <formula>$Y352</formula>
    </cfRule>
  </conditionalFormatting>
  <conditionalFormatting sqref="E406:I407">
    <cfRule type="cellIs" dxfId="85" priority="34" stopIfTrue="1" operator="notBetween">
      <formula>$X406</formula>
      <formula>$Y406</formula>
    </cfRule>
  </conditionalFormatting>
  <conditionalFormatting sqref="E406:I413">
    <cfRule type="cellIs" priority="33" stopIfTrue="1" operator="equal">
      <formula>0</formula>
    </cfRule>
  </conditionalFormatting>
  <conditionalFormatting sqref="E414:I414">
    <cfRule type="cellIs" priority="29" stopIfTrue="1" operator="equal">
      <formula>0</formula>
    </cfRule>
    <cfRule type="cellIs" dxfId="84" priority="30" stopIfTrue="1" operator="notBetween">
      <formula>$X414</formula>
      <formula>$Y414</formula>
    </cfRule>
  </conditionalFormatting>
  <conditionalFormatting sqref="E438:I439">
    <cfRule type="cellIs" dxfId="83" priority="44" stopIfTrue="1" operator="notBetween">
      <formula>$X438</formula>
      <formula>$Y438</formula>
    </cfRule>
    <cfRule type="cellIs" priority="43" stopIfTrue="1" operator="equal">
      <formula>0</formula>
    </cfRule>
  </conditionalFormatting>
  <conditionalFormatting sqref="E447:I447">
    <cfRule type="cellIs" priority="15" stopIfTrue="1" operator="equal">
      <formula>0</formula>
    </cfRule>
    <cfRule type="cellIs" dxfId="82" priority="16" stopIfTrue="1" operator="notBetween">
      <formula>$X447</formula>
      <formula>$Y447</formula>
    </cfRule>
  </conditionalFormatting>
  <conditionalFormatting sqref="E448:I453">
    <cfRule type="cellIs" priority="123" stopIfTrue="1" operator="equal">
      <formula>0</formula>
    </cfRule>
    <cfRule type="cellIs" dxfId="81" priority="124" stopIfTrue="1" operator="notBetween">
      <formula>$X448</formula>
      <formula>$Y448</formula>
    </cfRule>
  </conditionalFormatting>
  <conditionalFormatting sqref="E454:I454">
    <cfRule type="cellIs" dxfId="80" priority="12" stopIfTrue="1" operator="notBetween">
      <formula>$X454</formula>
      <formula>$Y454</formula>
    </cfRule>
    <cfRule type="cellIs" priority="11" stopIfTrue="1" operator="equal">
      <formula>0</formula>
    </cfRule>
  </conditionalFormatting>
  <conditionalFormatting sqref="E455:I456">
    <cfRule type="cellIs" dxfId="79" priority="116" stopIfTrue="1" operator="notBetween">
      <formula>$X455</formula>
      <formula>$Y455</formula>
    </cfRule>
    <cfRule type="cellIs" priority="115" stopIfTrue="1" operator="equal">
      <formula>0</formula>
    </cfRule>
  </conditionalFormatting>
  <conditionalFormatting sqref="E463:I463">
    <cfRule type="cellIs" priority="61" stopIfTrue="1" operator="equal">
      <formula>0</formula>
    </cfRule>
    <cfRule type="cellIs" dxfId="78" priority="62" stopIfTrue="1" operator="notBetween">
      <formula>$X463</formula>
      <formula>$Y463</formula>
    </cfRule>
  </conditionalFormatting>
  <conditionalFormatting sqref="E470:I470">
    <cfRule type="cellIs" dxfId="77" priority="120" stopIfTrue="1" operator="notBetween">
      <formula>$X470</formula>
      <formula>$Y470</formula>
    </cfRule>
    <cfRule type="cellIs" priority="119" stopIfTrue="1" operator="equal">
      <formula>0</formula>
    </cfRule>
  </conditionalFormatting>
  <conditionalFormatting sqref="E478:I479">
    <cfRule type="cellIs" dxfId="76" priority="174" stopIfTrue="1" operator="notBetween">
      <formula>$X478</formula>
      <formula>$Y478</formula>
    </cfRule>
    <cfRule type="cellIs" priority="173" stopIfTrue="1" operator="equal">
      <formula>0</formula>
    </cfRule>
  </conditionalFormatting>
  <conditionalFormatting sqref="E478:I493">
    <cfRule type="cellIs" dxfId="75" priority="40" stopIfTrue="1" operator="notBetween">
      <formula>$X478</formula>
      <formula>$Y478</formula>
    </cfRule>
    <cfRule type="cellIs" priority="39" stopIfTrue="1" operator="equal">
      <formula>0</formula>
    </cfRule>
  </conditionalFormatting>
  <conditionalFormatting sqref="E488:I493">
    <cfRule type="cellIs" dxfId="74" priority="186" stopIfTrue="1" operator="notBetween">
      <formula>$X488</formula>
      <formula>$Y488</formula>
    </cfRule>
    <cfRule type="cellIs" priority="185" stopIfTrue="1" operator="equal">
      <formula>0</formula>
    </cfRule>
  </conditionalFormatting>
  <conditionalFormatting sqref="E494:I496">
    <cfRule type="cellIs" priority="339" stopIfTrue="1" operator="equal">
      <formula>0</formula>
    </cfRule>
    <cfRule type="cellIs" dxfId="73" priority="340" stopIfTrue="1" operator="notBetween">
      <formula>$X494</formula>
      <formula>$Y494</formula>
    </cfRule>
  </conditionalFormatting>
  <conditionalFormatting sqref="E494:I501 F455:I461 F463:N469 F432:I437 F471:I477 E543:I549 E559:H565 E568:H573 E576:H581">
    <cfRule type="cellIs" priority="347" stopIfTrue="1" operator="equal">
      <formula>0</formula>
    </cfRule>
  </conditionalFormatting>
  <conditionalFormatting sqref="E503:I503">
    <cfRule type="cellIs" dxfId="72" priority="192" stopIfTrue="1" operator="notBetween">
      <formula>$X503</formula>
      <formula>$Y503</formula>
    </cfRule>
    <cfRule type="cellIs" priority="191" stopIfTrue="1" operator="equal">
      <formula>0</formula>
    </cfRule>
  </conditionalFormatting>
  <conditionalFormatting sqref="E503:I517">
    <cfRule type="cellIs" dxfId="71" priority="344" stopIfTrue="1" operator="notBetween">
      <formula>$X503</formula>
      <formula>$Y503</formula>
    </cfRule>
    <cfRule type="cellIs" priority="343" stopIfTrue="1" operator="equal">
      <formula>0</formula>
    </cfRule>
  </conditionalFormatting>
  <conditionalFormatting sqref="E518:I533">
    <cfRule type="cellIs" dxfId="70" priority="170" stopIfTrue="1" operator="notBetween">
      <formula>$X518</formula>
      <formula>$Y518</formula>
    </cfRule>
    <cfRule type="cellIs" priority="169" stopIfTrue="1" operator="equal">
      <formula>0</formula>
    </cfRule>
  </conditionalFormatting>
  <conditionalFormatting sqref="E551:I557">
    <cfRule type="cellIs" priority="345" stopIfTrue="1" operator="equal">
      <formula>0</formula>
    </cfRule>
    <cfRule type="cellIs" dxfId="69" priority="346" stopIfTrue="1" operator="notBetween">
      <formula>$X551</formula>
      <formula>$Y551</formula>
    </cfRule>
  </conditionalFormatting>
  <conditionalFormatting sqref="E584:I597 E599:I605 E607:H613">
    <cfRule type="cellIs" priority="329" stopIfTrue="1" operator="equal">
      <formula>0</formula>
    </cfRule>
    <cfRule type="cellIs" dxfId="68" priority="330" stopIfTrue="1" operator="notBetween">
      <formula>$X584</formula>
      <formula>$Y584</formula>
    </cfRule>
  </conditionalFormatting>
  <conditionalFormatting sqref="E623:I629 E631:I637">
    <cfRule type="cellIs" dxfId="67" priority="328" stopIfTrue="1" operator="notBetween">
      <formula>$X623</formula>
      <formula>$Y623</formula>
    </cfRule>
    <cfRule type="cellIs" priority="327" stopIfTrue="1" operator="equal">
      <formula>0</formula>
    </cfRule>
  </conditionalFormatting>
  <conditionalFormatting sqref="E214:J237 E174:K197 F201:K205 I208:K213 E241:K245 F134:K157 K118:K141 J144:K173 K183:K207 J184:J213 J216:K221 J223:K237 J238:J248 J263:J277 E281:J285">
    <cfRule type="cellIs" priority="417" stopIfTrue="1" operator="equal">
      <formula>0</formula>
    </cfRule>
  </conditionalFormatting>
  <conditionalFormatting sqref="E249:J253">
    <cfRule type="cellIs" priority="291" stopIfTrue="1" operator="equal">
      <formula>0</formula>
    </cfRule>
    <cfRule type="cellIs" dxfId="66" priority="292" stopIfTrue="1" operator="notBetween">
      <formula>$X249</formula>
      <formula>$Y249</formula>
    </cfRule>
  </conditionalFormatting>
  <conditionalFormatting sqref="E256:J261">
    <cfRule type="cellIs" priority="289" stopIfTrue="1" operator="equal">
      <formula>0</formula>
    </cfRule>
    <cfRule type="cellIs" dxfId="65" priority="290" stopIfTrue="1" operator="notBetween">
      <formula>$X256</formula>
      <formula>$Y256</formula>
    </cfRule>
  </conditionalFormatting>
  <conditionalFormatting sqref="E424:J429">
    <cfRule type="cellIs" priority="133" stopIfTrue="1" operator="equal">
      <formula>0</formula>
    </cfRule>
  </conditionalFormatting>
  <conditionalFormatting sqref="E448:J453">
    <cfRule type="cellIs" dxfId="64" priority="56" stopIfTrue="1" operator="notBetween">
      <formula>$X448</formula>
      <formula>$Y448</formula>
    </cfRule>
    <cfRule type="cellIs" priority="55" stopIfTrue="1" operator="equal">
      <formula>0</formula>
    </cfRule>
  </conditionalFormatting>
  <conditionalFormatting sqref="E456:J461">
    <cfRule type="cellIs" dxfId="63" priority="50" stopIfTrue="1" operator="notBetween">
      <formula>$X456</formula>
      <formula>$Y456</formula>
    </cfRule>
    <cfRule type="cellIs" priority="49" stopIfTrue="1" operator="equal">
      <formula>0</formula>
    </cfRule>
  </conditionalFormatting>
  <conditionalFormatting sqref="E488:J493">
    <cfRule type="cellIs" priority="353" stopIfTrue="1" operator="equal">
      <formula>0</formula>
    </cfRule>
    <cfRule type="cellIs" dxfId="62" priority="354" stopIfTrue="1" operator="notBetween">
      <formula>$X488</formula>
      <formula>$Y488</formula>
    </cfRule>
  </conditionalFormatting>
  <conditionalFormatting sqref="E496:J501">
    <cfRule type="cellIs" dxfId="61" priority="180" stopIfTrue="1" operator="notBetween">
      <formula>$X496</formula>
      <formula>$Y496</formula>
    </cfRule>
    <cfRule type="cellIs" priority="179" stopIfTrue="1" operator="equal">
      <formula>0</formula>
    </cfRule>
  </conditionalFormatting>
  <conditionalFormatting sqref="E126:N133 J118:N125 K136:N229 J150:S165 E166:S173 K176:S269 J248:N248 E263:N269 J270:N270 E271:N277 E279:N285 E367:S373 E376:S381 E384:S389 E359:J365 E311:S317 E319:S325 E327:N333 E328:S333 E336:S341 H344:S344 E344:N349 E345:S349 J351:S357 J352:N365 E360:S365 J375:N381 J383:N389 J392:S405 J400:N421 J407:S413 J415:S421 J423:S429 J432:S437 J488:N517 E249:N253 E256:N261 J448:S461 L134:N135 L174:S175 J262:N262 L270:S272 K273:S287 J278:N278 E288:S293 K294:S295 E296:S301 J302:S302 K302:N303 E303:S309 J310:S310 J318:S318 L318:N319 K326:S327 K334:S335 K342:S343 K350:S350 K350:N351 L358:S359 K366:S366 K374:S375 K382:S383 K390:S391 K406:S406 K414:S414 L422:S422 K422:N423 K430:S431 K438:S439 J439:N445 K462:S463 K470:S471 J472:S477 K478:S478 J479:S485 K486:S496 K502:S502 K510:S510 K518:S518 J519:S525 K526:S527 J528:S637">
    <cfRule type="cellIs" priority="553" stopIfTrue="1" operator="equal">
      <formula>0</formula>
    </cfRule>
  </conditionalFormatting>
  <conditionalFormatting sqref="E471:N477 E431:J437 E455:I461 E367:J373 E352:J357 F327:J333 F335:J341 F343:J349 E423:I429 H448:I448 E449:I453 F312:J317 E441:I445 F320:J325 E360:J365 E375:J381 E383:J389 F391:J397 E392:J397 E400:J405 H408:J408 E409:J413 E415:J421">
    <cfRule type="cellIs" priority="365" stopIfTrue="1" operator="equal">
      <formula>0</formula>
    </cfRule>
  </conditionalFormatting>
  <conditionalFormatting sqref="E464:S469">
    <cfRule type="cellIs" dxfId="60" priority="362" stopIfTrue="1" operator="notBetween">
      <formula>$X464</formula>
      <formula>$Y464</formula>
    </cfRule>
    <cfRule type="cellIs" priority="361" stopIfTrue="1" operator="equal">
      <formula>0</formula>
    </cfRule>
  </conditionalFormatting>
  <conditionalFormatting sqref="F38">
    <cfRule type="cellIs" priority="3" stopIfTrue="1" operator="equal">
      <formula>0</formula>
    </cfRule>
    <cfRule type="cellIs" dxfId="59" priority="4" stopIfTrue="1" operator="notBetween">
      <formula>$X38</formula>
      <formula>$Y38</formula>
    </cfRule>
  </conditionalFormatting>
  <conditionalFormatting sqref="F432:I437 F455:I461 F463:I469 F471:I477 E472:H477 E494:I501 E543:I549 E559:H565 E568:H573 E576:H581">
    <cfRule type="cellIs" dxfId="58" priority="348" stopIfTrue="1" operator="notBetween">
      <formula>$X432</formula>
      <formula>$Y432</formula>
    </cfRule>
  </conditionalFormatting>
  <conditionalFormatting sqref="F447:I447">
    <cfRule type="cellIs" dxfId="57" priority="18" stopIfTrue="1" operator="notBetween">
      <formula>$X447</formula>
      <formula>$Y447</formula>
    </cfRule>
    <cfRule type="cellIs" priority="17" stopIfTrue="1" operator="equal">
      <formula>0</formula>
    </cfRule>
  </conditionalFormatting>
  <conditionalFormatting sqref="F312:J317 F320:J325 F327:J333 F335:J341 F343:J349 E352:J357 E360:J365 E367:J373 E375:J381 E383:J389 F391:J397 E392:J397 E400:J405 H408:J408 E408:I413 E409:J413 E415:J421 E423:I429 E424:J424 H425:J425 E426:J429 E431:J437 E441:I445 H448:I448 E449:I453 E455:I461 E471:I477">
    <cfRule type="cellIs" dxfId="56" priority="366" stopIfTrue="1" operator="notBetween">
      <formula>$X312</formula>
      <formula>$Y312</formula>
    </cfRule>
  </conditionalFormatting>
  <conditionalFormatting sqref="H118:I119">
    <cfRule type="cellIs" dxfId="55" priority="160" stopIfTrue="1" operator="notBetween">
      <formula>$X118</formula>
      <formula>$Y118</formula>
    </cfRule>
    <cfRule type="cellIs" priority="159" stopIfTrue="1" operator="equal">
      <formula>0</formula>
    </cfRule>
  </conditionalFormatting>
  <conditionalFormatting sqref="H126:I127">
    <cfRule type="cellIs" priority="457" stopIfTrue="1" operator="equal">
      <formula>0</formula>
    </cfRule>
    <cfRule type="cellIs" dxfId="54" priority="458" stopIfTrue="1" operator="notBetween">
      <formula>$X126</formula>
      <formula>$Y126</formula>
    </cfRule>
  </conditionalFormatting>
  <conditionalFormatting sqref="H134:I135">
    <cfRule type="cellIs" priority="517" stopIfTrue="1" operator="equal">
      <formula>0</formula>
    </cfRule>
    <cfRule type="cellIs" dxfId="53" priority="518" stopIfTrue="1" operator="notBetween">
      <formula>$X134</formula>
      <formula>$Y134</formula>
    </cfRule>
  </conditionalFormatting>
  <conditionalFormatting sqref="H142:I143">
    <cfRule type="cellIs" priority="421" stopIfTrue="1" operator="equal">
      <formula>0</formula>
    </cfRule>
    <cfRule type="cellIs" dxfId="52" priority="422" stopIfTrue="1" operator="notBetween">
      <formula>$X142</formula>
      <formula>$Y142</formula>
    </cfRule>
  </conditionalFormatting>
  <conditionalFormatting sqref="H150:I151">
    <cfRule type="cellIs" priority="425" stopIfTrue="1" operator="equal">
      <formula>0</formula>
    </cfRule>
    <cfRule type="cellIs" dxfId="51" priority="426" stopIfTrue="1" operator="notBetween">
      <formula>$X150</formula>
      <formula>$Y150</formula>
    </cfRule>
  </conditionalFormatting>
  <conditionalFormatting sqref="H158:I159">
    <cfRule type="cellIs" priority="477" stopIfTrue="1" operator="equal">
      <formula>0</formula>
    </cfRule>
    <cfRule type="cellIs" dxfId="50" priority="478" stopIfTrue="1" operator="notBetween">
      <formula>$X158</formula>
      <formula>$Y158</formula>
    </cfRule>
  </conditionalFormatting>
  <conditionalFormatting sqref="I207">
    <cfRule type="cellIs" dxfId="49" priority="138" stopIfTrue="1" operator="notBetween">
      <formula>$X207</formula>
      <formula>$Y207</formula>
    </cfRule>
    <cfRule type="cellIs" priority="137" stopIfTrue="1" operator="equal">
      <formula>0</formula>
    </cfRule>
  </conditionalFormatting>
  <conditionalFormatting sqref="I456:I461">
    <cfRule type="cellIs" dxfId="48" priority="52" stopIfTrue="1" operator="notBetween">
      <formula>$X456</formula>
      <formula>$Y456</formula>
    </cfRule>
    <cfRule type="cellIs" priority="51" stopIfTrue="1" operator="equal">
      <formula>0</formula>
    </cfRule>
  </conditionalFormatting>
  <conditionalFormatting sqref="I462">
    <cfRule type="cellIs" priority="35" stopIfTrue="1" operator="equal">
      <formula>0</formula>
    </cfRule>
    <cfRule type="cellIs" dxfId="47" priority="36" stopIfTrue="1" operator="notBetween">
      <formula>$X462</formula>
      <formula>$Y462</formula>
    </cfRule>
  </conditionalFormatting>
  <conditionalFormatting sqref="I471:I477 E472:H477 E495:I501 I503:I509 I511:I517 E512:I517 E535:I541 I560:I581">
    <cfRule type="cellIs" dxfId="46" priority="350" stopIfTrue="1" operator="notBetween">
      <formula>$X471</formula>
      <formula>$Y471</formula>
    </cfRule>
  </conditionalFormatting>
  <conditionalFormatting sqref="I471:I477 E472:H477 E495:I501 I503:S509 I511:S517 E512:I517 E535:I541 I560:I581">
    <cfRule type="cellIs" priority="349" stopIfTrue="1" operator="equal">
      <formula>0</formula>
    </cfRule>
  </conditionalFormatting>
  <conditionalFormatting sqref="I488:I493">
    <cfRule type="cellIs" dxfId="45" priority="356" stopIfTrue="1" operator="notBetween">
      <formula>$X488</formula>
      <formula>$Y488</formula>
    </cfRule>
    <cfRule type="cellIs" priority="355" stopIfTrue="1" operator="equal">
      <formula>0</formula>
    </cfRule>
  </conditionalFormatting>
  <conditionalFormatting sqref="I496:I501">
    <cfRule type="cellIs" priority="181" stopIfTrue="1" operator="equal">
      <formula>0</formula>
    </cfRule>
    <cfRule type="cellIs" dxfId="44" priority="182" stopIfTrue="1" operator="notBetween">
      <formula>$X496</formula>
      <formula>$Y496</formula>
    </cfRule>
  </conditionalFormatting>
  <conditionalFormatting sqref="I502">
    <cfRule type="cellIs" dxfId="43" priority="166" stopIfTrue="1" operator="notBetween">
      <formula>$X502</formula>
      <formula>$Y502</formula>
    </cfRule>
    <cfRule type="cellIs" priority="165" stopIfTrue="1" operator="equal">
      <formula>0</formula>
    </cfRule>
  </conditionalFormatting>
  <conditionalFormatting sqref="I511">
    <cfRule type="cellIs" dxfId="42" priority="122" stopIfTrue="1" operator="notBetween">
      <formula>$X511</formula>
      <formula>$Y511</formula>
    </cfRule>
    <cfRule type="cellIs" priority="121" stopIfTrue="1" operator="equal">
      <formula>0</formula>
    </cfRule>
  </conditionalFormatting>
  <conditionalFormatting sqref="I608:I613 E617:I621">
    <cfRule type="cellIs" dxfId="41" priority="332" stopIfTrue="1" operator="notBetween">
      <formula>$X608</formula>
      <formula>$Y608</formula>
    </cfRule>
    <cfRule type="cellIs" priority="331" stopIfTrue="1" operator="equal">
      <formula>0</formula>
    </cfRule>
  </conditionalFormatting>
  <conditionalFormatting sqref="J487:J493">
    <cfRule type="cellIs" dxfId="40" priority="188" stopIfTrue="1" operator="notBetween">
      <formula>$X487</formula>
      <formula>$Y487</formula>
    </cfRule>
    <cfRule type="cellIs" priority="187" stopIfTrue="1" operator="equal">
      <formula>0</formula>
    </cfRule>
  </conditionalFormatting>
  <conditionalFormatting sqref="J144:K144 M144:S144 J145:S149">
    <cfRule type="cellIs" dxfId="39" priority="1059" stopIfTrue="1" operator="notBetween">
      <formula>$X144</formula>
      <formula>$Y144</formula>
    </cfRule>
    <cfRule type="cellIs" priority="1055" stopIfTrue="1" operator="equal">
      <formula>0</formula>
    </cfRule>
  </conditionalFormatting>
  <conditionalFormatting sqref="J118:N125 E126:N133 L134:N135 K136:N229 J150:S165 E166:S173 L174:S175 K176:S269 J248:N248 E249:N253 E256:N261 J262:N262 E263:N269 J270:N270 L270:S272 E271:N277 K273:S287 J278:N278 E279:N285 E288:S293 K294:S295 E296:S301 J302:S302 K302:N303 E303:S309 J310:S310 E311:S317 J318:S318 L318:N319 E319:S325 K326:S327 E327:N333 E328:S333 K334:S335 E336:S341 K342:S343 H344:S344 E344:N349 E345:S349 K350:S350 K350:N351 J351:S357 J352:N365 L358:S359 E359:J365 E360:S365 K366:S366 E367:S373 K374:S375 J375:N381 E376:S381 K382:S383 J383:N389 E384:S389 K390:S391 J392:S405 J400:N421 K406:S406 J407:S413 K414:S414 J415:S421 L422:S422 K422:N423 J423:S429 K430:S431 J432:S437 K438:S439 J439:N445 J440:S446 J448:S461 K462:S463 J463:N469 K470:S471 J471:N477 J472:S477 K478:S478 J479:S485 K486:S496 J488:N517 J497:S501 K502:S502 J503:S509 K510:S510 J511:S517 K518:S518 J519:S525 K526:S527 J528:S637">
    <cfRule type="cellIs" dxfId="38" priority="554" stopIfTrue="1" operator="notBetween">
      <formula>$X118</formula>
      <formula>$Y118</formula>
    </cfRule>
  </conditionalFormatting>
  <conditionalFormatting sqref="J6:S143">
    <cfRule type="cellIs" priority="579" stopIfTrue="1" operator="equal">
      <formula>0</formula>
    </cfRule>
    <cfRule type="cellIs" dxfId="37" priority="580" stopIfTrue="1" operator="notBetween">
      <formula>$X6</formula>
      <formula>$Y6</formula>
    </cfRule>
  </conditionalFormatting>
  <conditionalFormatting sqref="J440:S447">
    <cfRule type="cellIs" priority="19" stopIfTrue="1" operator="equal">
      <formula>0</formula>
    </cfRule>
  </conditionalFormatting>
  <conditionalFormatting sqref="J447:S447">
    <cfRule type="cellIs" dxfId="36" priority="20" stopIfTrue="1" operator="notBetween">
      <formula>$X447</formula>
      <formula>$Y447</formula>
    </cfRule>
  </conditionalFormatting>
  <conditionalFormatting sqref="K118:K141 F134:K157 J144:K173 E174:K197 K183:K207 J184:J213 F201:K205 I208:K213 E214:J237 J216:K221 J223:K237 J238:J248 E241:K245 J263:J277 E281:J285">
    <cfRule type="cellIs" dxfId="35" priority="418" stopIfTrue="1" operator="notBetween">
      <formula>$X118</formula>
      <formula>$Y118</formula>
    </cfRule>
  </conditionalFormatting>
  <pageMargins left="0.35433070866141703" right="0.35433070866141703" top="0.27559055118110198" bottom="0.27559055118110198" header="0" footer="0"/>
  <pageSetup paperSize="9" scale="48" orientation="landscape" horizontalDpi="1200" verticalDpi="12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00FF"/>
  </sheetPr>
  <dimension ref="A1:Q638"/>
  <sheetViews>
    <sheetView showGridLines="0" zoomScaleNormal="100" workbookViewId="0">
      <pane ySplit="6" topLeftCell="A21" activePane="bottomLeft" state="frozen"/>
      <selection pane="bottomLeft" activeCell="H7" sqref="H7:H14"/>
    </sheetView>
  </sheetViews>
  <sheetFormatPr defaultColWidth="9" defaultRowHeight="15"/>
  <cols>
    <col min="1" max="1" width="7.77734375" style="94" customWidth="1"/>
    <col min="2" max="2" width="10.109375" style="94" customWidth="1"/>
    <col min="3" max="3" width="30.21875" style="94" customWidth="1"/>
    <col min="4" max="4" width="8.88671875" style="93" customWidth="1"/>
    <col min="5" max="5" width="10.88671875" style="93" bestFit="1" customWidth="1"/>
    <col min="6" max="6" width="8.88671875" style="93" customWidth="1"/>
    <col min="7" max="7" width="10.88671875" style="93" bestFit="1" customWidth="1"/>
    <col min="8" max="11" width="9.88671875" style="93" customWidth="1"/>
    <col min="12" max="13" width="10.77734375" style="93" customWidth="1"/>
    <col min="14" max="14" width="10.77734375" style="125" customWidth="1"/>
    <col min="15" max="15" width="10.77734375" style="126" customWidth="1"/>
    <col min="16" max="16" width="21.88671875" style="93" customWidth="1"/>
    <col min="17" max="16384" width="9" style="93"/>
  </cols>
  <sheetData>
    <row r="1" spans="1:17" ht="30.6" customHeight="1">
      <c r="A1" s="234" t="s">
        <v>41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</row>
    <row r="2" spans="1:17" ht="27" customHeight="1">
      <c r="A2" s="235" t="s">
        <v>1</v>
      </c>
      <c r="B2" s="230"/>
      <c r="C2" s="128"/>
      <c r="D2" s="129" t="s">
        <v>42</v>
      </c>
      <c r="E2" s="130" t="e">
        <f ca="1">3600/平衡率及动作变异分析图!CF5</f>
        <v>#VALUE!</v>
      </c>
      <c r="F2" s="129" t="s">
        <v>43</v>
      </c>
      <c r="G2" s="131" t="e">
        <f ca="1">IF(OR(E2="",G3=""),"",E2/G3)</f>
        <v>#VALUE!</v>
      </c>
      <c r="H2" s="223" t="s">
        <v>44</v>
      </c>
      <c r="I2" s="223"/>
      <c r="J2" s="132"/>
      <c r="K2" s="127" t="s">
        <v>45</v>
      </c>
      <c r="L2" s="133"/>
      <c r="M2" s="236" t="s">
        <v>46</v>
      </c>
      <c r="N2" s="236"/>
      <c r="O2" s="236"/>
      <c r="P2" s="134" t="s">
        <v>47</v>
      </c>
    </row>
    <row r="3" spans="1:17" ht="27" customHeight="1">
      <c r="A3" s="237" t="s">
        <v>2</v>
      </c>
      <c r="B3" s="238"/>
      <c r="C3" s="136" t="str">
        <f>IF(工时测量记录表!G2="","",工时测量记录表!G2)</f>
        <v/>
      </c>
      <c r="D3" s="137" t="s">
        <v>48</v>
      </c>
      <c r="E3" s="138" t="e">
        <f ca="1">IF(OR(E2="",J2=""),"",E2*J2)</f>
        <v>#VALUE!</v>
      </c>
      <c r="F3" s="137" t="s">
        <v>49</v>
      </c>
      <c r="G3" s="138">
        <f>SUM(L7:L734)</f>
        <v>0</v>
      </c>
      <c r="H3" s="239" t="s">
        <v>50</v>
      </c>
      <c r="I3" s="239"/>
      <c r="J3" s="139"/>
      <c r="K3" s="135" t="s">
        <v>51</v>
      </c>
      <c r="L3" s="140"/>
      <c r="M3" s="240"/>
      <c r="N3" s="240"/>
      <c r="O3" s="240"/>
      <c r="P3" s="141" t="s">
        <v>52</v>
      </c>
    </row>
    <row r="4" spans="1:17" ht="9" customHeight="1">
      <c r="A4" s="93"/>
      <c r="B4" s="142"/>
      <c r="C4" s="142"/>
      <c r="K4" s="143"/>
      <c r="L4" s="143"/>
      <c r="M4" s="143"/>
      <c r="N4" s="144"/>
      <c r="O4" s="145"/>
      <c r="P4" s="143"/>
    </row>
    <row r="5" spans="1:17" ht="28.5" customHeight="1">
      <c r="A5" s="241" t="s">
        <v>11</v>
      </c>
      <c r="B5" s="233" t="s">
        <v>12</v>
      </c>
      <c r="C5" s="230" t="s">
        <v>7</v>
      </c>
      <c r="D5" s="223" t="s">
        <v>53</v>
      </c>
      <c r="E5" s="223"/>
      <c r="F5" s="223"/>
      <c r="G5" s="223"/>
      <c r="H5" s="223" t="s">
        <v>54</v>
      </c>
      <c r="I5" s="223"/>
      <c r="J5" s="223"/>
      <c r="K5" s="223"/>
      <c r="L5" s="223" t="s">
        <v>55</v>
      </c>
      <c r="M5" s="223" t="s">
        <v>56</v>
      </c>
      <c r="N5" s="218" t="s">
        <v>57</v>
      </c>
      <c r="O5" s="220" t="s">
        <v>58</v>
      </c>
      <c r="P5" s="215" t="s">
        <v>59</v>
      </c>
    </row>
    <row r="6" spans="1:17" ht="31.5" customHeight="1">
      <c r="A6" s="242"/>
      <c r="B6" s="231"/>
      <c r="C6" s="231"/>
      <c r="D6" s="146" t="s">
        <v>60</v>
      </c>
      <c r="E6" s="146" t="s">
        <v>61</v>
      </c>
      <c r="F6" s="147" t="s">
        <v>62</v>
      </c>
      <c r="G6" s="147" t="s">
        <v>63</v>
      </c>
      <c r="H6" s="147" t="s">
        <v>64</v>
      </c>
      <c r="I6" s="147" t="s">
        <v>65</v>
      </c>
      <c r="J6" s="147" t="s">
        <v>66</v>
      </c>
      <c r="K6" s="147" t="s">
        <v>67</v>
      </c>
      <c r="L6" s="224"/>
      <c r="M6" s="224"/>
      <c r="N6" s="219"/>
      <c r="O6" s="221"/>
      <c r="P6" s="216"/>
    </row>
    <row r="7" spans="1:17" ht="15.6">
      <c r="A7" s="232">
        <f>IF(工时测量记录表!A6="","",工时测量记录表!A6)</f>
        <v>1</v>
      </c>
      <c r="B7" s="229" t="str">
        <f>IF(工时测量记录表!B6="","",工时测量记录表!B6)</f>
        <v/>
      </c>
      <c r="C7" s="148" t="str">
        <f>IF(工时测量记录表!D6="","",工时测量记录表!D6)</f>
        <v/>
      </c>
      <c r="D7" s="228">
        <v>0</v>
      </c>
      <c r="E7" s="228">
        <v>0</v>
      </c>
      <c r="F7" s="228">
        <v>0</v>
      </c>
      <c r="G7" s="228">
        <v>0</v>
      </c>
      <c r="H7" s="226">
        <v>0</v>
      </c>
      <c r="I7" s="226">
        <v>0</v>
      </c>
      <c r="J7" s="226">
        <v>0</v>
      </c>
      <c r="K7" s="226">
        <v>0</v>
      </c>
      <c r="L7" s="222" t="str">
        <f>IF(工时测量记录表!C6="","",工时测量记录表!C6)</f>
        <v/>
      </c>
      <c r="M7" s="217">
        <v>1</v>
      </c>
      <c r="N7" s="149" t="str">
        <f ca="1">IF(OR(C7="",INDIRECT("L"&amp;ROUNDUP((ROW()-6)/8,0)*8-1)=""),"",IF($P$3="否",工时测量记录表!Z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7" s="214" t="str">
        <f ca="1">IF(COUNT(N7:N14)=0,"",SUM(N7:N14))</f>
        <v/>
      </c>
      <c r="P7" s="213"/>
    </row>
    <row r="8" spans="1:17" ht="15.6">
      <c r="A8" s="232"/>
      <c r="B8" s="229"/>
      <c r="C8" s="148" t="str">
        <f>IF(工时测量记录表!D7="","",工时测量记录表!D7)</f>
        <v/>
      </c>
      <c r="D8" s="228"/>
      <c r="E8" s="228"/>
      <c r="F8" s="228"/>
      <c r="G8" s="228"/>
      <c r="H8" s="226"/>
      <c r="I8" s="226"/>
      <c r="J8" s="226"/>
      <c r="K8" s="226"/>
      <c r="L8" s="222"/>
      <c r="M8" s="217"/>
      <c r="N8" s="149" t="str">
        <f ca="1">IF(OR(C8="",INDIRECT("L"&amp;ROUNDUP((ROW()-6)/8,0)*8-1)=""),"",IF($P$3="否",工时测量记录表!Z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8" s="214"/>
      <c r="P8" s="213"/>
    </row>
    <row r="9" spans="1:17" ht="15.6">
      <c r="A9" s="232"/>
      <c r="B9" s="229"/>
      <c r="C9" s="148" t="str">
        <f>IF(工时测量记录表!D8="","",工时测量记录表!D8)</f>
        <v/>
      </c>
      <c r="D9" s="228"/>
      <c r="E9" s="228"/>
      <c r="F9" s="228"/>
      <c r="G9" s="228"/>
      <c r="H9" s="226"/>
      <c r="I9" s="226"/>
      <c r="J9" s="226"/>
      <c r="K9" s="226"/>
      <c r="L9" s="222"/>
      <c r="M9" s="217"/>
      <c r="N9" s="149" t="str">
        <f ca="1">IF(OR(C9="",INDIRECT("L"&amp;ROUNDUP((ROW()-6)/8,0)*8-1)=""),"",IF($P$3="否",工时测量记录表!Z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9" s="214"/>
      <c r="P9" s="213"/>
    </row>
    <row r="10" spans="1:17" ht="15.6">
      <c r="A10" s="232"/>
      <c r="B10" s="229"/>
      <c r="C10" s="148" t="str">
        <f>IF(工时测量记录表!D9="","",工时测量记录表!D9)</f>
        <v/>
      </c>
      <c r="D10" s="228"/>
      <c r="E10" s="228"/>
      <c r="F10" s="228"/>
      <c r="G10" s="228"/>
      <c r="H10" s="226"/>
      <c r="I10" s="226"/>
      <c r="J10" s="226"/>
      <c r="K10" s="226"/>
      <c r="L10" s="222"/>
      <c r="M10" s="217"/>
      <c r="N10" s="149" t="str">
        <f ca="1">IF(OR(C10="",INDIRECT("L"&amp;ROUNDUP((ROW()-6)/8,0)*8-1)=""),"",IF($P$3="否",工时测量记录表!Z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0" s="214"/>
      <c r="P10" s="213"/>
    </row>
    <row r="11" spans="1:17" ht="15.6">
      <c r="A11" s="232"/>
      <c r="B11" s="229"/>
      <c r="C11" s="148" t="str">
        <f>IF(工时测量记录表!D10="","",工时测量记录表!D10)</f>
        <v/>
      </c>
      <c r="D11" s="228"/>
      <c r="E11" s="228"/>
      <c r="F11" s="228"/>
      <c r="G11" s="228"/>
      <c r="H11" s="226"/>
      <c r="I11" s="226"/>
      <c r="J11" s="226"/>
      <c r="K11" s="226"/>
      <c r="L11" s="222"/>
      <c r="M11" s="217"/>
      <c r="N11" s="149" t="str">
        <f ca="1">IF(OR(C11="",INDIRECT("L"&amp;ROUNDUP((ROW()-6)/8,0)*8-1)=""),"",IF($P$3="否",工时测量记录表!Z10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1" s="214"/>
      <c r="P11" s="213"/>
      <c r="Q11" s="125"/>
    </row>
    <row r="12" spans="1:17" ht="15.6">
      <c r="A12" s="232"/>
      <c r="B12" s="229"/>
      <c r="C12" s="148" t="str">
        <f>IF(工时测量记录表!D11="","",工时测量记录表!D11)</f>
        <v/>
      </c>
      <c r="D12" s="228"/>
      <c r="E12" s="228"/>
      <c r="F12" s="228"/>
      <c r="G12" s="228"/>
      <c r="H12" s="226"/>
      <c r="I12" s="226"/>
      <c r="J12" s="226"/>
      <c r="K12" s="226"/>
      <c r="L12" s="222"/>
      <c r="M12" s="217"/>
      <c r="N12" s="149" t="str">
        <f ca="1">IF(OR(C12="",INDIRECT("L"&amp;ROUNDUP((ROW()-6)/8,0)*8-1)=""),"",IF($P$3="否",工时测量记录表!Z11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2" s="214"/>
      <c r="P12" s="213"/>
    </row>
    <row r="13" spans="1:17" ht="15.6">
      <c r="A13" s="232"/>
      <c r="B13" s="229"/>
      <c r="C13" s="148" t="str">
        <f>IF(工时测量记录表!D12="","",工时测量记录表!D12)</f>
        <v/>
      </c>
      <c r="D13" s="228"/>
      <c r="E13" s="228"/>
      <c r="F13" s="228"/>
      <c r="G13" s="228"/>
      <c r="H13" s="226"/>
      <c r="I13" s="226"/>
      <c r="J13" s="226"/>
      <c r="K13" s="226"/>
      <c r="L13" s="222"/>
      <c r="M13" s="217"/>
      <c r="N13" s="149" t="str">
        <f ca="1">IF(OR(C13="",INDIRECT("L"&amp;ROUNDUP((ROW()-6)/8,0)*8-1)=""),"",IF($P$3="否",工时测量记录表!Z12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3" s="214"/>
      <c r="P13" s="213"/>
    </row>
    <row r="14" spans="1:17" ht="15.6">
      <c r="A14" s="232"/>
      <c r="B14" s="229"/>
      <c r="C14" s="148" t="str">
        <f>IF(工时测量记录表!D13="","",工时测量记录表!D13)</f>
        <v/>
      </c>
      <c r="D14" s="228"/>
      <c r="E14" s="228"/>
      <c r="F14" s="228"/>
      <c r="G14" s="228"/>
      <c r="H14" s="226"/>
      <c r="I14" s="226"/>
      <c r="J14" s="226"/>
      <c r="K14" s="226"/>
      <c r="L14" s="222"/>
      <c r="M14" s="217"/>
      <c r="N14" s="149" t="str">
        <f ca="1">IF(OR(C14="",INDIRECT("L"&amp;ROUNDUP((ROW()-6)/8,0)*8-1)=""),"",IF($P$3="否",工时测量记录表!Z13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4" s="214"/>
      <c r="P14" s="213"/>
    </row>
    <row r="15" spans="1:17" ht="15.6">
      <c r="A15" s="232">
        <f>IF(工时测量记录表!A14="","",工时测量记录表!A14)</f>
        <v>2</v>
      </c>
      <c r="B15" s="229" t="str">
        <f>IF(工时测量记录表!B14="","",工时测量记录表!B14)</f>
        <v/>
      </c>
      <c r="C15" s="148" t="str">
        <f>IF(工时测量记录表!D14="","",工时测量记录表!D14)</f>
        <v/>
      </c>
      <c r="D15" s="227">
        <f t="shared" ref="D15:K15" si="0">IF($A15="","",D$7)</f>
        <v>0</v>
      </c>
      <c r="E15" s="227">
        <f t="shared" si="0"/>
        <v>0</v>
      </c>
      <c r="F15" s="227">
        <f t="shared" si="0"/>
        <v>0</v>
      </c>
      <c r="G15" s="227">
        <f t="shared" si="0"/>
        <v>0</v>
      </c>
      <c r="H15" s="225">
        <f t="shared" si="0"/>
        <v>0</v>
      </c>
      <c r="I15" s="225">
        <f t="shared" si="0"/>
        <v>0</v>
      </c>
      <c r="J15" s="225">
        <f t="shared" si="0"/>
        <v>0</v>
      </c>
      <c r="K15" s="225">
        <f t="shared" si="0"/>
        <v>0</v>
      </c>
      <c r="L15" s="222" t="str">
        <f>IF(工时测量记录表!C14="","",工时测量记录表!C14)</f>
        <v/>
      </c>
      <c r="M15" s="217">
        <v>1</v>
      </c>
      <c r="N15" s="149" t="str">
        <f ca="1">IF(OR(C15="",INDIRECT("L"&amp;ROUNDUP((ROW()-6)/8,0)*8-1)=""),"",IF($P$3="否",工时测量记录表!Z14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5" s="214" t="str">
        <f ca="1">IF(COUNT(N15:N22)=0,"",SUM(N15:N22))</f>
        <v/>
      </c>
      <c r="P15" s="213"/>
    </row>
    <row r="16" spans="1:17" ht="15.6">
      <c r="A16" s="232"/>
      <c r="B16" s="229"/>
      <c r="C16" s="148" t="str">
        <f>IF(工时测量记录表!D15="","",工时测量记录表!D15)</f>
        <v/>
      </c>
      <c r="D16" s="227"/>
      <c r="E16" s="227"/>
      <c r="F16" s="227"/>
      <c r="G16" s="227"/>
      <c r="H16" s="225"/>
      <c r="I16" s="225"/>
      <c r="J16" s="225"/>
      <c r="K16" s="225"/>
      <c r="L16" s="222"/>
      <c r="M16" s="217"/>
      <c r="N16" s="149" t="str">
        <f ca="1">IF(OR(C16="",INDIRECT("L"&amp;ROUNDUP((ROW()-6)/8,0)*8-1)=""),"",IF($P$3="否",工时测量记录表!Z15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6" s="214"/>
      <c r="P16" s="213"/>
    </row>
    <row r="17" spans="1:17" ht="15.6">
      <c r="A17" s="232"/>
      <c r="B17" s="229"/>
      <c r="C17" s="148" t="str">
        <f>IF(工时测量记录表!D16="","",工时测量记录表!D16)</f>
        <v/>
      </c>
      <c r="D17" s="227"/>
      <c r="E17" s="227"/>
      <c r="F17" s="227"/>
      <c r="G17" s="227"/>
      <c r="H17" s="225"/>
      <c r="I17" s="225"/>
      <c r="J17" s="225"/>
      <c r="K17" s="225"/>
      <c r="L17" s="222"/>
      <c r="M17" s="217"/>
      <c r="N17" s="149" t="str">
        <f ca="1">IF(OR(C17="",INDIRECT("L"&amp;ROUNDUP((ROW()-6)/8,0)*8-1)=""),"",IF($P$3="否",工时测量记录表!Z16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7" s="214"/>
      <c r="P17" s="213"/>
    </row>
    <row r="18" spans="1:17" ht="15.6">
      <c r="A18" s="232"/>
      <c r="B18" s="229"/>
      <c r="C18" s="148" t="str">
        <f>IF(工时测量记录表!D17="","",工时测量记录表!D17)</f>
        <v/>
      </c>
      <c r="D18" s="227"/>
      <c r="E18" s="227"/>
      <c r="F18" s="227"/>
      <c r="G18" s="227"/>
      <c r="H18" s="225"/>
      <c r="I18" s="225"/>
      <c r="J18" s="225"/>
      <c r="K18" s="225"/>
      <c r="L18" s="222"/>
      <c r="M18" s="217"/>
      <c r="N18" s="149" t="str">
        <f ca="1">IF(OR(C18="",INDIRECT("L"&amp;ROUNDUP((ROW()-6)/8,0)*8-1)=""),"",IF($P$3="否",工时测量记录表!Z17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8" s="214"/>
      <c r="P18" s="213"/>
    </row>
    <row r="19" spans="1:17" ht="15.6">
      <c r="A19" s="232"/>
      <c r="B19" s="229"/>
      <c r="C19" s="148" t="str">
        <f>IF(工时测量记录表!D18="","",工时测量记录表!D18)</f>
        <v/>
      </c>
      <c r="D19" s="227"/>
      <c r="E19" s="227"/>
      <c r="F19" s="227"/>
      <c r="G19" s="227"/>
      <c r="H19" s="225"/>
      <c r="I19" s="225"/>
      <c r="J19" s="225"/>
      <c r="K19" s="225"/>
      <c r="L19" s="222"/>
      <c r="M19" s="217"/>
      <c r="N19" s="149" t="str">
        <f ca="1">IF(OR(C19="",INDIRECT("L"&amp;ROUNDUP((ROW()-6)/8,0)*8-1)=""),"",IF($P$3="否",工时测量记录表!Z18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9" s="214"/>
      <c r="P19" s="213"/>
      <c r="Q19" s="125"/>
    </row>
    <row r="20" spans="1:17" ht="15.6">
      <c r="A20" s="232"/>
      <c r="B20" s="229"/>
      <c r="C20" s="148" t="str">
        <f>IF(工时测量记录表!D19="","",工时测量记录表!D19)</f>
        <v/>
      </c>
      <c r="D20" s="227"/>
      <c r="E20" s="227"/>
      <c r="F20" s="227"/>
      <c r="G20" s="227"/>
      <c r="H20" s="225"/>
      <c r="I20" s="225"/>
      <c r="J20" s="225"/>
      <c r="K20" s="225"/>
      <c r="L20" s="222"/>
      <c r="M20" s="217"/>
      <c r="N20" s="149" t="str">
        <f ca="1">IF(OR(C20="",INDIRECT("L"&amp;ROUNDUP((ROW()-6)/8,0)*8-1)=""),"",IF($P$3="否",工时测量记录表!Z19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0" s="214"/>
      <c r="P20" s="213"/>
    </row>
    <row r="21" spans="1:17" ht="15.6">
      <c r="A21" s="232"/>
      <c r="B21" s="229"/>
      <c r="C21" s="148" t="str">
        <f>IF(工时测量记录表!D20="","",工时测量记录表!D20)</f>
        <v/>
      </c>
      <c r="D21" s="227"/>
      <c r="E21" s="227"/>
      <c r="F21" s="227"/>
      <c r="G21" s="227"/>
      <c r="H21" s="225"/>
      <c r="I21" s="225"/>
      <c r="J21" s="225"/>
      <c r="K21" s="225"/>
      <c r="L21" s="222"/>
      <c r="M21" s="217"/>
      <c r="N21" s="149" t="str">
        <f ca="1">IF(OR(C21="",INDIRECT("L"&amp;ROUNDUP((ROW()-6)/8,0)*8-1)=""),"",IF($P$3="否",工时测量记录表!Z20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1" s="214"/>
      <c r="P21" s="213"/>
    </row>
    <row r="22" spans="1:17" ht="15.6">
      <c r="A22" s="232"/>
      <c r="B22" s="229"/>
      <c r="C22" s="148" t="str">
        <f>IF(工时测量记录表!D21="","",工时测量记录表!D21)</f>
        <v/>
      </c>
      <c r="D22" s="227"/>
      <c r="E22" s="227"/>
      <c r="F22" s="227"/>
      <c r="G22" s="227"/>
      <c r="H22" s="225"/>
      <c r="I22" s="225"/>
      <c r="J22" s="225"/>
      <c r="K22" s="225"/>
      <c r="L22" s="222"/>
      <c r="M22" s="217"/>
      <c r="N22" s="149" t="str">
        <f ca="1">IF(OR(C22="",INDIRECT("L"&amp;ROUNDUP((ROW()-6)/8,0)*8-1)=""),"",IF($P$3="否",工时测量记录表!Z21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2" s="214"/>
      <c r="P22" s="213"/>
    </row>
    <row r="23" spans="1:17" ht="15.6">
      <c r="A23" s="232">
        <f>IF(工时测量记录表!A22="","",工时测量记录表!A22)</f>
        <v>3</v>
      </c>
      <c r="B23" s="229" t="str">
        <f>IF(工时测量记录表!B22="","",工时测量记录表!B22)</f>
        <v/>
      </c>
      <c r="C23" s="148" t="str">
        <f>IF(工时测量记录表!D22="","",工时测量记录表!D22)</f>
        <v/>
      </c>
      <c r="D23" s="227">
        <f t="shared" ref="D23:K23" si="1">IF($A23="","",D$7)</f>
        <v>0</v>
      </c>
      <c r="E23" s="227">
        <f t="shared" si="1"/>
        <v>0</v>
      </c>
      <c r="F23" s="227">
        <f t="shared" si="1"/>
        <v>0</v>
      </c>
      <c r="G23" s="227">
        <f t="shared" si="1"/>
        <v>0</v>
      </c>
      <c r="H23" s="225">
        <f t="shared" si="1"/>
        <v>0</v>
      </c>
      <c r="I23" s="225">
        <f t="shared" si="1"/>
        <v>0</v>
      </c>
      <c r="J23" s="225">
        <f t="shared" si="1"/>
        <v>0</v>
      </c>
      <c r="K23" s="225">
        <f t="shared" si="1"/>
        <v>0</v>
      </c>
      <c r="L23" s="222" t="str">
        <f>IF(工时测量记录表!C22="","",工时测量记录表!C22)</f>
        <v/>
      </c>
      <c r="M23" s="217">
        <v>1</v>
      </c>
      <c r="N23" s="149" t="str">
        <f ca="1">IF(OR(C23="",INDIRECT("L"&amp;ROUNDUP((ROW()-6)/8,0)*8-1)=""),"",IF($P$3="否",工时测量记录表!Z22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3" s="214" t="str">
        <f ca="1">IF(COUNT(N23:N30)=0,"",SUM(N23:N30))</f>
        <v/>
      </c>
      <c r="P23" s="213"/>
    </row>
    <row r="24" spans="1:17" ht="15.6">
      <c r="A24" s="232"/>
      <c r="B24" s="229"/>
      <c r="C24" s="148" t="str">
        <f>IF(工时测量记录表!D23="","",工时测量记录表!D23)</f>
        <v/>
      </c>
      <c r="D24" s="227"/>
      <c r="E24" s="227"/>
      <c r="F24" s="227"/>
      <c r="G24" s="227"/>
      <c r="H24" s="225"/>
      <c r="I24" s="225"/>
      <c r="J24" s="225"/>
      <c r="K24" s="225"/>
      <c r="L24" s="222"/>
      <c r="M24" s="217"/>
      <c r="N24" s="149" t="str">
        <f ca="1">IF(OR(C24="",INDIRECT("L"&amp;ROUNDUP((ROW()-6)/8,0)*8-1)=""),"",IF($P$3="否",工时测量记录表!Z23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4" s="214"/>
      <c r="P24" s="213"/>
    </row>
    <row r="25" spans="1:17" ht="15.6">
      <c r="A25" s="232"/>
      <c r="B25" s="229"/>
      <c r="C25" s="148" t="str">
        <f>IF(工时测量记录表!D24="","",工时测量记录表!D24)</f>
        <v/>
      </c>
      <c r="D25" s="227"/>
      <c r="E25" s="227"/>
      <c r="F25" s="227"/>
      <c r="G25" s="227"/>
      <c r="H25" s="225"/>
      <c r="I25" s="225"/>
      <c r="J25" s="225"/>
      <c r="K25" s="225"/>
      <c r="L25" s="222"/>
      <c r="M25" s="217"/>
      <c r="N25" s="149" t="str">
        <f ca="1">IF(OR(C25="",INDIRECT("L"&amp;ROUNDUP((ROW()-6)/8,0)*8-1)=""),"",IF($P$3="否",工时测量记录表!Z24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5" s="214"/>
      <c r="P25" s="213"/>
    </row>
    <row r="26" spans="1:17" ht="15.6">
      <c r="A26" s="232"/>
      <c r="B26" s="229"/>
      <c r="C26" s="148" t="str">
        <f>IF(工时测量记录表!D25="","",工时测量记录表!D25)</f>
        <v/>
      </c>
      <c r="D26" s="227"/>
      <c r="E26" s="227"/>
      <c r="F26" s="227"/>
      <c r="G26" s="227"/>
      <c r="H26" s="225"/>
      <c r="I26" s="225"/>
      <c r="J26" s="225"/>
      <c r="K26" s="225"/>
      <c r="L26" s="222"/>
      <c r="M26" s="217"/>
      <c r="N26" s="149" t="str">
        <f ca="1">IF(OR(C26="",INDIRECT("L"&amp;ROUNDUP((ROW()-6)/8,0)*8-1)=""),"",IF($P$3="否",工时测量记录表!Z25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6" s="214"/>
      <c r="P26" s="213"/>
    </row>
    <row r="27" spans="1:17" ht="15.6">
      <c r="A27" s="232"/>
      <c r="B27" s="229"/>
      <c r="C27" s="148" t="str">
        <f>IF(工时测量记录表!D26="","",工时测量记录表!D26)</f>
        <v/>
      </c>
      <c r="D27" s="227"/>
      <c r="E27" s="227"/>
      <c r="F27" s="227"/>
      <c r="G27" s="227"/>
      <c r="H27" s="225"/>
      <c r="I27" s="225"/>
      <c r="J27" s="225"/>
      <c r="K27" s="225"/>
      <c r="L27" s="222"/>
      <c r="M27" s="217"/>
      <c r="N27" s="149" t="str">
        <f ca="1">IF(OR(C27="",INDIRECT("L"&amp;ROUNDUP((ROW()-6)/8,0)*8-1)=""),"",IF($P$3="否",工时测量记录表!Z26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7" s="214"/>
      <c r="P27" s="213"/>
      <c r="Q27" s="125"/>
    </row>
    <row r="28" spans="1:17" ht="15.6">
      <c r="A28" s="232"/>
      <c r="B28" s="229"/>
      <c r="C28" s="148" t="str">
        <f>IF(工时测量记录表!D27="","",工时测量记录表!D27)</f>
        <v/>
      </c>
      <c r="D28" s="227"/>
      <c r="E28" s="227"/>
      <c r="F28" s="227"/>
      <c r="G28" s="227"/>
      <c r="H28" s="225"/>
      <c r="I28" s="225"/>
      <c r="J28" s="225"/>
      <c r="K28" s="225"/>
      <c r="L28" s="222"/>
      <c r="M28" s="217"/>
      <c r="N28" s="149" t="str">
        <f ca="1">IF(OR(C28="",INDIRECT("L"&amp;ROUNDUP((ROW()-6)/8,0)*8-1)=""),"",IF($P$3="否",工时测量记录表!Z27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8" s="214"/>
      <c r="P28" s="213"/>
    </row>
    <row r="29" spans="1:17" ht="15.6">
      <c r="A29" s="232"/>
      <c r="B29" s="229"/>
      <c r="C29" s="148" t="str">
        <f>IF(工时测量记录表!D28="","",工时测量记录表!D28)</f>
        <v/>
      </c>
      <c r="D29" s="227"/>
      <c r="E29" s="227"/>
      <c r="F29" s="227"/>
      <c r="G29" s="227"/>
      <c r="H29" s="225"/>
      <c r="I29" s="225"/>
      <c r="J29" s="225"/>
      <c r="K29" s="225"/>
      <c r="L29" s="222"/>
      <c r="M29" s="217"/>
      <c r="N29" s="149" t="str">
        <f ca="1">IF(OR(C29="",INDIRECT("L"&amp;ROUNDUP((ROW()-6)/8,0)*8-1)=""),"",IF($P$3="否",工时测量记录表!Z28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9" s="214"/>
      <c r="P29" s="213"/>
    </row>
    <row r="30" spans="1:17" ht="15.6">
      <c r="A30" s="232"/>
      <c r="B30" s="229"/>
      <c r="C30" s="148" t="str">
        <f>IF(工时测量记录表!D29="","",工时测量记录表!D29)</f>
        <v/>
      </c>
      <c r="D30" s="227"/>
      <c r="E30" s="227"/>
      <c r="F30" s="227"/>
      <c r="G30" s="227"/>
      <c r="H30" s="225"/>
      <c r="I30" s="225"/>
      <c r="J30" s="225"/>
      <c r="K30" s="225"/>
      <c r="L30" s="222"/>
      <c r="M30" s="217"/>
      <c r="N30" s="149" t="str">
        <f ca="1">IF(OR(C30="",INDIRECT("L"&amp;ROUNDUP((ROW()-6)/8,0)*8-1)=""),"",IF($P$3="否",工时测量记录表!Z29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0" s="214"/>
      <c r="P30" s="213"/>
    </row>
    <row r="31" spans="1:17" ht="15.6">
      <c r="A31" s="232">
        <f>IF(工时测量记录表!A30="","",工时测量记录表!A30)</f>
        <v>4</v>
      </c>
      <c r="B31" s="229" t="str">
        <f>IF(工时测量记录表!B30="","",工时测量记录表!B30)</f>
        <v/>
      </c>
      <c r="C31" s="148" t="str">
        <f>IF(工时测量记录表!D30="","",工时测量记录表!D30)</f>
        <v/>
      </c>
      <c r="D31" s="227">
        <f t="shared" ref="D31:K31" si="2">IF($A31="","",D$7)</f>
        <v>0</v>
      </c>
      <c r="E31" s="227">
        <f t="shared" si="2"/>
        <v>0</v>
      </c>
      <c r="F31" s="227">
        <f t="shared" si="2"/>
        <v>0</v>
      </c>
      <c r="G31" s="227">
        <f t="shared" si="2"/>
        <v>0</v>
      </c>
      <c r="H31" s="225">
        <f t="shared" si="2"/>
        <v>0</v>
      </c>
      <c r="I31" s="225">
        <f t="shared" si="2"/>
        <v>0</v>
      </c>
      <c r="J31" s="225">
        <f t="shared" si="2"/>
        <v>0</v>
      </c>
      <c r="K31" s="225">
        <f t="shared" si="2"/>
        <v>0</v>
      </c>
      <c r="L31" s="222" t="str">
        <f>IF(工时测量记录表!C30="","",工时测量记录表!C30)</f>
        <v/>
      </c>
      <c r="M31" s="217">
        <v>1</v>
      </c>
      <c r="N31" s="149" t="str">
        <f ca="1">IF(OR(C31="",INDIRECT("L"&amp;ROUNDUP((ROW()-6)/8,0)*8-1)=""),"",IF($P$3="否",工时测量记录表!Z30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1" s="214" t="str">
        <f ca="1">IF(COUNT(N31:N38)=0,"",SUM(N31:N38))</f>
        <v/>
      </c>
      <c r="P31" s="213"/>
    </row>
    <row r="32" spans="1:17" ht="15.6">
      <c r="A32" s="232"/>
      <c r="B32" s="229"/>
      <c r="C32" s="148" t="str">
        <f>IF(工时测量记录表!D31="","",工时测量记录表!D31)</f>
        <v/>
      </c>
      <c r="D32" s="227"/>
      <c r="E32" s="227"/>
      <c r="F32" s="227"/>
      <c r="G32" s="227"/>
      <c r="H32" s="225"/>
      <c r="I32" s="225"/>
      <c r="J32" s="225"/>
      <c r="K32" s="225"/>
      <c r="L32" s="222"/>
      <c r="M32" s="217"/>
      <c r="N32" s="149" t="str">
        <f ca="1">IF(OR(C32="",INDIRECT("L"&amp;ROUNDUP((ROW()-6)/8,0)*8-1)=""),"",IF($P$3="否",工时测量记录表!Z31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2" s="214"/>
      <c r="P32" s="213"/>
    </row>
    <row r="33" spans="1:17" ht="15.6">
      <c r="A33" s="232"/>
      <c r="B33" s="229"/>
      <c r="C33" s="148" t="str">
        <f>IF(工时测量记录表!D32="","",工时测量记录表!D32)</f>
        <v/>
      </c>
      <c r="D33" s="227"/>
      <c r="E33" s="227"/>
      <c r="F33" s="227"/>
      <c r="G33" s="227"/>
      <c r="H33" s="225"/>
      <c r="I33" s="225"/>
      <c r="J33" s="225"/>
      <c r="K33" s="225"/>
      <c r="L33" s="222"/>
      <c r="M33" s="217"/>
      <c r="N33" s="149" t="str">
        <f ca="1">IF(OR(C33="",INDIRECT("L"&amp;ROUNDUP((ROW()-6)/8,0)*8-1)=""),"",IF($P$3="否",工时测量记录表!Z32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3" s="214"/>
      <c r="P33" s="213"/>
    </row>
    <row r="34" spans="1:17" ht="15.6">
      <c r="A34" s="232"/>
      <c r="B34" s="229"/>
      <c r="C34" s="148" t="str">
        <f>IF(工时测量记录表!D33="","",工时测量记录表!D33)</f>
        <v/>
      </c>
      <c r="D34" s="227"/>
      <c r="E34" s="227"/>
      <c r="F34" s="227"/>
      <c r="G34" s="227"/>
      <c r="H34" s="225"/>
      <c r="I34" s="225"/>
      <c r="J34" s="225"/>
      <c r="K34" s="225"/>
      <c r="L34" s="222"/>
      <c r="M34" s="217"/>
      <c r="N34" s="149" t="str">
        <f ca="1">IF(OR(C34="",INDIRECT("L"&amp;ROUNDUP((ROW()-6)/8,0)*8-1)=""),"",IF($P$3="否",工时测量记录表!Z33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4" s="214"/>
      <c r="P34" s="213"/>
    </row>
    <row r="35" spans="1:17" ht="15.6">
      <c r="A35" s="232"/>
      <c r="B35" s="229"/>
      <c r="C35" s="148" t="str">
        <f>IF(工时测量记录表!D34="","",工时测量记录表!D34)</f>
        <v/>
      </c>
      <c r="D35" s="227"/>
      <c r="E35" s="227"/>
      <c r="F35" s="227"/>
      <c r="G35" s="227"/>
      <c r="H35" s="225"/>
      <c r="I35" s="225"/>
      <c r="J35" s="225"/>
      <c r="K35" s="225"/>
      <c r="L35" s="222"/>
      <c r="M35" s="217"/>
      <c r="N35" s="149" t="str">
        <f ca="1">IF(OR(C35="",INDIRECT("L"&amp;ROUNDUP((ROW()-6)/8,0)*8-1)=""),"",IF($P$3="否",工时测量记录表!Z34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5" s="214"/>
      <c r="P35" s="213"/>
      <c r="Q35" s="125"/>
    </row>
    <row r="36" spans="1:17" ht="15.6">
      <c r="A36" s="232"/>
      <c r="B36" s="229"/>
      <c r="C36" s="148" t="str">
        <f>IF(工时测量记录表!D35="","",工时测量记录表!D35)</f>
        <v/>
      </c>
      <c r="D36" s="227"/>
      <c r="E36" s="227"/>
      <c r="F36" s="227"/>
      <c r="G36" s="227"/>
      <c r="H36" s="225"/>
      <c r="I36" s="225"/>
      <c r="J36" s="225"/>
      <c r="K36" s="225"/>
      <c r="L36" s="222"/>
      <c r="M36" s="217"/>
      <c r="N36" s="149" t="str">
        <f ca="1">IF(OR(C36="",INDIRECT("L"&amp;ROUNDUP((ROW()-6)/8,0)*8-1)=""),"",IF($P$3="否",工时测量记录表!Z35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6" s="214"/>
      <c r="P36" s="213"/>
    </row>
    <row r="37" spans="1:17" ht="15.6">
      <c r="A37" s="232"/>
      <c r="B37" s="229"/>
      <c r="C37" s="148" t="str">
        <f>IF(工时测量记录表!D36="","",工时测量记录表!D36)</f>
        <v/>
      </c>
      <c r="D37" s="227"/>
      <c r="E37" s="227"/>
      <c r="F37" s="227"/>
      <c r="G37" s="227"/>
      <c r="H37" s="225"/>
      <c r="I37" s="225"/>
      <c r="J37" s="225"/>
      <c r="K37" s="225"/>
      <c r="L37" s="222"/>
      <c r="M37" s="217"/>
      <c r="N37" s="149" t="str">
        <f ca="1">IF(OR(C37="",INDIRECT("L"&amp;ROUNDUP((ROW()-6)/8,0)*8-1)=""),"",IF($P$3="否",工时测量记录表!Z36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7" s="214"/>
      <c r="P37" s="213"/>
    </row>
    <row r="38" spans="1:17" ht="15.6">
      <c r="A38" s="232"/>
      <c r="B38" s="229"/>
      <c r="C38" s="148" t="str">
        <f>IF(工时测量记录表!D37="","",工时测量记录表!D37)</f>
        <v/>
      </c>
      <c r="D38" s="227"/>
      <c r="E38" s="227"/>
      <c r="F38" s="227"/>
      <c r="G38" s="227"/>
      <c r="H38" s="225"/>
      <c r="I38" s="225"/>
      <c r="J38" s="225"/>
      <c r="K38" s="225"/>
      <c r="L38" s="222"/>
      <c r="M38" s="217"/>
      <c r="N38" s="149" t="str">
        <f ca="1">IF(OR(C38="",INDIRECT("L"&amp;ROUNDUP((ROW()-6)/8,0)*8-1)=""),"",IF($P$3="否",工时测量记录表!Z37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8" s="214"/>
      <c r="P38" s="213"/>
    </row>
    <row r="39" spans="1:17" ht="15.6">
      <c r="A39" s="232">
        <f>IF(工时测量记录表!A38="","",工时测量记录表!A38)</f>
        <v>5</v>
      </c>
      <c r="B39" s="229" t="str">
        <f>IF(工时测量记录表!B38="","",工时测量记录表!B38)</f>
        <v/>
      </c>
      <c r="C39" s="148" t="str">
        <f>IF(工时测量记录表!D38="","",工时测量记录表!D38)</f>
        <v/>
      </c>
      <c r="D39" s="227">
        <f t="shared" ref="D39:K39" si="3">IF($A39="","",D$7)</f>
        <v>0</v>
      </c>
      <c r="E39" s="227">
        <f t="shared" si="3"/>
        <v>0</v>
      </c>
      <c r="F39" s="227">
        <f t="shared" si="3"/>
        <v>0</v>
      </c>
      <c r="G39" s="227">
        <f t="shared" si="3"/>
        <v>0</v>
      </c>
      <c r="H39" s="225">
        <f t="shared" si="3"/>
        <v>0</v>
      </c>
      <c r="I39" s="225">
        <f t="shared" si="3"/>
        <v>0</v>
      </c>
      <c r="J39" s="225">
        <f t="shared" si="3"/>
        <v>0</v>
      </c>
      <c r="K39" s="225">
        <f t="shared" si="3"/>
        <v>0</v>
      </c>
      <c r="L39" s="222" t="str">
        <f>IF(工时测量记录表!C38="","",工时测量记录表!C38)</f>
        <v/>
      </c>
      <c r="M39" s="217">
        <v>1</v>
      </c>
      <c r="N39" s="149" t="str">
        <f ca="1">IF(OR(C39="",INDIRECT("L"&amp;ROUNDUP((ROW()-6)/8,0)*8-1)=""),"",IF($P$3="否",工时测量记录表!Z38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9" s="214" t="str">
        <f ca="1">IF(COUNT(N39:N46)=0,"",SUM(N39:N46))</f>
        <v/>
      </c>
      <c r="P39" s="213"/>
    </row>
    <row r="40" spans="1:17" ht="15.6">
      <c r="A40" s="232"/>
      <c r="B40" s="229"/>
      <c r="C40" s="148" t="str">
        <f>IF(工时测量记录表!D39="","",工时测量记录表!D39)</f>
        <v/>
      </c>
      <c r="D40" s="227"/>
      <c r="E40" s="227"/>
      <c r="F40" s="227"/>
      <c r="G40" s="227"/>
      <c r="H40" s="225"/>
      <c r="I40" s="225"/>
      <c r="J40" s="225"/>
      <c r="K40" s="225"/>
      <c r="L40" s="222"/>
      <c r="M40" s="217"/>
      <c r="N40" s="149" t="str">
        <f ca="1">IF(OR(C40="",INDIRECT("L"&amp;ROUNDUP((ROW()-6)/8,0)*8-1)=""),"",IF($P$3="否",工时测量记录表!Z39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0" s="214"/>
      <c r="P40" s="213"/>
    </row>
    <row r="41" spans="1:17" ht="15.6">
      <c r="A41" s="232"/>
      <c r="B41" s="229"/>
      <c r="C41" s="148" t="str">
        <f>IF(工时测量记录表!D40="","",工时测量记录表!D40)</f>
        <v/>
      </c>
      <c r="D41" s="227"/>
      <c r="E41" s="227"/>
      <c r="F41" s="227"/>
      <c r="G41" s="227"/>
      <c r="H41" s="225"/>
      <c r="I41" s="225"/>
      <c r="J41" s="225"/>
      <c r="K41" s="225"/>
      <c r="L41" s="222"/>
      <c r="M41" s="217"/>
      <c r="N41" s="149" t="str">
        <f ca="1">IF(OR(C41="",INDIRECT("L"&amp;ROUNDUP((ROW()-6)/8,0)*8-1)=""),"",IF($P$3="否",工时测量记录表!Z40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1" s="214"/>
      <c r="P41" s="213"/>
    </row>
    <row r="42" spans="1:17" ht="15.6">
      <c r="A42" s="232"/>
      <c r="B42" s="229"/>
      <c r="C42" s="148" t="str">
        <f>IF(工时测量记录表!D41="","",工时测量记录表!D41)</f>
        <v/>
      </c>
      <c r="D42" s="227"/>
      <c r="E42" s="227"/>
      <c r="F42" s="227"/>
      <c r="G42" s="227"/>
      <c r="H42" s="225"/>
      <c r="I42" s="225"/>
      <c r="J42" s="225"/>
      <c r="K42" s="225"/>
      <c r="L42" s="222"/>
      <c r="M42" s="217"/>
      <c r="N42" s="149" t="str">
        <f ca="1">IF(OR(C42="",INDIRECT("L"&amp;ROUNDUP((ROW()-6)/8,0)*8-1)=""),"",IF($P$3="否",工时测量记录表!Z41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2" s="214"/>
      <c r="P42" s="213"/>
    </row>
    <row r="43" spans="1:17" ht="15.6">
      <c r="A43" s="232"/>
      <c r="B43" s="229"/>
      <c r="C43" s="148" t="str">
        <f>IF(工时测量记录表!D42="","",工时测量记录表!D42)</f>
        <v/>
      </c>
      <c r="D43" s="227"/>
      <c r="E43" s="227"/>
      <c r="F43" s="227"/>
      <c r="G43" s="227"/>
      <c r="H43" s="225"/>
      <c r="I43" s="225"/>
      <c r="J43" s="225"/>
      <c r="K43" s="225"/>
      <c r="L43" s="222"/>
      <c r="M43" s="217"/>
      <c r="N43" s="149" t="str">
        <f ca="1">IF(OR(C43="",INDIRECT("L"&amp;ROUNDUP((ROW()-6)/8,0)*8-1)=""),"",IF($P$3="否",工时测量记录表!Z42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3" s="214"/>
      <c r="P43" s="213"/>
      <c r="Q43" s="125"/>
    </row>
    <row r="44" spans="1:17" ht="15.6">
      <c r="A44" s="232"/>
      <c r="B44" s="229"/>
      <c r="C44" s="148" t="str">
        <f>IF(工时测量记录表!D43="","",工时测量记录表!D43)</f>
        <v/>
      </c>
      <c r="D44" s="227"/>
      <c r="E44" s="227"/>
      <c r="F44" s="227"/>
      <c r="G44" s="227"/>
      <c r="H44" s="225"/>
      <c r="I44" s="225"/>
      <c r="J44" s="225"/>
      <c r="K44" s="225"/>
      <c r="L44" s="222"/>
      <c r="M44" s="217"/>
      <c r="N44" s="149" t="str">
        <f ca="1">IF(OR(C44="",INDIRECT("L"&amp;ROUNDUP((ROW()-6)/8,0)*8-1)=""),"",IF($P$3="否",工时测量记录表!Z43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4" s="214"/>
      <c r="P44" s="213"/>
    </row>
    <row r="45" spans="1:17" ht="15.6">
      <c r="A45" s="232"/>
      <c r="B45" s="229"/>
      <c r="C45" s="148" t="str">
        <f>IF(工时测量记录表!D44="","",工时测量记录表!D44)</f>
        <v/>
      </c>
      <c r="D45" s="227"/>
      <c r="E45" s="227"/>
      <c r="F45" s="227"/>
      <c r="G45" s="227"/>
      <c r="H45" s="225"/>
      <c r="I45" s="225"/>
      <c r="J45" s="225"/>
      <c r="K45" s="225"/>
      <c r="L45" s="222"/>
      <c r="M45" s="217"/>
      <c r="N45" s="149" t="str">
        <f ca="1">IF(OR(C45="",INDIRECT("L"&amp;ROUNDUP((ROW()-6)/8,0)*8-1)=""),"",IF($P$3="否",工时测量记录表!Z44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5" s="214"/>
      <c r="P45" s="213"/>
    </row>
    <row r="46" spans="1:17" ht="15.6">
      <c r="A46" s="232"/>
      <c r="B46" s="229"/>
      <c r="C46" s="148" t="str">
        <f>IF(工时测量记录表!D45="","",工时测量记录表!D45)</f>
        <v/>
      </c>
      <c r="D46" s="227"/>
      <c r="E46" s="227"/>
      <c r="F46" s="227"/>
      <c r="G46" s="227"/>
      <c r="H46" s="225"/>
      <c r="I46" s="225"/>
      <c r="J46" s="225"/>
      <c r="K46" s="225"/>
      <c r="L46" s="222"/>
      <c r="M46" s="217"/>
      <c r="N46" s="149" t="str">
        <f ca="1">IF(OR(C46="",INDIRECT("L"&amp;ROUNDUP((ROW()-6)/8,0)*8-1)=""),"",IF($P$3="否",工时测量记录表!Z45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6" s="214"/>
      <c r="P46" s="213"/>
    </row>
    <row r="47" spans="1:17" ht="15.6">
      <c r="A47" s="232">
        <f>IF(工时测量记录表!A46="","",工时测量记录表!A46)</f>
        <v>6</v>
      </c>
      <c r="B47" s="229" t="str">
        <f>IF(工时测量记录表!B46="","",工时测量记录表!B46)</f>
        <v/>
      </c>
      <c r="C47" s="148" t="str">
        <f>IF(工时测量记录表!D46="","",工时测量记录表!D46)</f>
        <v/>
      </c>
      <c r="D47" s="227">
        <f t="shared" ref="D47:K47" si="4">IF($A47="","",D$7)</f>
        <v>0</v>
      </c>
      <c r="E47" s="227">
        <f t="shared" si="4"/>
        <v>0</v>
      </c>
      <c r="F47" s="227">
        <f t="shared" si="4"/>
        <v>0</v>
      </c>
      <c r="G47" s="227">
        <f t="shared" si="4"/>
        <v>0</v>
      </c>
      <c r="H47" s="225">
        <f t="shared" si="4"/>
        <v>0</v>
      </c>
      <c r="I47" s="225">
        <f t="shared" si="4"/>
        <v>0</v>
      </c>
      <c r="J47" s="225">
        <f t="shared" si="4"/>
        <v>0</v>
      </c>
      <c r="K47" s="225">
        <f t="shared" si="4"/>
        <v>0</v>
      </c>
      <c r="L47" s="222" t="str">
        <f>IF(工时测量记录表!C46="","",工时测量记录表!C46)</f>
        <v/>
      </c>
      <c r="M47" s="217">
        <v>1</v>
      </c>
      <c r="N47" s="149" t="str">
        <f ca="1">IF(OR(C47="",INDIRECT("L"&amp;ROUNDUP((ROW()-6)/8,0)*8-1)=""),"",IF($P$3="否",工时测量记录表!Z46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7" s="214" t="str">
        <f ca="1">IF(COUNT(N47:N54)=0,"",SUM(N47:N54))</f>
        <v/>
      </c>
      <c r="P47" s="213"/>
    </row>
    <row r="48" spans="1:17" ht="15.6">
      <c r="A48" s="232"/>
      <c r="B48" s="229"/>
      <c r="C48" s="148" t="str">
        <f>IF(工时测量记录表!D47="","",工时测量记录表!D47)</f>
        <v/>
      </c>
      <c r="D48" s="227"/>
      <c r="E48" s="227"/>
      <c r="F48" s="227"/>
      <c r="G48" s="227"/>
      <c r="H48" s="225"/>
      <c r="I48" s="225"/>
      <c r="J48" s="225"/>
      <c r="K48" s="225"/>
      <c r="L48" s="222"/>
      <c r="M48" s="217"/>
      <c r="N48" s="149" t="str">
        <f ca="1">IF(OR(C48="",INDIRECT("L"&amp;ROUNDUP((ROW()-6)/8,0)*8-1)=""),"",IF($P$3="否",工时测量记录表!Z47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8" s="214"/>
      <c r="P48" s="213"/>
    </row>
    <row r="49" spans="1:17" ht="15.6">
      <c r="A49" s="232"/>
      <c r="B49" s="229"/>
      <c r="C49" s="148" t="str">
        <f>IF(工时测量记录表!D48="","",工时测量记录表!D48)</f>
        <v/>
      </c>
      <c r="D49" s="227"/>
      <c r="E49" s="227"/>
      <c r="F49" s="227"/>
      <c r="G49" s="227"/>
      <c r="H49" s="225"/>
      <c r="I49" s="225"/>
      <c r="J49" s="225"/>
      <c r="K49" s="225"/>
      <c r="L49" s="222"/>
      <c r="M49" s="217"/>
      <c r="N49" s="149" t="str">
        <f ca="1">IF(OR(C49="",INDIRECT("L"&amp;ROUNDUP((ROW()-6)/8,0)*8-1)=""),"",IF($P$3="否",工时测量记录表!Z48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9" s="214"/>
      <c r="P49" s="213"/>
    </row>
    <row r="50" spans="1:17" ht="15.6">
      <c r="A50" s="232"/>
      <c r="B50" s="229"/>
      <c r="C50" s="148" t="str">
        <f>IF(工时测量记录表!D49="","",工时测量记录表!D49)</f>
        <v/>
      </c>
      <c r="D50" s="227"/>
      <c r="E50" s="227"/>
      <c r="F50" s="227"/>
      <c r="G50" s="227"/>
      <c r="H50" s="225"/>
      <c r="I50" s="225"/>
      <c r="J50" s="225"/>
      <c r="K50" s="225"/>
      <c r="L50" s="222"/>
      <c r="M50" s="217"/>
      <c r="N50" s="149" t="str">
        <f ca="1">IF(OR(C50="",INDIRECT("L"&amp;ROUNDUP((ROW()-6)/8,0)*8-1)=""),"",IF($P$3="否",工时测量记录表!Z49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0" s="214"/>
      <c r="P50" s="213"/>
    </row>
    <row r="51" spans="1:17" ht="15.6">
      <c r="A51" s="232"/>
      <c r="B51" s="229"/>
      <c r="C51" s="148" t="str">
        <f>IF(工时测量记录表!D50="","",工时测量记录表!D50)</f>
        <v/>
      </c>
      <c r="D51" s="227"/>
      <c r="E51" s="227"/>
      <c r="F51" s="227"/>
      <c r="G51" s="227"/>
      <c r="H51" s="225"/>
      <c r="I51" s="225"/>
      <c r="J51" s="225"/>
      <c r="K51" s="225"/>
      <c r="L51" s="222"/>
      <c r="M51" s="217"/>
      <c r="N51" s="149" t="str">
        <f ca="1">IF(OR(C51="",INDIRECT("L"&amp;ROUNDUP((ROW()-6)/8,0)*8-1)=""),"",IF($P$3="否",工时测量记录表!Z50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1" s="214"/>
      <c r="P51" s="213"/>
      <c r="Q51" s="125"/>
    </row>
    <row r="52" spans="1:17" ht="15.6">
      <c r="A52" s="232"/>
      <c r="B52" s="229"/>
      <c r="C52" s="148" t="str">
        <f>IF(工时测量记录表!D51="","",工时测量记录表!D51)</f>
        <v/>
      </c>
      <c r="D52" s="227"/>
      <c r="E52" s="227"/>
      <c r="F52" s="227"/>
      <c r="G52" s="227"/>
      <c r="H52" s="225"/>
      <c r="I52" s="225"/>
      <c r="J52" s="225"/>
      <c r="K52" s="225"/>
      <c r="L52" s="222"/>
      <c r="M52" s="217"/>
      <c r="N52" s="149" t="str">
        <f ca="1">IF(OR(C52="",INDIRECT("L"&amp;ROUNDUP((ROW()-6)/8,0)*8-1)=""),"",IF($P$3="否",工时测量记录表!Z51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2" s="214"/>
      <c r="P52" s="213"/>
    </row>
    <row r="53" spans="1:17" ht="15.6">
      <c r="A53" s="232"/>
      <c r="B53" s="229"/>
      <c r="C53" s="148" t="str">
        <f>IF(工时测量记录表!D52="","",工时测量记录表!D52)</f>
        <v/>
      </c>
      <c r="D53" s="227"/>
      <c r="E53" s="227"/>
      <c r="F53" s="227"/>
      <c r="G53" s="227"/>
      <c r="H53" s="225"/>
      <c r="I53" s="225"/>
      <c r="J53" s="225"/>
      <c r="K53" s="225"/>
      <c r="L53" s="222"/>
      <c r="M53" s="217"/>
      <c r="N53" s="149" t="str">
        <f ca="1">IF(OR(C53="",INDIRECT("L"&amp;ROUNDUP((ROW()-6)/8,0)*8-1)=""),"",IF($P$3="否",工时测量记录表!Z52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3" s="214"/>
      <c r="P53" s="213"/>
    </row>
    <row r="54" spans="1:17" ht="15.6">
      <c r="A54" s="232"/>
      <c r="B54" s="229"/>
      <c r="C54" s="148" t="str">
        <f>IF(工时测量记录表!D53="","",工时测量记录表!D53)</f>
        <v/>
      </c>
      <c r="D54" s="227"/>
      <c r="E54" s="227"/>
      <c r="F54" s="227"/>
      <c r="G54" s="227"/>
      <c r="H54" s="225"/>
      <c r="I54" s="225"/>
      <c r="J54" s="225"/>
      <c r="K54" s="225"/>
      <c r="L54" s="222"/>
      <c r="M54" s="217"/>
      <c r="N54" s="149" t="str">
        <f ca="1">IF(OR(C54="",INDIRECT("L"&amp;ROUNDUP((ROW()-6)/8,0)*8-1)=""),"",IF($P$3="否",工时测量记录表!Z53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4" s="214"/>
      <c r="P54" s="213"/>
    </row>
    <row r="55" spans="1:17" ht="15.6">
      <c r="A55" s="232">
        <f>IF(工时测量记录表!A54="","",工时测量记录表!A54)</f>
        <v>7</v>
      </c>
      <c r="B55" s="229" t="str">
        <f>IF(工时测量记录表!B54="","",工时测量记录表!B54)</f>
        <v/>
      </c>
      <c r="C55" s="148" t="str">
        <f>IF(工时测量记录表!D54="","",工时测量记录表!D54)</f>
        <v/>
      </c>
      <c r="D55" s="227">
        <f t="shared" ref="D55:K55" si="5">IF($A55="","",D$7)</f>
        <v>0</v>
      </c>
      <c r="E55" s="227">
        <f t="shared" si="5"/>
        <v>0</v>
      </c>
      <c r="F55" s="227">
        <f t="shared" si="5"/>
        <v>0</v>
      </c>
      <c r="G55" s="227">
        <f t="shared" si="5"/>
        <v>0</v>
      </c>
      <c r="H55" s="225">
        <f t="shared" si="5"/>
        <v>0</v>
      </c>
      <c r="I55" s="225">
        <f t="shared" si="5"/>
        <v>0</v>
      </c>
      <c r="J55" s="225">
        <f t="shared" si="5"/>
        <v>0</v>
      </c>
      <c r="K55" s="225">
        <f t="shared" si="5"/>
        <v>0</v>
      </c>
      <c r="L55" s="222" t="str">
        <f>IF(工时测量记录表!C54="","",工时测量记录表!C54)</f>
        <v/>
      </c>
      <c r="M55" s="217">
        <v>1</v>
      </c>
      <c r="N55" s="149" t="str">
        <f ca="1">IF(OR(C55="",INDIRECT("L"&amp;ROUNDUP((ROW()-6)/8,0)*8-1)=""),"",IF($P$3="否",工时测量记录表!Z54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5" s="214" t="str">
        <f ca="1">IF(COUNT(N55:N62)=0,"",SUM(N55:N62))</f>
        <v/>
      </c>
      <c r="P55" s="213"/>
    </row>
    <row r="56" spans="1:17" ht="15.6">
      <c r="A56" s="232"/>
      <c r="B56" s="229"/>
      <c r="C56" s="148" t="str">
        <f>IF(工时测量记录表!D55="","",工时测量记录表!D55)</f>
        <v/>
      </c>
      <c r="D56" s="227"/>
      <c r="E56" s="227"/>
      <c r="F56" s="227"/>
      <c r="G56" s="227"/>
      <c r="H56" s="225"/>
      <c r="I56" s="225"/>
      <c r="J56" s="225"/>
      <c r="K56" s="225"/>
      <c r="L56" s="222"/>
      <c r="M56" s="217"/>
      <c r="N56" s="149" t="str">
        <f ca="1">IF(OR(C56="",INDIRECT("L"&amp;ROUNDUP((ROW()-6)/8,0)*8-1)=""),"",IF($P$3="否",工时测量记录表!Z55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6" s="214"/>
      <c r="P56" s="213"/>
    </row>
    <row r="57" spans="1:17" ht="15.6">
      <c r="A57" s="232"/>
      <c r="B57" s="229"/>
      <c r="C57" s="148" t="str">
        <f>IF(工时测量记录表!D56="","",工时测量记录表!D56)</f>
        <v/>
      </c>
      <c r="D57" s="227"/>
      <c r="E57" s="227"/>
      <c r="F57" s="227"/>
      <c r="G57" s="227"/>
      <c r="H57" s="225"/>
      <c r="I57" s="225"/>
      <c r="J57" s="225"/>
      <c r="K57" s="225"/>
      <c r="L57" s="222"/>
      <c r="M57" s="217"/>
      <c r="N57" s="149" t="str">
        <f ca="1">IF(OR(C57="",INDIRECT("L"&amp;ROUNDUP((ROW()-6)/8,0)*8-1)=""),"",IF($P$3="否",工时测量记录表!Z56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7" s="214"/>
      <c r="P57" s="213"/>
    </row>
    <row r="58" spans="1:17" ht="15.6">
      <c r="A58" s="232"/>
      <c r="B58" s="229"/>
      <c r="C58" s="148" t="str">
        <f>IF(工时测量记录表!D57="","",工时测量记录表!D57)</f>
        <v/>
      </c>
      <c r="D58" s="227"/>
      <c r="E58" s="227"/>
      <c r="F58" s="227"/>
      <c r="G58" s="227"/>
      <c r="H58" s="225"/>
      <c r="I58" s="225"/>
      <c r="J58" s="225"/>
      <c r="K58" s="225"/>
      <c r="L58" s="222"/>
      <c r="M58" s="217"/>
      <c r="N58" s="149" t="str">
        <f ca="1">IF(OR(C58="",INDIRECT("L"&amp;ROUNDUP((ROW()-6)/8,0)*8-1)=""),"",IF($P$3="否",工时测量记录表!Z57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8" s="214"/>
      <c r="P58" s="213"/>
    </row>
    <row r="59" spans="1:17" ht="15.6">
      <c r="A59" s="232"/>
      <c r="B59" s="229"/>
      <c r="C59" s="148" t="str">
        <f>IF(工时测量记录表!D58="","",工时测量记录表!D58)</f>
        <v/>
      </c>
      <c r="D59" s="227"/>
      <c r="E59" s="227"/>
      <c r="F59" s="227"/>
      <c r="G59" s="227"/>
      <c r="H59" s="225"/>
      <c r="I59" s="225"/>
      <c r="J59" s="225"/>
      <c r="K59" s="225"/>
      <c r="L59" s="222"/>
      <c r="M59" s="217"/>
      <c r="N59" s="149" t="str">
        <f ca="1">IF(OR(C59="",INDIRECT("L"&amp;ROUNDUP((ROW()-6)/8,0)*8-1)=""),"",IF($P$3="否",工时测量记录表!Z58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9" s="214"/>
      <c r="P59" s="213"/>
      <c r="Q59" s="125"/>
    </row>
    <row r="60" spans="1:17" ht="15.6">
      <c r="A60" s="232"/>
      <c r="B60" s="229"/>
      <c r="C60" s="148" t="str">
        <f>IF(工时测量记录表!D59="","",工时测量记录表!D59)</f>
        <v/>
      </c>
      <c r="D60" s="227"/>
      <c r="E60" s="227"/>
      <c r="F60" s="227"/>
      <c r="G60" s="227"/>
      <c r="H60" s="225"/>
      <c r="I60" s="225"/>
      <c r="J60" s="225"/>
      <c r="K60" s="225"/>
      <c r="L60" s="222"/>
      <c r="M60" s="217"/>
      <c r="N60" s="149" t="str">
        <f ca="1">IF(OR(C60="",INDIRECT("L"&amp;ROUNDUP((ROW()-6)/8,0)*8-1)=""),"",IF($P$3="否",工时测量记录表!Z59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0" s="214"/>
      <c r="P60" s="213"/>
    </row>
    <row r="61" spans="1:17" ht="15.6">
      <c r="A61" s="232"/>
      <c r="B61" s="229"/>
      <c r="C61" s="148" t="str">
        <f>IF(工时测量记录表!D60="","",工时测量记录表!D60)</f>
        <v/>
      </c>
      <c r="D61" s="227"/>
      <c r="E61" s="227"/>
      <c r="F61" s="227"/>
      <c r="G61" s="227"/>
      <c r="H61" s="225"/>
      <c r="I61" s="225"/>
      <c r="J61" s="225"/>
      <c r="K61" s="225"/>
      <c r="L61" s="222"/>
      <c r="M61" s="217"/>
      <c r="N61" s="149" t="str">
        <f ca="1">IF(OR(C61="",INDIRECT("L"&amp;ROUNDUP((ROW()-6)/8,0)*8-1)=""),"",IF($P$3="否",工时测量记录表!Z60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1" s="214"/>
      <c r="P61" s="213"/>
    </row>
    <row r="62" spans="1:17" ht="15.6">
      <c r="A62" s="232"/>
      <c r="B62" s="229"/>
      <c r="C62" s="148" t="str">
        <f>IF(工时测量记录表!D61="","",工时测量记录表!D61)</f>
        <v/>
      </c>
      <c r="D62" s="227"/>
      <c r="E62" s="227"/>
      <c r="F62" s="227"/>
      <c r="G62" s="227"/>
      <c r="H62" s="225"/>
      <c r="I62" s="225"/>
      <c r="J62" s="225"/>
      <c r="K62" s="225"/>
      <c r="L62" s="222"/>
      <c r="M62" s="217"/>
      <c r="N62" s="149" t="str">
        <f ca="1">IF(OR(C62="",INDIRECT("L"&amp;ROUNDUP((ROW()-6)/8,0)*8-1)=""),"",IF($P$3="否",工时测量记录表!Z61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2" s="214"/>
      <c r="P62" s="213"/>
    </row>
    <row r="63" spans="1:17" ht="15.6">
      <c r="A63" s="232">
        <f>IF(工时测量记录表!A62="","",工时测量记录表!A62)</f>
        <v>8</v>
      </c>
      <c r="B63" s="229" t="str">
        <f>IF(工时测量记录表!B62="","",工时测量记录表!B62)</f>
        <v/>
      </c>
      <c r="C63" s="148" t="str">
        <f>IF(工时测量记录表!D62="","",工时测量记录表!D62)</f>
        <v/>
      </c>
      <c r="D63" s="227">
        <f t="shared" ref="D63:K63" si="6">IF($A63="","",D$7)</f>
        <v>0</v>
      </c>
      <c r="E63" s="227">
        <f t="shared" si="6"/>
        <v>0</v>
      </c>
      <c r="F63" s="227">
        <f t="shared" si="6"/>
        <v>0</v>
      </c>
      <c r="G63" s="227">
        <f t="shared" si="6"/>
        <v>0</v>
      </c>
      <c r="H63" s="225">
        <f t="shared" si="6"/>
        <v>0</v>
      </c>
      <c r="I63" s="225">
        <f t="shared" si="6"/>
        <v>0</v>
      </c>
      <c r="J63" s="225">
        <f t="shared" si="6"/>
        <v>0</v>
      </c>
      <c r="K63" s="225">
        <f t="shared" si="6"/>
        <v>0</v>
      </c>
      <c r="L63" s="222" t="str">
        <f>IF(工时测量记录表!C62="","",工时测量记录表!C62)</f>
        <v/>
      </c>
      <c r="M63" s="217">
        <v>1</v>
      </c>
      <c r="N63" s="149" t="str">
        <f ca="1">IF(OR(C63="",INDIRECT("L"&amp;ROUNDUP((ROW()-6)/8,0)*8-1)=""),"",IF($P$3="否",工时测量记录表!Z62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3" s="214" t="str">
        <f ca="1">IF(COUNT(N63:N70)=0,"",SUM(N63:N70))</f>
        <v/>
      </c>
      <c r="P63" s="213"/>
    </row>
    <row r="64" spans="1:17" ht="15.6">
      <c r="A64" s="232"/>
      <c r="B64" s="229"/>
      <c r="C64" s="148" t="str">
        <f>IF(工时测量记录表!D63="","",工时测量记录表!D63)</f>
        <v/>
      </c>
      <c r="D64" s="227"/>
      <c r="E64" s="227"/>
      <c r="F64" s="227"/>
      <c r="G64" s="227"/>
      <c r="H64" s="225"/>
      <c r="I64" s="225"/>
      <c r="J64" s="225"/>
      <c r="K64" s="225"/>
      <c r="L64" s="222"/>
      <c r="M64" s="217"/>
      <c r="N64" s="149" t="str">
        <f ca="1">IF(OR(C64="",INDIRECT("L"&amp;ROUNDUP((ROW()-6)/8,0)*8-1)=""),"",IF($P$3="否",工时测量记录表!Z63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4" s="214"/>
      <c r="P64" s="213"/>
    </row>
    <row r="65" spans="1:17" ht="15.6">
      <c r="A65" s="232"/>
      <c r="B65" s="229"/>
      <c r="C65" s="148" t="str">
        <f>IF(工时测量记录表!D64="","",工时测量记录表!D64)</f>
        <v/>
      </c>
      <c r="D65" s="227"/>
      <c r="E65" s="227"/>
      <c r="F65" s="227"/>
      <c r="G65" s="227"/>
      <c r="H65" s="225"/>
      <c r="I65" s="225"/>
      <c r="J65" s="225"/>
      <c r="K65" s="225"/>
      <c r="L65" s="222"/>
      <c r="M65" s="217"/>
      <c r="N65" s="149" t="str">
        <f ca="1">IF(OR(C65="",INDIRECT("L"&amp;ROUNDUP((ROW()-6)/8,0)*8-1)=""),"",IF($P$3="否",工时测量记录表!Z64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5" s="214"/>
      <c r="P65" s="213"/>
    </row>
    <row r="66" spans="1:17" ht="15.6">
      <c r="A66" s="232"/>
      <c r="B66" s="229"/>
      <c r="C66" s="148" t="str">
        <f>IF(工时测量记录表!D65="","",工时测量记录表!D65)</f>
        <v/>
      </c>
      <c r="D66" s="227"/>
      <c r="E66" s="227"/>
      <c r="F66" s="227"/>
      <c r="G66" s="227"/>
      <c r="H66" s="225"/>
      <c r="I66" s="225"/>
      <c r="J66" s="225"/>
      <c r="K66" s="225"/>
      <c r="L66" s="222"/>
      <c r="M66" s="217"/>
      <c r="N66" s="149" t="str">
        <f ca="1">IF(OR(C66="",INDIRECT("L"&amp;ROUNDUP((ROW()-6)/8,0)*8-1)=""),"",IF($P$3="否",工时测量记录表!Z65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6" s="214"/>
      <c r="P66" s="213"/>
    </row>
    <row r="67" spans="1:17" ht="15.6">
      <c r="A67" s="232"/>
      <c r="B67" s="229"/>
      <c r="C67" s="148" t="str">
        <f>IF(工时测量记录表!D66="","",工时测量记录表!D66)</f>
        <v/>
      </c>
      <c r="D67" s="227"/>
      <c r="E67" s="227"/>
      <c r="F67" s="227"/>
      <c r="G67" s="227"/>
      <c r="H67" s="225"/>
      <c r="I67" s="225"/>
      <c r="J67" s="225"/>
      <c r="K67" s="225"/>
      <c r="L67" s="222"/>
      <c r="M67" s="217"/>
      <c r="N67" s="149" t="str">
        <f ca="1">IF(OR(C67="",INDIRECT("L"&amp;ROUNDUP((ROW()-6)/8,0)*8-1)=""),"",IF($P$3="否",工时测量记录表!Z66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7" s="214"/>
      <c r="P67" s="213"/>
      <c r="Q67" s="125"/>
    </row>
    <row r="68" spans="1:17" ht="15.6">
      <c r="A68" s="232"/>
      <c r="B68" s="229"/>
      <c r="C68" s="148" t="str">
        <f>IF(工时测量记录表!D67="","",工时测量记录表!D67)</f>
        <v/>
      </c>
      <c r="D68" s="227"/>
      <c r="E68" s="227"/>
      <c r="F68" s="227"/>
      <c r="G68" s="227"/>
      <c r="H68" s="225"/>
      <c r="I68" s="225"/>
      <c r="J68" s="225"/>
      <c r="K68" s="225"/>
      <c r="L68" s="222"/>
      <c r="M68" s="217"/>
      <c r="N68" s="149" t="str">
        <f ca="1">IF(OR(C68="",INDIRECT("L"&amp;ROUNDUP((ROW()-6)/8,0)*8-1)=""),"",IF($P$3="否",工时测量记录表!Z67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8" s="214"/>
      <c r="P68" s="213"/>
    </row>
    <row r="69" spans="1:17" ht="15.6">
      <c r="A69" s="232"/>
      <c r="B69" s="229"/>
      <c r="C69" s="148" t="str">
        <f>IF(工时测量记录表!D68="","",工时测量记录表!D68)</f>
        <v/>
      </c>
      <c r="D69" s="227"/>
      <c r="E69" s="227"/>
      <c r="F69" s="227"/>
      <c r="G69" s="227"/>
      <c r="H69" s="225"/>
      <c r="I69" s="225"/>
      <c r="J69" s="225"/>
      <c r="K69" s="225"/>
      <c r="L69" s="222"/>
      <c r="M69" s="217"/>
      <c r="N69" s="149" t="str">
        <f ca="1">IF(OR(C69="",INDIRECT("L"&amp;ROUNDUP((ROW()-6)/8,0)*8-1)=""),"",IF($P$3="否",工时测量记录表!Z68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9" s="214"/>
      <c r="P69" s="213"/>
    </row>
    <row r="70" spans="1:17" ht="15.6">
      <c r="A70" s="232"/>
      <c r="B70" s="229"/>
      <c r="C70" s="148" t="str">
        <f>IF(工时测量记录表!D69="","",工时测量记录表!D69)</f>
        <v/>
      </c>
      <c r="D70" s="227"/>
      <c r="E70" s="227"/>
      <c r="F70" s="227"/>
      <c r="G70" s="227"/>
      <c r="H70" s="225"/>
      <c r="I70" s="225"/>
      <c r="J70" s="225"/>
      <c r="K70" s="225"/>
      <c r="L70" s="222"/>
      <c r="M70" s="217"/>
      <c r="N70" s="149" t="str">
        <f ca="1">IF(OR(C70="",INDIRECT("L"&amp;ROUNDUP((ROW()-6)/8,0)*8-1)=""),"",IF($P$3="否",工时测量记录表!Z69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70" s="214"/>
      <c r="P70" s="213"/>
    </row>
    <row r="71" spans="1:17" ht="15.6">
      <c r="A71" s="232">
        <f>IF(工时测量记录表!A70="","",工时测量记录表!A70)</f>
        <v>9</v>
      </c>
      <c r="B71" s="229" t="str">
        <f>IF(工时测量记录表!B70="","",工时测量记录表!B70)</f>
        <v/>
      </c>
      <c r="C71" s="148" t="str">
        <f>IF(工时测量记录表!D70="","",工时测量记录表!D70)</f>
        <v/>
      </c>
      <c r="D71" s="227">
        <f t="shared" ref="D71:K71" si="7">IF($A71="","",D$7)</f>
        <v>0</v>
      </c>
      <c r="E71" s="227">
        <f t="shared" si="7"/>
        <v>0</v>
      </c>
      <c r="F71" s="227">
        <f t="shared" si="7"/>
        <v>0</v>
      </c>
      <c r="G71" s="227">
        <f t="shared" si="7"/>
        <v>0</v>
      </c>
      <c r="H71" s="225">
        <f t="shared" si="7"/>
        <v>0</v>
      </c>
      <c r="I71" s="225">
        <f t="shared" si="7"/>
        <v>0</v>
      </c>
      <c r="J71" s="225">
        <f t="shared" si="7"/>
        <v>0</v>
      </c>
      <c r="K71" s="225">
        <f t="shared" si="7"/>
        <v>0</v>
      </c>
      <c r="L71" s="222" t="str">
        <f>IF(工时测量记录表!C70="","",工时测量记录表!C70)</f>
        <v/>
      </c>
      <c r="M71" s="217">
        <v>1</v>
      </c>
      <c r="N71" s="149" t="str">
        <f ca="1">IF(OR(C71="",INDIRECT("L"&amp;ROUNDUP((ROW()-6)/8,0)*8-1)=""),"",IF($P$3="否",工时测量记录表!Z70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71" s="214" t="str">
        <f ca="1">IF(COUNT(N71:N78)=0,"",SUM(N71:N78))</f>
        <v/>
      </c>
      <c r="P71" s="213"/>
    </row>
    <row r="72" spans="1:17" ht="15.6">
      <c r="A72" s="232"/>
      <c r="B72" s="229"/>
      <c r="C72" s="148" t="str">
        <f>IF(工时测量记录表!D71="","",工时测量记录表!D71)</f>
        <v/>
      </c>
      <c r="D72" s="227"/>
      <c r="E72" s="227"/>
      <c r="F72" s="227"/>
      <c r="G72" s="227"/>
      <c r="H72" s="225"/>
      <c r="I72" s="225"/>
      <c r="J72" s="225"/>
      <c r="K72" s="225"/>
      <c r="L72" s="222"/>
      <c r="M72" s="217"/>
      <c r="N72" s="149" t="str">
        <f ca="1">IF(OR(C72="",INDIRECT("L"&amp;ROUNDUP((ROW()-6)/8,0)*8-1)=""),"",IF($P$3="否",工时测量记录表!Z71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72" s="214"/>
      <c r="P72" s="213"/>
    </row>
    <row r="73" spans="1:17" ht="15.6">
      <c r="A73" s="232"/>
      <c r="B73" s="229"/>
      <c r="C73" s="148" t="str">
        <f>IF(工时测量记录表!D72="","",工时测量记录表!D72)</f>
        <v/>
      </c>
      <c r="D73" s="227"/>
      <c r="E73" s="227"/>
      <c r="F73" s="227"/>
      <c r="G73" s="227"/>
      <c r="H73" s="225"/>
      <c r="I73" s="225"/>
      <c r="J73" s="225"/>
      <c r="K73" s="225"/>
      <c r="L73" s="222"/>
      <c r="M73" s="217"/>
      <c r="N73" s="149" t="str">
        <f ca="1">IF(OR(C73="",INDIRECT("L"&amp;ROUNDUP((ROW()-6)/8,0)*8-1)=""),"",IF($P$3="否",工时测量记录表!Z72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73" s="214"/>
      <c r="P73" s="213"/>
    </row>
    <row r="74" spans="1:17" ht="15.6">
      <c r="A74" s="232"/>
      <c r="B74" s="229"/>
      <c r="C74" s="148" t="str">
        <f>IF(工时测量记录表!D73="","",工时测量记录表!D73)</f>
        <v/>
      </c>
      <c r="D74" s="227"/>
      <c r="E74" s="227"/>
      <c r="F74" s="227"/>
      <c r="G74" s="227"/>
      <c r="H74" s="225"/>
      <c r="I74" s="225"/>
      <c r="J74" s="225"/>
      <c r="K74" s="225"/>
      <c r="L74" s="222"/>
      <c r="M74" s="217"/>
      <c r="N74" s="149" t="str">
        <f ca="1">IF(OR(C74="",INDIRECT("L"&amp;ROUNDUP((ROW()-6)/8,0)*8-1)=""),"",IF($P$3="否",工时测量记录表!Z73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74" s="214"/>
      <c r="P74" s="213"/>
    </row>
    <row r="75" spans="1:17" ht="15.6">
      <c r="A75" s="232"/>
      <c r="B75" s="229"/>
      <c r="C75" s="148" t="str">
        <f>IF(工时测量记录表!D74="","",工时测量记录表!D74)</f>
        <v/>
      </c>
      <c r="D75" s="227"/>
      <c r="E75" s="227"/>
      <c r="F75" s="227"/>
      <c r="G75" s="227"/>
      <c r="H75" s="225"/>
      <c r="I75" s="225"/>
      <c r="J75" s="225"/>
      <c r="K75" s="225"/>
      <c r="L75" s="222"/>
      <c r="M75" s="217"/>
      <c r="N75" s="149" t="str">
        <f ca="1">IF(OR(C75="",INDIRECT("L"&amp;ROUNDUP((ROW()-6)/8,0)*8-1)=""),"",IF($P$3="否",工时测量记录表!Z74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75" s="214"/>
      <c r="P75" s="213"/>
      <c r="Q75" s="125"/>
    </row>
    <row r="76" spans="1:17" ht="15.6">
      <c r="A76" s="232"/>
      <c r="B76" s="229"/>
      <c r="C76" s="148" t="str">
        <f>IF(工时测量记录表!D75="","",工时测量记录表!D75)</f>
        <v/>
      </c>
      <c r="D76" s="227"/>
      <c r="E76" s="227"/>
      <c r="F76" s="227"/>
      <c r="G76" s="227"/>
      <c r="H76" s="225"/>
      <c r="I76" s="225"/>
      <c r="J76" s="225"/>
      <c r="K76" s="225"/>
      <c r="L76" s="222"/>
      <c r="M76" s="217"/>
      <c r="N76" s="149" t="str">
        <f ca="1">IF(OR(C76="",INDIRECT("L"&amp;ROUNDUP((ROW()-6)/8,0)*8-1)=""),"",IF($P$3="否",工时测量记录表!Z75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76" s="214"/>
      <c r="P76" s="213"/>
    </row>
    <row r="77" spans="1:17" ht="15.6">
      <c r="A77" s="232"/>
      <c r="B77" s="229"/>
      <c r="C77" s="148" t="str">
        <f>IF(工时测量记录表!D76="","",工时测量记录表!D76)</f>
        <v/>
      </c>
      <c r="D77" s="227"/>
      <c r="E77" s="227"/>
      <c r="F77" s="227"/>
      <c r="G77" s="227"/>
      <c r="H77" s="225"/>
      <c r="I77" s="225"/>
      <c r="J77" s="225"/>
      <c r="K77" s="225"/>
      <c r="L77" s="222"/>
      <c r="M77" s="217"/>
      <c r="N77" s="149" t="str">
        <f ca="1">IF(OR(C77="",INDIRECT("L"&amp;ROUNDUP((ROW()-6)/8,0)*8-1)=""),"",IF($P$3="否",工时测量记录表!Z76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77" s="214"/>
      <c r="P77" s="213"/>
    </row>
    <row r="78" spans="1:17" ht="15.6">
      <c r="A78" s="232"/>
      <c r="B78" s="229"/>
      <c r="C78" s="148" t="str">
        <f>IF(工时测量记录表!D77="","",工时测量记录表!D77)</f>
        <v/>
      </c>
      <c r="D78" s="227"/>
      <c r="E78" s="227"/>
      <c r="F78" s="227"/>
      <c r="G78" s="227"/>
      <c r="H78" s="225"/>
      <c r="I78" s="225"/>
      <c r="J78" s="225"/>
      <c r="K78" s="225"/>
      <c r="L78" s="222"/>
      <c r="M78" s="217"/>
      <c r="N78" s="149" t="str">
        <f ca="1">IF(OR(C78="",INDIRECT("L"&amp;ROUNDUP((ROW()-6)/8,0)*8-1)=""),"",IF($P$3="否",工时测量记录表!Z77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78" s="214"/>
      <c r="P78" s="213"/>
    </row>
    <row r="79" spans="1:17" ht="15.6">
      <c r="A79" s="232">
        <f>IF(工时测量记录表!A78="","",工时测量记录表!A78)</f>
        <v>10</v>
      </c>
      <c r="B79" s="229" t="str">
        <f>IF(工时测量记录表!B78="","",工时测量记录表!B78)</f>
        <v/>
      </c>
      <c r="C79" s="148" t="str">
        <f>IF(工时测量记录表!D78="","",工时测量记录表!D78)</f>
        <v/>
      </c>
      <c r="D79" s="227">
        <f t="shared" ref="D79:K79" si="8">IF($A79="","",D$7)</f>
        <v>0</v>
      </c>
      <c r="E79" s="227">
        <f t="shared" si="8"/>
        <v>0</v>
      </c>
      <c r="F79" s="227">
        <f t="shared" si="8"/>
        <v>0</v>
      </c>
      <c r="G79" s="227">
        <f t="shared" si="8"/>
        <v>0</v>
      </c>
      <c r="H79" s="225">
        <f t="shared" si="8"/>
        <v>0</v>
      </c>
      <c r="I79" s="225">
        <f t="shared" si="8"/>
        <v>0</v>
      </c>
      <c r="J79" s="225">
        <f t="shared" si="8"/>
        <v>0</v>
      </c>
      <c r="K79" s="225">
        <f t="shared" si="8"/>
        <v>0</v>
      </c>
      <c r="L79" s="222" t="str">
        <f>IF(工时测量记录表!C78="","",工时测量记录表!C78)</f>
        <v/>
      </c>
      <c r="M79" s="217">
        <v>1</v>
      </c>
      <c r="N79" s="149" t="str">
        <f ca="1">IF(OR(C79="",INDIRECT("L"&amp;ROUNDUP((ROW()-6)/8,0)*8-1)=""),"",IF($P$3="否",工时测量记录表!Z78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79" s="214" t="str">
        <f ca="1">IF(COUNT(N79:N86)=0,"",SUM(N79:N86))</f>
        <v/>
      </c>
      <c r="P79" s="213"/>
    </row>
    <row r="80" spans="1:17" ht="15.6">
      <c r="A80" s="232"/>
      <c r="B80" s="229"/>
      <c r="C80" s="148" t="str">
        <f>IF(工时测量记录表!D79="","",工时测量记录表!D79)</f>
        <v/>
      </c>
      <c r="D80" s="227"/>
      <c r="E80" s="227"/>
      <c r="F80" s="227"/>
      <c r="G80" s="227"/>
      <c r="H80" s="225"/>
      <c r="I80" s="225"/>
      <c r="J80" s="225"/>
      <c r="K80" s="225"/>
      <c r="L80" s="222"/>
      <c r="M80" s="217"/>
      <c r="N80" s="149" t="str">
        <f ca="1">IF(OR(C80="",INDIRECT("L"&amp;ROUNDUP((ROW()-6)/8,0)*8-1)=""),"",IF($P$3="否",工时测量记录表!Z79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79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80" s="214"/>
      <c r="P80" s="213"/>
    </row>
    <row r="81" spans="1:17" ht="15.6">
      <c r="A81" s="232"/>
      <c r="B81" s="229"/>
      <c r="C81" s="148" t="str">
        <f>IF(工时测量记录表!D80="","",工时测量记录表!D80)</f>
        <v/>
      </c>
      <c r="D81" s="227"/>
      <c r="E81" s="227"/>
      <c r="F81" s="227"/>
      <c r="G81" s="227"/>
      <c r="H81" s="225"/>
      <c r="I81" s="225"/>
      <c r="J81" s="225"/>
      <c r="K81" s="225"/>
      <c r="L81" s="222"/>
      <c r="M81" s="217"/>
      <c r="N81" s="149" t="str">
        <f ca="1">IF(OR(C81="",INDIRECT("L"&amp;ROUNDUP((ROW()-6)/8,0)*8-1)=""),"",IF($P$3="否",工时测量记录表!Z80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81" s="214"/>
      <c r="P81" s="213"/>
    </row>
    <row r="82" spans="1:17" ht="15.6">
      <c r="A82" s="232"/>
      <c r="B82" s="229"/>
      <c r="C82" s="148" t="str">
        <f>IF(工时测量记录表!D81="","",工时测量记录表!D81)</f>
        <v/>
      </c>
      <c r="D82" s="227"/>
      <c r="E82" s="227"/>
      <c r="F82" s="227"/>
      <c r="G82" s="227"/>
      <c r="H82" s="225"/>
      <c r="I82" s="225"/>
      <c r="J82" s="225"/>
      <c r="K82" s="225"/>
      <c r="L82" s="222"/>
      <c r="M82" s="217"/>
      <c r="N82" s="149" t="str">
        <f ca="1">IF(OR(C82="",INDIRECT("L"&amp;ROUNDUP((ROW()-6)/8,0)*8-1)=""),"",IF($P$3="否",工时测量记录表!Z81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82" s="214"/>
      <c r="P82" s="213"/>
    </row>
    <row r="83" spans="1:17" ht="15.6">
      <c r="A83" s="232"/>
      <c r="B83" s="229"/>
      <c r="C83" s="148" t="str">
        <f>IF(工时测量记录表!D82="","",工时测量记录表!D82)</f>
        <v/>
      </c>
      <c r="D83" s="227"/>
      <c r="E83" s="227"/>
      <c r="F83" s="227"/>
      <c r="G83" s="227"/>
      <c r="H83" s="225"/>
      <c r="I83" s="225"/>
      <c r="J83" s="225"/>
      <c r="K83" s="225"/>
      <c r="L83" s="222"/>
      <c r="M83" s="217"/>
      <c r="N83" s="149" t="str">
        <f ca="1">IF(OR(C83="",INDIRECT("L"&amp;ROUNDUP((ROW()-6)/8,0)*8-1)=""),"",IF($P$3="否",工时测量记录表!Z82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83" s="214"/>
      <c r="P83" s="213"/>
      <c r="Q83" s="125"/>
    </row>
    <row r="84" spans="1:17" ht="15.6">
      <c r="A84" s="232"/>
      <c r="B84" s="229"/>
      <c r="C84" s="148" t="str">
        <f>IF(工时测量记录表!D83="","",工时测量记录表!D83)</f>
        <v/>
      </c>
      <c r="D84" s="227"/>
      <c r="E84" s="227"/>
      <c r="F84" s="227"/>
      <c r="G84" s="227"/>
      <c r="H84" s="225"/>
      <c r="I84" s="225"/>
      <c r="J84" s="225"/>
      <c r="K84" s="225"/>
      <c r="L84" s="222"/>
      <c r="M84" s="217"/>
      <c r="N84" s="149" t="str">
        <f ca="1">IF(OR(C84="",INDIRECT("L"&amp;ROUNDUP((ROW()-6)/8,0)*8-1)=""),"",IF($P$3="否",工时测量记录表!Z83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84" s="214"/>
      <c r="P84" s="213"/>
    </row>
    <row r="85" spans="1:17" ht="15.6">
      <c r="A85" s="232"/>
      <c r="B85" s="229"/>
      <c r="C85" s="148" t="str">
        <f>IF(工时测量记录表!D84="","",工时测量记录表!D84)</f>
        <v/>
      </c>
      <c r="D85" s="227"/>
      <c r="E85" s="227"/>
      <c r="F85" s="227"/>
      <c r="G85" s="227"/>
      <c r="H85" s="225"/>
      <c r="I85" s="225"/>
      <c r="J85" s="225"/>
      <c r="K85" s="225"/>
      <c r="L85" s="222"/>
      <c r="M85" s="217"/>
      <c r="N85" s="149" t="str">
        <f ca="1">IF(OR(C85="",INDIRECT("L"&amp;ROUNDUP((ROW()-6)/8,0)*8-1)=""),"",IF($P$3="否",工时测量记录表!Z84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85" s="214"/>
      <c r="P85" s="213"/>
    </row>
    <row r="86" spans="1:17" ht="15.6">
      <c r="A86" s="232"/>
      <c r="B86" s="229"/>
      <c r="C86" s="148" t="str">
        <f>IF(工时测量记录表!D85="","",工时测量记录表!D85)</f>
        <v/>
      </c>
      <c r="D86" s="227"/>
      <c r="E86" s="227"/>
      <c r="F86" s="227"/>
      <c r="G86" s="227"/>
      <c r="H86" s="225"/>
      <c r="I86" s="225"/>
      <c r="J86" s="225"/>
      <c r="K86" s="225"/>
      <c r="L86" s="222"/>
      <c r="M86" s="217"/>
      <c r="N86" s="149" t="str">
        <f ca="1">IF(OR(C86="",INDIRECT("L"&amp;ROUNDUP((ROW()-6)/8,0)*8-1)=""),"",IF($P$3="否",工时测量记录表!Z85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86" s="214"/>
      <c r="P86" s="213"/>
    </row>
    <row r="87" spans="1:17" ht="15.6">
      <c r="A87" s="232">
        <f>IF(工时测量记录表!A86="","",工时测量记录表!A86)</f>
        <v>11</v>
      </c>
      <c r="B87" s="229" t="str">
        <f>IF(工时测量记录表!B86="","",工时测量记录表!B86)</f>
        <v/>
      </c>
      <c r="C87" s="148" t="str">
        <f>IF(工时测量记录表!D86="","",工时测量记录表!D86)</f>
        <v/>
      </c>
      <c r="D87" s="227">
        <f t="shared" ref="D87:K87" si="9">IF($A87="","",D$7)</f>
        <v>0</v>
      </c>
      <c r="E87" s="227">
        <f t="shared" si="9"/>
        <v>0</v>
      </c>
      <c r="F87" s="227">
        <f t="shared" si="9"/>
        <v>0</v>
      </c>
      <c r="G87" s="227">
        <f t="shared" si="9"/>
        <v>0</v>
      </c>
      <c r="H87" s="225">
        <f t="shared" si="9"/>
        <v>0</v>
      </c>
      <c r="I87" s="225">
        <f t="shared" si="9"/>
        <v>0</v>
      </c>
      <c r="J87" s="225">
        <f t="shared" si="9"/>
        <v>0</v>
      </c>
      <c r="K87" s="225">
        <f t="shared" si="9"/>
        <v>0</v>
      </c>
      <c r="L87" s="222" t="str">
        <f>IF(工时测量记录表!C86="","",工时测量记录表!C86)</f>
        <v/>
      </c>
      <c r="M87" s="217">
        <v>1</v>
      </c>
      <c r="N87" s="149" t="str">
        <f ca="1">IF(OR(C87="",INDIRECT("L"&amp;ROUNDUP((ROW()-6)/8,0)*8-1)=""),"",IF($P$3="否",工时测量记录表!Z86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87" s="214" t="str">
        <f ca="1">IF(COUNT(N87:N94)=0,"",SUM(N87:N94))</f>
        <v/>
      </c>
      <c r="P87" s="213"/>
    </row>
    <row r="88" spans="1:17" ht="15.6">
      <c r="A88" s="232"/>
      <c r="B88" s="229"/>
      <c r="C88" s="148" t="str">
        <f>IF(工时测量记录表!D87="","",工时测量记录表!D87)</f>
        <v/>
      </c>
      <c r="D88" s="227"/>
      <c r="E88" s="227"/>
      <c r="F88" s="227"/>
      <c r="G88" s="227"/>
      <c r="H88" s="225"/>
      <c r="I88" s="225"/>
      <c r="J88" s="225"/>
      <c r="K88" s="225"/>
      <c r="L88" s="222"/>
      <c r="M88" s="217"/>
      <c r="N88" s="149" t="str">
        <f ca="1">IF(OR(C88="",INDIRECT("L"&amp;ROUNDUP((ROW()-6)/8,0)*8-1)=""),"",IF($P$3="否",工时测量记录表!Z87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88" s="214"/>
      <c r="P88" s="213"/>
    </row>
    <row r="89" spans="1:17" ht="15.6">
      <c r="A89" s="232"/>
      <c r="B89" s="229"/>
      <c r="C89" s="148" t="str">
        <f>IF(工时测量记录表!D88="","",工时测量记录表!D88)</f>
        <v/>
      </c>
      <c r="D89" s="227"/>
      <c r="E89" s="227"/>
      <c r="F89" s="227"/>
      <c r="G89" s="227"/>
      <c r="H89" s="225"/>
      <c r="I89" s="225"/>
      <c r="J89" s="225"/>
      <c r="K89" s="225"/>
      <c r="L89" s="222"/>
      <c r="M89" s="217"/>
      <c r="N89" s="149" t="str">
        <f ca="1">IF(OR(C89="",INDIRECT("L"&amp;ROUNDUP((ROW()-6)/8,0)*8-1)=""),"",IF($P$3="否",工时测量记录表!Z88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89" s="214"/>
      <c r="P89" s="213"/>
    </row>
    <row r="90" spans="1:17" ht="15.6">
      <c r="A90" s="232"/>
      <c r="B90" s="229"/>
      <c r="C90" s="148" t="str">
        <f>IF(工时测量记录表!D89="","",工时测量记录表!D89)</f>
        <v/>
      </c>
      <c r="D90" s="227"/>
      <c r="E90" s="227"/>
      <c r="F90" s="227"/>
      <c r="G90" s="227"/>
      <c r="H90" s="225"/>
      <c r="I90" s="225"/>
      <c r="J90" s="225"/>
      <c r="K90" s="225"/>
      <c r="L90" s="222"/>
      <c r="M90" s="217"/>
      <c r="N90" s="149" t="str">
        <f ca="1">IF(OR(C90="",INDIRECT("L"&amp;ROUNDUP((ROW()-6)/8,0)*8-1)=""),"",IF($P$3="否",工时测量记录表!Z89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89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90" s="214"/>
      <c r="P90" s="213"/>
    </row>
    <row r="91" spans="1:17" ht="15.6">
      <c r="A91" s="232"/>
      <c r="B91" s="229"/>
      <c r="C91" s="148" t="str">
        <f>IF(工时测量记录表!D90="","",工时测量记录表!D90)</f>
        <v/>
      </c>
      <c r="D91" s="227"/>
      <c r="E91" s="227"/>
      <c r="F91" s="227"/>
      <c r="G91" s="227"/>
      <c r="H91" s="225"/>
      <c r="I91" s="225"/>
      <c r="J91" s="225"/>
      <c r="K91" s="225"/>
      <c r="L91" s="222"/>
      <c r="M91" s="217"/>
      <c r="N91" s="149" t="str">
        <f ca="1">IF(OR(C91="",INDIRECT("L"&amp;ROUNDUP((ROW()-6)/8,0)*8-1)=""),"",IF($P$3="否",工时测量记录表!Z90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91" s="214"/>
      <c r="P91" s="213"/>
      <c r="Q91" s="125"/>
    </row>
    <row r="92" spans="1:17" ht="15.6">
      <c r="A92" s="232"/>
      <c r="B92" s="229"/>
      <c r="C92" s="148" t="str">
        <f>IF(工时测量记录表!D91="","",工时测量记录表!D91)</f>
        <v/>
      </c>
      <c r="D92" s="227"/>
      <c r="E92" s="227"/>
      <c r="F92" s="227"/>
      <c r="G92" s="227"/>
      <c r="H92" s="225"/>
      <c r="I92" s="225"/>
      <c r="J92" s="225"/>
      <c r="K92" s="225"/>
      <c r="L92" s="222"/>
      <c r="M92" s="217"/>
      <c r="N92" s="149" t="str">
        <f ca="1">IF(OR(C92="",INDIRECT("L"&amp;ROUNDUP((ROW()-6)/8,0)*8-1)=""),"",IF($P$3="否",工时测量记录表!Z91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92" s="214"/>
      <c r="P92" s="213"/>
    </row>
    <row r="93" spans="1:17" ht="15.6">
      <c r="A93" s="232"/>
      <c r="B93" s="229"/>
      <c r="C93" s="148" t="str">
        <f>IF(工时测量记录表!D92="","",工时测量记录表!D92)</f>
        <v/>
      </c>
      <c r="D93" s="227"/>
      <c r="E93" s="227"/>
      <c r="F93" s="227"/>
      <c r="G93" s="227"/>
      <c r="H93" s="225"/>
      <c r="I93" s="225"/>
      <c r="J93" s="225"/>
      <c r="K93" s="225"/>
      <c r="L93" s="222"/>
      <c r="M93" s="217"/>
      <c r="N93" s="149" t="str">
        <f ca="1">IF(OR(C93="",INDIRECT("L"&amp;ROUNDUP((ROW()-6)/8,0)*8-1)=""),"",IF($P$3="否",工时测量记录表!Z92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93" s="214"/>
      <c r="P93" s="213"/>
    </row>
    <row r="94" spans="1:17" ht="15.6">
      <c r="A94" s="232"/>
      <c r="B94" s="229"/>
      <c r="C94" s="148" t="str">
        <f>IF(工时测量记录表!D93="","",工时测量记录表!D93)</f>
        <v/>
      </c>
      <c r="D94" s="227"/>
      <c r="E94" s="227"/>
      <c r="F94" s="227"/>
      <c r="G94" s="227"/>
      <c r="H94" s="225"/>
      <c r="I94" s="225"/>
      <c r="J94" s="225"/>
      <c r="K94" s="225"/>
      <c r="L94" s="222"/>
      <c r="M94" s="217"/>
      <c r="N94" s="149" t="str">
        <f ca="1">IF(OR(C94="",INDIRECT("L"&amp;ROUNDUP((ROW()-6)/8,0)*8-1)=""),"",IF($P$3="否",工时测量记录表!Z93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94" s="214"/>
      <c r="P94" s="213"/>
    </row>
    <row r="95" spans="1:17" ht="15.6">
      <c r="A95" s="232">
        <f>IF(工时测量记录表!A94="","",工时测量记录表!A94)</f>
        <v>12</v>
      </c>
      <c r="B95" s="229" t="str">
        <f>IF(工时测量记录表!B94="","",工时测量记录表!B94)</f>
        <v/>
      </c>
      <c r="C95" s="148" t="str">
        <f>IF(工时测量记录表!D94="","",工时测量记录表!D94)</f>
        <v/>
      </c>
      <c r="D95" s="227">
        <f t="shared" ref="D95:K95" si="10">IF($A95="","",D$7)</f>
        <v>0</v>
      </c>
      <c r="E95" s="227">
        <f t="shared" si="10"/>
        <v>0</v>
      </c>
      <c r="F95" s="227">
        <f t="shared" si="10"/>
        <v>0</v>
      </c>
      <c r="G95" s="227">
        <f t="shared" si="10"/>
        <v>0</v>
      </c>
      <c r="H95" s="225">
        <f t="shared" si="10"/>
        <v>0</v>
      </c>
      <c r="I95" s="225">
        <f t="shared" si="10"/>
        <v>0</v>
      </c>
      <c r="J95" s="225">
        <f t="shared" si="10"/>
        <v>0</v>
      </c>
      <c r="K95" s="225">
        <f t="shared" si="10"/>
        <v>0</v>
      </c>
      <c r="L95" s="222" t="str">
        <f>IF(工时测量记录表!C94="","",工时测量记录表!C94)</f>
        <v/>
      </c>
      <c r="M95" s="217">
        <v>1</v>
      </c>
      <c r="N95" s="149" t="str">
        <f ca="1">IF(OR(C95="",INDIRECT("L"&amp;ROUNDUP((ROW()-6)/8,0)*8-1)=""),"",IF($P$3="否",工时测量记录表!Z94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95" s="214" t="str">
        <f ca="1">IF(COUNT(N95:N102)=0,"",SUM(N95:N102))</f>
        <v/>
      </c>
      <c r="P95" s="213"/>
    </row>
    <row r="96" spans="1:17" ht="15.6">
      <c r="A96" s="232"/>
      <c r="B96" s="229"/>
      <c r="C96" s="148" t="str">
        <f>IF(工时测量记录表!D95="","",工时测量记录表!D95)</f>
        <v/>
      </c>
      <c r="D96" s="227"/>
      <c r="E96" s="227"/>
      <c r="F96" s="227"/>
      <c r="G96" s="227"/>
      <c r="H96" s="225"/>
      <c r="I96" s="225"/>
      <c r="J96" s="225"/>
      <c r="K96" s="225"/>
      <c r="L96" s="222"/>
      <c r="M96" s="217"/>
      <c r="N96" s="149" t="str">
        <f ca="1">IF(OR(C96="",INDIRECT("L"&amp;ROUNDUP((ROW()-6)/8,0)*8-1)=""),"",IF($P$3="否",工时测量记录表!Z95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96" s="214"/>
      <c r="P96" s="213"/>
    </row>
    <row r="97" spans="1:17" ht="15.6">
      <c r="A97" s="232"/>
      <c r="B97" s="229"/>
      <c r="C97" s="148" t="str">
        <f>IF(工时测量记录表!D96="","",工时测量记录表!D96)</f>
        <v/>
      </c>
      <c r="D97" s="227"/>
      <c r="E97" s="227"/>
      <c r="F97" s="227"/>
      <c r="G97" s="227"/>
      <c r="H97" s="225"/>
      <c r="I97" s="225"/>
      <c r="J97" s="225"/>
      <c r="K97" s="225"/>
      <c r="L97" s="222"/>
      <c r="M97" s="217"/>
      <c r="N97" s="149" t="str">
        <f ca="1">IF(OR(C97="",INDIRECT("L"&amp;ROUNDUP((ROW()-6)/8,0)*8-1)=""),"",IF($P$3="否",工时测量记录表!Z96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97" s="214"/>
      <c r="P97" s="213"/>
    </row>
    <row r="98" spans="1:17" ht="15.6">
      <c r="A98" s="232"/>
      <c r="B98" s="229"/>
      <c r="C98" s="148" t="str">
        <f>IF(工时测量记录表!D97="","",工时测量记录表!D97)</f>
        <v/>
      </c>
      <c r="D98" s="227"/>
      <c r="E98" s="227"/>
      <c r="F98" s="227"/>
      <c r="G98" s="227"/>
      <c r="H98" s="225"/>
      <c r="I98" s="225"/>
      <c r="J98" s="225"/>
      <c r="K98" s="225"/>
      <c r="L98" s="222"/>
      <c r="M98" s="217"/>
      <c r="N98" s="149" t="str">
        <f ca="1">IF(OR(C98="",INDIRECT("L"&amp;ROUNDUP((ROW()-6)/8,0)*8-1)=""),"",IF($P$3="否",工时测量记录表!Z97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98" s="214"/>
      <c r="P98" s="213"/>
    </row>
    <row r="99" spans="1:17" ht="15.6">
      <c r="A99" s="232"/>
      <c r="B99" s="229"/>
      <c r="C99" s="148" t="str">
        <f>IF(工时测量记录表!D98="","",工时测量记录表!D98)</f>
        <v/>
      </c>
      <c r="D99" s="227"/>
      <c r="E99" s="227"/>
      <c r="F99" s="227"/>
      <c r="G99" s="227"/>
      <c r="H99" s="225"/>
      <c r="I99" s="225"/>
      <c r="J99" s="225"/>
      <c r="K99" s="225"/>
      <c r="L99" s="222"/>
      <c r="M99" s="217"/>
      <c r="N99" s="149" t="str">
        <f ca="1">IF(OR(C99="",INDIRECT("L"&amp;ROUNDUP((ROW()-6)/8,0)*8-1)=""),"",IF($P$3="否",工时测量记录表!Z98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99" s="214"/>
      <c r="P99" s="213"/>
      <c r="Q99" s="125"/>
    </row>
    <row r="100" spans="1:17" ht="15.6">
      <c r="A100" s="232"/>
      <c r="B100" s="229"/>
      <c r="C100" s="148" t="str">
        <f>IF(工时测量记录表!D99="","",工时测量记录表!D99)</f>
        <v/>
      </c>
      <c r="D100" s="227"/>
      <c r="E100" s="227"/>
      <c r="F100" s="227"/>
      <c r="G100" s="227"/>
      <c r="H100" s="225"/>
      <c r="I100" s="225"/>
      <c r="J100" s="225"/>
      <c r="K100" s="225"/>
      <c r="L100" s="222"/>
      <c r="M100" s="217"/>
      <c r="N100" s="149" t="str">
        <f ca="1">IF(OR(C100="",INDIRECT("L"&amp;ROUNDUP((ROW()-6)/8,0)*8-1)=""),"",IF($P$3="否",工时测量记录表!Z99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99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00" s="214"/>
      <c r="P100" s="213"/>
    </row>
    <row r="101" spans="1:17" ht="15.6">
      <c r="A101" s="232"/>
      <c r="B101" s="229"/>
      <c r="C101" s="148" t="str">
        <f>IF(工时测量记录表!D100="","",工时测量记录表!D100)</f>
        <v/>
      </c>
      <c r="D101" s="227"/>
      <c r="E101" s="227"/>
      <c r="F101" s="227"/>
      <c r="G101" s="227"/>
      <c r="H101" s="225"/>
      <c r="I101" s="225"/>
      <c r="J101" s="225"/>
      <c r="K101" s="225"/>
      <c r="L101" s="222"/>
      <c r="M101" s="217"/>
      <c r="N101" s="149" t="str">
        <f ca="1">IF(OR(C101="",INDIRECT("L"&amp;ROUNDUP((ROW()-6)/8,0)*8-1)=""),"",IF($P$3="否",工时测量记录表!Z100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01" s="214"/>
      <c r="P101" s="213"/>
    </row>
    <row r="102" spans="1:17" ht="15.6">
      <c r="A102" s="232"/>
      <c r="B102" s="229"/>
      <c r="C102" s="148" t="str">
        <f>IF(工时测量记录表!D101="","",工时测量记录表!D101)</f>
        <v/>
      </c>
      <c r="D102" s="227"/>
      <c r="E102" s="227"/>
      <c r="F102" s="227"/>
      <c r="G102" s="227"/>
      <c r="H102" s="225"/>
      <c r="I102" s="225"/>
      <c r="J102" s="225"/>
      <c r="K102" s="225"/>
      <c r="L102" s="222"/>
      <c r="M102" s="217"/>
      <c r="N102" s="149" t="str">
        <f ca="1">IF(OR(C102="",INDIRECT("L"&amp;ROUNDUP((ROW()-6)/8,0)*8-1)=""),"",IF($P$3="否",工时测量记录表!Z101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02" s="214"/>
      <c r="P102" s="213"/>
    </row>
    <row r="103" spans="1:17" ht="15.6">
      <c r="A103" s="232">
        <f>IF(工时测量记录表!A102="","",工时测量记录表!A102)</f>
        <v>13</v>
      </c>
      <c r="B103" s="229" t="str">
        <f>IF(工时测量记录表!B102="","",工时测量记录表!B102)</f>
        <v/>
      </c>
      <c r="C103" s="148" t="str">
        <f>IF(工时测量记录表!D102="","",工时测量记录表!D102)</f>
        <v/>
      </c>
      <c r="D103" s="227">
        <f t="shared" ref="D103:K103" si="11">IF($A103="","",D$7)</f>
        <v>0</v>
      </c>
      <c r="E103" s="227">
        <f t="shared" si="11"/>
        <v>0</v>
      </c>
      <c r="F103" s="227">
        <f t="shared" si="11"/>
        <v>0</v>
      </c>
      <c r="G103" s="227">
        <f t="shared" si="11"/>
        <v>0</v>
      </c>
      <c r="H103" s="225">
        <f t="shared" si="11"/>
        <v>0</v>
      </c>
      <c r="I103" s="225">
        <f t="shared" si="11"/>
        <v>0</v>
      </c>
      <c r="J103" s="225">
        <f t="shared" si="11"/>
        <v>0</v>
      </c>
      <c r="K103" s="225">
        <f t="shared" si="11"/>
        <v>0</v>
      </c>
      <c r="L103" s="222" t="str">
        <f>IF(工时测量记录表!C102="","",工时测量记录表!C102)</f>
        <v/>
      </c>
      <c r="M103" s="217">
        <v>1</v>
      </c>
      <c r="N103" s="149" t="str">
        <f ca="1">IF(OR(C103="",INDIRECT("L"&amp;ROUNDUP((ROW()-6)/8,0)*8-1)=""),"",IF($P$3="否",工时测量记录表!Z102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03" s="214" t="str">
        <f ca="1">IF(COUNT(N103:N110)=0,"",SUM(N103:N110))</f>
        <v/>
      </c>
      <c r="P103" s="213"/>
    </row>
    <row r="104" spans="1:17" ht="15.6">
      <c r="A104" s="232"/>
      <c r="B104" s="229"/>
      <c r="C104" s="148" t="str">
        <f>IF(工时测量记录表!D103="","",工时测量记录表!D103)</f>
        <v/>
      </c>
      <c r="D104" s="227"/>
      <c r="E104" s="227"/>
      <c r="F104" s="227"/>
      <c r="G104" s="227"/>
      <c r="H104" s="225"/>
      <c r="I104" s="225"/>
      <c r="J104" s="225"/>
      <c r="K104" s="225"/>
      <c r="L104" s="222"/>
      <c r="M104" s="217"/>
      <c r="N104" s="149" t="str">
        <f ca="1">IF(OR(C104="",INDIRECT("L"&amp;ROUNDUP((ROW()-6)/8,0)*8-1)=""),"",IF($P$3="否",工时测量记录表!Z103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04" s="214"/>
      <c r="P104" s="213"/>
    </row>
    <row r="105" spans="1:17" ht="15.6">
      <c r="A105" s="232"/>
      <c r="B105" s="229"/>
      <c r="C105" s="148" t="str">
        <f>IF(工时测量记录表!D104="","",工时测量记录表!D104)</f>
        <v/>
      </c>
      <c r="D105" s="227"/>
      <c r="E105" s="227"/>
      <c r="F105" s="227"/>
      <c r="G105" s="227"/>
      <c r="H105" s="225"/>
      <c r="I105" s="225"/>
      <c r="J105" s="225"/>
      <c r="K105" s="225"/>
      <c r="L105" s="222"/>
      <c r="M105" s="217"/>
      <c r="N105" s="149" t="str">
        <f ca="1">IF(OR(C105="",INDIRECT("L"&amp;ROUNDUP((ROW()-6)/8,0)*8-1)=""),"",IF($P$3="否",工时测量记录表!Z104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05" s="214"/>
      <c r="P105" s="213"/>
    </row>
    <row r="106" spans="1:17" ht="15.6">
      <c r="A106" s="232"/>
      <c r="B106" s="229"/>
      <c r="C106" s="148" t="str">
        <f>IF(工时测量记录表!D105="","",工时测量记录表!D105)</f>
        <v/>
      </c>
      <c r="D106" s="227"/>
      <c r="E106" s="227"/>
      <c r="F106" s="227"/>
      <c r="G106" s="227"/>
      <c r="H106" s="225"/>
      <c r="I106" s="225"/>
      <c r="J106" s="225"/>
      <c r="K106" s="225"/>
      <c r="L106" s="222"/>
      <c r="M106" s="217"/>
      <c r="N106" s="149" t="str">
        <f ca="1">IF(OR(C106="",INDIRECT("L"&amp;ROUNDUP((ROW()-6)/8,0)*8-1)=""),"",IF($P$3="否",工时测量记录表!Z105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06" s="214"/>
      <c r="P106" s="213"/>
    </row>
    <row r="107" spans="1:17" ht="15.6">
      <c r="A107" s="232"/>
      <c r="B107" s="229"/>
      <c r="C107" s="148" t="str">
        <f>IF(工时测量记录表!D106="","",工时测量记录表!D106)</f>
        <v/>
      </c>
      <c r="D107" s="227"/>
      <c r="E107" s="227"/>
      <c r="F107" s="227"/>
      <c r="G107" s="227"/>
      <c r="H107" s="225"/>
      <c r="I107" s="225"/>
      <c r="J107" s="225"/>
      <c r="K107" s="225"/>
      <c r="L107" s="222"/>
      <c r="M107" s="217"/>
      <c r="N107" s="149" t="str">
        <f ca="1">IF(OR(C107="",INDIRECT("L"&amp;ROUNDUP((ROW()-6)/8,0)*8-1)=""),"",IF($P$3="否",工时测量记录表!Z106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07" s="214"/>
      <c r="P107" s="213"/>
      <c r="Q107" s="125"/>
    </row>
    <row r="108" spans="1:17" ht="15.6">
      <c r="A108" s="232"/>
      <c r="B108" s="229"/>
      <c r="C108" s="148" t="str">
        <f>IF(工时测量记录表!D107="","",工时测量记录表!D107)</f>
        <v/>
      </c>
      <c r="D108" s="227"/>
      <c r="E108" s="227"/>
      <c r="F108" s="227"/>
      <c r="G108" s="227"/>
      <c r="H108" s="225"/>
      <c r="I108" s="225"/>
      <c r="J108" s="225"/>
      <c r="K108" s="225"/>
      <c r="L108" s="222"/>
      <c r="M108" s="217"/>
      <c r="N108" s="149" t="str">
        <f ca="1">IF(OR(C108="",INDIRECT("L"&amp;ROUNDUP((ROW()-6)/8,0)*8-1)=""),"",IF($P$3="否",工时测量记录表!Z107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08" s="214"/>
      <c r="P108" s="213"/>
    </row>
    <row r="109" spans="1:17" ht="15.6">
      <c r="A109" s="232"/>
      <c r="B109" s="229"/>
      <c r="C109" s="148" t="str">
        <f>IF(工时测量记录表!D108="","",工时测量记录表!D108)</f>
        <v/>
      </c>
      <c r="D109" s="227"/>
      <c r="E109" s="227"/>
      <c r="F109" s="227"/>
      <c r="G109" s="227"/>
      <c r="H109" s="225"/>
      <c r="I109" s="225"/>
      <c r="J109" s="225"/>
      <c r="K109" s="225"/>
      <c r="L109" s="222"/>
      <c r="M109" s="217"/>
      <c r="N109" s="149" t="str">
        <f ca="1">IF(OR(C109="",INDIRECT("L"&amp;ROUNDUP((ROW()-6)/8,0)*8-1)=""),"",IF($P$3="否",工时测量记录表!Z108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09" s="214"/>
      <c r="P109" s="213"/>
    </row>
    <row r="110" spans="1:17" ht="15.6">
      <c r="A110" s="232"/>
      <c r="B110" s="229"/>
      <c r="C110" s="148" t="str">
        <f>IF(工时测量记录表!D109="","",工时测量记录表!D109)</f>
        <v/>
      </c>
      <c r="D110" s="227"/>
      <c r="E110" s="227"/>
      <c r="F110" s="227"/>
      <c r="G110" s="227"/>
      <c r="H110" s="225"/>
      <c r="I110" s="225"/>
      <c r="J110" s="225"/>
      <c r="K110" s="225"/>
      <c r="L110" s="222"/>
      <c r="M110" s="217"/>
      <c r="N110" s="149" t="str">
        <f ca="1">IF(OR(C110="",INDIRECT("L"&amp;ROUNDUP((ROW()-6)/8,0)*8-1)=""),"",IF($P$3="否",工时测量记录表!Z109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109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10" s="214"/>
      <c r="P110" s="213"/>
    </row>
    <row r="111" spans="1:17" ht="15.6">
      <c r="A111" s="232">
        <f>IF(工时测量记录表!A110="","",工时测量记录表!A110)</f>
        <v>14</v>
      </c>
      <c r="B111" s="229" t="str">
        <f>IF(工时测量记录表!B110="","",工时测量记录表!B110)</f>
        <v/>
      </c>
      <c r="C111" s="148" t="str">
        <f>IF(工时测量记录表!D110="","",工时测量记录表!D110)</f>
        <v/>
      </c>
      <c r="D111" s="227">
        <f t="shared" ref="D111:K111" si="12">IF($A111="","",D$7)</f>
        <v>0</v>
      </c>
      <c r="E111" s="227">
        <f t="shared" si="12"/>
        <v>0</v>
      </c>
      <c r="F111" s="227">
        <f t="shared" si="12"/>
        <v>0</v>
      </c>
      <c r="G111" s="227">
        <f t="shared" si="12"/>
        <v>0</v>
      </c>
      <c r="H111" s="225">
        <f t="shared" si="12"/>
        <v>0</v>
      </c>
      <c r="I111" s="225">
        <f t="shared" si="12"/>
        <v>0</v>
      </c>
      <c r="J111" s="225">
        <f t="shared" si="12"/>
        <v>0</v>
      </c>
      <c r="K111" s="225">
        <f t="shared" si="12"/>
        <v>0</v>
      </c>
      <c r="L111" s="222" t="str">
        <f>IF(工时测量记录表!C110="","",工时测量记录表!C110)</f>
        <v/>
      </c>
      <c r="M111" s="217">
        <v>1</v>
      </c>
      <c r="N111" s="149" t="str">
        <f ca="1">IF(OR(C111="",INDIRECT("L"&amp;ROUNDUP((ROW()-6)/8,0)*8-1)=""),"",IF($P$3="否",工时测量记录表!Z110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11" s="214" t="str">
        <f ca="1">IF(COUNT(N111:N118)=0,"",SUM(N111:N118))</f>
        <v/>
      </c>
      <c r="P111" s="213"/>
    </row>
    <row r="112" spans="1:17" ht="15.6">
      <c r="A112" s="232"/>
      <c r="B112" s="229"/>
      <c r="C112" s="148" t="str">
        <f>IF(工时测量记录表!D111="","",工时测量记录表!D111)</f>
        <v/>
      </c>
      <c r="D112" s="227"/>
      <c r="E112" s="227"/>
      <c r="F112" s="227"/>
      <c r="G112" s="227"/>
      <c r="H112" s="225"/>
      <c r="I112" s="225"/>
      <c r="J112" s="225"/>
      <c r="K112" s="225"/>
      <c r="L112" s="222"/>
      <c r="M112" s="217"/>
      <c r="N112" s="149" t="str">
        <f ca="1">IF(OR(C112="",INDIRECT("L"&amp;ROUNDUP((ROW()-6)/8,0)*8-1)=""),"",IF($P$3="否",工时测量记录表!Z111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12" s="214"/>
      <c r="P112" s="213"/>
    </row>
    <row r="113" spans="1:17" ht="15.6">
      <c r="A113" s="232"/>
      <c r="B113" s="229"/>
      <c r="C113" s="148" t="str">
        <f>IF(工时测量记录表!D112="","",工时测量记录表!D112)</f>
        <v/>
      </c>
      <c r="D113" s="227"/>
      <c r="E113" s="227"/>
      <c r="F113" s="227"/>
      <c r="G113" s="227"/>
      <c r="H113" s="225"/>
      <c r="I113" s="225"/>
      <c r="J113" s="225"/>
      <c r="K113" s="225"/>
      <c r="L113" s="222"/>
      <c r="M113" s="217"/>
      <c r="N113" s="149" t="str">
        <f ca="1">IF(OR(C113="",INDIRECT("L"&amp;ROUNDUP((ROW()-6)/8,0)*8-1)=""),"",IF($P$3="否",工时测量记录表!Z112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13" s="214"/>
      <c r="P113" s="213"/>
    </row>
    <row r="114" spans="1:17" ht="15.6">
      <c r="A114" s="232"/>
      <c r="B114" s="229"/>
      <c r="C114" s="148" t="str">
        <f>IF(工时测量记录表!D113="","",工时测量记录表!D113)</f>
        <v/>
      </c>
      <c r="D114" s="227"/>
      <c r="E114" s="227"/>
      <c r="F114" s="227"/>
      <c r="G114" s="227"/>
      <c r="H114" s="225"/>
      <c r="I114" s="225"/>
      <c r="J114" s="225"/>
      <c r="K114" s="225"/>
      <c r="L114" s="222"/>
      <c r="M114" s="217"/>
      <c r="N114" s="149" t="str">
        <f ca="1">IF(OR(C114="",INDIRECT("L"&amp;ROUNDUP((ROW()-6)/8,0)*8-1)=""),"",IF($P$3="否",工时测量记录表!Z113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14" s="214"/>
      <c r="P114" s="213"/>
    </row>
    <row r="115" spans="1:17" ht="15.6">
      <c r="A115" s="232"/>
      <c r="B115" s="229"/>
      <c r="C115" s="148" t="str">
        <f>IF(工时测量记录表!D114="","",工时测量记录表!D114)</f>
        <v/>
      </c>
      <c r="D115" s="227"/>
      <c r="E115" s="227"/>
      <c r="F115" s="227"/>
      <c r="G115" s="227"/>
      <c r="H115" s="225"/>
      <c r="I115" s="225"/>
      <c r="J115" s="225"/>
      <c r="K115" s="225"/>
      <c r="L115" s="222"/>
      <c r="M115" s="217"/>
      <c r="N115" s="149" t="str">
        <f ca="1">IF(OR(C115="",INDIRECT("L"&amp;ROUNDUP((ROW()-6)/8,0)*8-1)=""),"",IF($P$3="否",工时测量记录表!Z114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15" s="214"/>
      <c r="P115" s="213"/>
      <c r="Q115" s="125"/>
    </row>
    <row r="116" spans="1:17" ht="15.6">
      <c r="A116" s="232"/>
      <c r="B116" s="229"/>
      <c r="C116" s="148" t="str">
        <f>IF(工时测量记录表!D115="","",工时测量记录表!D115)</f>
        <v/>
      </c>
      <c r="D116" s="227"/>
      <c r="E116" s="227"/>
      <c r="F116" s="227"/>
      <c r="G116" s="227"/>
      <c r="H116" s="225"/>
      <c r="I116" s="225"/>
      <c r="J116" s="225"/>
      <c r="K116" s="225"/>
      <c r="L116" s="222"/>
      <c r="M116" s="217"/>
      <c r="N116" s="149" t="str">
        <f ca="1">IF(OR(C116="",INDIRECT("L"&amp;ROUNDUP((ROW()-6)/8,0)*8-1)=""),"",IF($P$3="否",工时测量记录表!Z115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16" s="214"/>
      <c r="P116" s="213"/>
    </row>
    <row r="117" spans="1:17" ht="15.6">
      <c r="A117" s="232"/>
      <c r="B117" s="229"/>
      <c r="C117" s="148" t="str">
        <f>IF(工时测量记录表!D116="","",工时测量记录表!D116)</f>
        <v/>
      </c>
      <c r="D117" s="227"/>
      <c r="E117" s="227"/>
      <c r="F117" s="227"/>
      <c r="G117" s="227"/>
      <c r="H117" s="225"/>
      <c r="I117" s="225"/>
      <c r="J117" s="225"/>
      <c r="K117" s="225"/>
      <c r="L117" s="222"/>
      <c r="M117" s="217"/>
      <c r="N117" s="149" t="str">
        <f ca="1">IF(OR(C117="",INDIRECT("L"&amp;ROUNDUP((ROW()-6)/8,0)*8-1)=""),"",IF($P$3="否",工时测量记录表!Z116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17" s="214"/>
      <c r="P117" s="213"/>
    </row>
    <row r="118" spans="1:17" ht="15.6">
      <c r="A118" s="232"/>
      <c r="B118" s="229"/>
      <c r="C118" s="148" t="str">
        <f>IF(工时测量记录表!D117="","",工时测量记录表!D117)</f>
        <v/>
      </c>
      <c r="D118" s="227"/>
      <c r="E118" s="227"/>
      <c r="F118" s="227"/>
      <c r="G118" s="227"/>
      <c r="H118" s="225"/>
      <c r="I118" s="225"/>
      <c r="J118" s="225"/>
      <c r="K118" s="225"/>
      <c r="L118" s="222"/>
      <c r="M118" s="217"/>
      <c r="N118" s="149" t="str">
        <f ca="1">IF(OR(C118="",INDIRECT("L"&amp;ROUNDUP((ROW()-6)/8,0)*8-1)=""),"",IF($P$3="否",工时测量记录表!Z117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18" s="214"/>
      <c r="P118" s="213"/>
    </row>
    <row r="119" spans="1:17" ht="15.6">
      <c r="A119" s="232">
        <f>IF(工时测量记录表!A118="","",工时测量记录表!A118)</f>
        <v>15</v>
      </c>
      <c r="B119" s="229" t="str">
        <f>IF(工时测量记录表!B118="","",工时测量记录表!B118)</f>
        <v/>
      </c>
      <c r="C119" s="148" t="str">
        <f>IF(工时测量记录表!D118="","",工时测量记录表!D118)</f>
        <v/>
      </c>
      <c r="D119" s="227">
        <f t="shared" ref="D119:K119" si="13">IF($A119="","",D$7)</f>
        <v>0</v>
      </c>
      <c r="E119" s="227">
        <f t="shared" si="13"/>
        <v>0</v>
      </c>
      <c r="F119" s="227">
        <f t="shared" si="13"/>
        <v>0</v>
      </c>
      <c r="G119" s="227">
        <f t="shared" si="13"/>
        <v>0</v>
      </c>
      <c r="H119" s="225">
        <f t="shared" si="13"/>
        <v>0</v>
      </c>
      <c r="I119" s="225">
        <f t="shared" si="13"/>
        <v>0</v>
      </c>
      <c r="J119" s="225">
        <f t="shared" si="13"/>
        <v>0</v>
      </c>
      <c r="K119" s="225">
        <f t="shared" si="13"/>
        <v>0</v>
      </c>
      <c r="L119" s="222" t="str">
        <f>IF(工时测量记录表!C118="","",工时测量记录表!C118)</f>
        <v/>
      </c>
      <c r="M119" s="217">
        <v>1</v>
      </c>
      <c r="N119" s="149" t="str">
        <f ca="1">IF(OR(C119="",INDIRECT("L"&amp;ROUNDUP((ROW()-6)/8,0)*8-1)=""),"",IF($P$3="否",工时测量记录表!Z118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19" s="214" t="str">
        <f ca="1">IF(COUNT(N119:N126)=0,"",SUM(N119:N126))</f>
        <v/>
      </c>
      <c r="P119" s="213"/>
    </row>
    <row r="120" spans="1:17" ht="15.6">
      <c r="A120" s="232"/>
      <c r="B120" s="229"/>
      <c r="C120" s="148" t="str">
        <f>IF(工时测量记录表!D119="","",工时测量记录表!D119)</f>
        <v/>
      </c>
      <c r="D120" s="227"/>
      <c r="E120" s="227"/>
      <c r="F120" s="227"/>
      <c r="G120" s="227"/>
      <c r="H120" s="225"/>
      <c r="I120" s="225"/>
      <c r="J120" s="225"/>
      <c r="K120" s="225"/>
      <c r="L120" s="222"/>
      <c r="M120" s="217"/>
      <c r="N120" s="149" t="str">
        <f ca="1">IF(OR(C120="",INDIRECT("L"&amp;ROUNDUP((ROW()-6)/8,0)*8-1)=""),"",IF($P$3="否",工时测量记录表!Z119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119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20" s="214"/>
      <c r="P120" s="213"/>
    </row>
    <row r="121" spans="1:17" ht="15.6">
      <c r="A121" s="232"/>
      <c r="B121" s="229"/>
      <c r="C121" s="148" t="str">
        <f>IF(工时测量记录表!D120="","",工时测量记录表!D120)</f>
        <v/>
      </c>
      <c r="D121" s="227"/>
      <c r="E121" s="227"/>
      <c r="F121" s="227"/>
      <c r="G121" s="227"/>
      <c r="H121" s="225"/>
      <c r="I121" s="225"/>
      <c r="J121" s="225"/>
      <c r="K121" s="225"/>
      <c r="L121" s="222"/>
      <c r="M121" s="217"/>
      <c r="N121" s="149" t="str">
        <f ca="1">IF(OR(C121="",INDIRECT("L"&amp;ROUNDUP((ROW()-6)/8,0)*8-1)=""),"",IF($P$3="否",工时测量记录表!Z120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21" s="214"/>
      <c r="P121" s="213"/>
    </row>
    <row r="122" spans="1:17" ht="15.6">
      <c r="A122" s="232"/>
      <c r="B122" s="229"/>
      <c r="C122" s="148" t="str">
        <f>IF(工时测量记录表!D121="","",工时测量记录表!D121)</f>
        <v/>
      </c>
      <c r="D122" s="227"/>
      <c r="E122" s="227"/>
      <c r="F122" s="227"/>
      <c r="G122" s="227"/>
      <c r="H122" s="225"/>
      <c r="I122" s="225"/>
      <c r="J122" s="225"/>
      <c r="K122" s="225"/>
      <c r="L122" s="222"/>
      <c r="M122" s="217"/>
      <c r="N122" s="149" t="str">
        <f ca="1">IF(OR(C122="",INDIRECT("L"&amp;ROUNDUP((ROW()-6)/8,0)*8-1)=""),"",IF($P$3="否",工时测量记录表!Z121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22" s="214"/>
      <c r="P122" s="213"/>
    </row>
    <row r="123" spans="1:17" ht="15.6">
      <c r="A123" s="232"/>
      <c r="B123" s="229"/>
      <c r="C123" s="148" t="str">
        <f>IF(工时测量记录表!D122="","",工时测量记录表!D122)</f>
        <v/>
      </c>
      <c r="D123" s="227"/>
      <c r="E123" s="227"/>
      <c r="F123" s="227"/>
      <c r="G123" s="227"/>
      <c r="H123" s="225"/>
      <c r="I123" s="225"/>
      <c r="J123" s="225"/>
      <c r="K123" s="225"/>
      <c r="L123" s="222"/>
      <c r="M123" s="217"/>
      <c r="N123" s="149" t="str">
        <f ca="1">IF(OR(C123="",INDIRECT("L"&amp;ROUNDUP((ROW()-6)/8,0)*8-1)=""),"",IF($P$3="否",工时测量记录表!Z122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23" s="214"/>
      <c r="P123" s="213"/>
      <c r="Q123" s="125"/>
    </row>
    <row r="124" spans="1:17" ht="15.6">
      <c r="A124" s="232"/>
      <c r="B124" s="229"/>
      <c r="C124" s="148" t="str">
        <f>IF(工时测量记录表!D123="","",工时测量记录表!D123)</f>
        <v/>
      </c>
      <c r="D124" s="227"/>
      <c r="E124" s="227"/>
      <c r="F124" s="227"/>
      <c r="G124" s="227"/>
      <c r="H124" s="225"/>
      <c r="I124" s="225"/>
      <c r="J124" s="225"/>
      <c r="K124" s="225"/>
      <c r="L124" s="222"/>
      <c r="M124" s="217"/>
      <c r="N124" s="149" t="str">
        <f ca="1">IF(OR(C124="",INDIRECT("L"&amp;ROUNDUP((ROW()-6)/8,0)*8-1)=""),"",IF($P$3="否",工时测量记录表!Z123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24" s="214"/>
      <c r="P124" s="213"/>
    </row>
    <row r="125" spans="1:17" ht="15.6">
      <c r="A125" s="232"/>
      <c r="B125" s="229"/>
      <c r="C125" s="148" t="str">
        <f>IF(工时测量记录表!D124="","",工时测量记录表!D124)</f>
        <v/>
      </c>
      <c r="D125" s="227"/>
      <c r="E125" s="227"/>
      <c r="F125" s="227"/>
      <c r="G125" s="227"/>
      <c r="H125" s="225"/>
      <c r="I125" s="225"/>
      <c r="J125" s="225"/>
      <c r="K125" s="225"/>
      <c r="L125" s="222"/>
      <c r="M125" s="217"/>
      <c r="N125" s="149" t="str">
        <f ca="1">IF(OR(C125="",INDIRECT("L"&amp;ROUNDUP((ROW()-6)/8,0)*8-1)=""),"",IF($P$3="否",工时测量记录表!Z124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25" s="214"/>
      <c r="P125" s="213"/>
    </row>
    <row r="126" spans="1:17" ht="15.6">
      <c r="A126" s="232"/>
      <c r="B126" s="229"/>
      <c r="C126" s="148" t="str">
        <f>IF(工时测量记录表!D125="","",工时测量记录表!D125)</f>
        <v/>
      </c>
      <c r="D126" s="227"/>
      <c r="E126" s="227"/>
      <c r="F126" s="227"/>
      <c r="G126" s="227"/>
      <c r="H126" s="225"/>
      <c r="I126" s="225"/>
      <c r="J126" s="225"/>
      <c r="K126" s="225"/>
      <c r="L126" s="222"/>
      <c r="M126" s="217"/>
      <c r="N126" s="149" t="str">
        <f ca="1">IF(OR(C126="",INDIRECT("L"&amp;ROUNDUP((ROW()-6)/8,0)*8-1)=""),"",IF($P$3="否",工时测量记录表!Z125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26" s="214"/>
      <c r="P126" s="213"/>
    </row>
    <row r="127" spans="1:17" ht="15.6">
      <c r="A127" s="232">
        <f>IF(工时测量记录表!A126="","",工时测量记录表!A126)</f>
        <v>16</v>
      </c>
      <c r="B127" s="229" t="str">
        <f>IF(工时测量记录表!B126="","",工时测量记录表!B126)</f>
        <v/>
      </c>
      <c r="C127" s="148" t="str">
        <f>IF(工时测量记录表!D126="","",工时测量记录表!D126)</f>
        <v/>
      </c>
      <c r="D127" s="227">
        <f t="shared" ref="D127:K127" si="14">IF($A127="","",D$7)</f>
        <v>0</v>
      </c>
      <c r="E127" s="227">
        <f t="shared" si="14"/>
        <v>0</v>
      </c>
      <c r="F127" s="227">
        <f t="shared" si="14"/>
        <v>0</v>
      </c>
      <c r="G127" s="227">
        <f t="shared" si="14"/>
        <v>0</v>
      </c>
      <c r="H127" s="225">
        <f t="shared" si="14"/>
        <v>0</v>
      </c>
      <c r="I127" s="225">
        <f t="shared" si="14"/>
        <v>0</v>
      </c>
      <c r="J127" s="225">
        <f t="shared" si="14"/>
        <v>0</v>
      </c>
      <c r="K127" s="225">
        <f t="shared" si="14"/>
        <v>0</v>
      </c>
      <c r="L127" s="222" t="str">
        <f>IF(工时测量记录表!C126="","",工时测量记录表!C126)</f>
        <v/>
      </c>
      <c r="M127" s="217">
        <v>1</v>
      </c>
      <c r="N127" s="149" t="str">
        <f ca="1">IF(OR(C127="",INDIRECT("L"&amp;ROUNDUP((ROW()-6)/8,0)*8-1)=""),"",IF($P$3="否",工时测量记录表!Z126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27" s="214" t="str">
        <f ca="1">IF(COUNT(N127:N134)=0,"",SUM(N127:N134))</f>
        <v/>
      </c>
      <c r="P127" s="213"/>
    </row>
    <row r="128" spans="1:17" ht="15.6">
      <c r="A128" s="232"/>
      <c r="B128" s="229"/>
      <c r="C128" s="148" t="str">
        <f>IF(工时测量记录表!D127="","",工时测量记录表!D127)</f>
        <v/>
      </c>
      <c r="D128" s="227"/>
      <c r="E128" s="227"/>
      <c r="F128" s="227"/>
      <c r="G128" s="227"/>
      <c r="H128" s="225"/>
      <c r="I128" s="225"/>
      <c r="J128" s="225"/>
      <c r="K128" s="225"/>
      <c r="L128" s="222"/>
      <c r="M128" s="217"/>
      <c r="N128" s="149" t="str">
        <f ca="1">IF(OR(C128="",INDIRECT("L"&amp;ROUNDUP((ROW()-6)/8,0)*8-1)=""),"",IF($P$3="否",工时测量记录表!Z127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28" s="214"/>
      <c r="P128" s="213"/>
    </row>
    <row r="129" spans="1:17" ht="15.6">
      <c r="A129" s="232"/>
      <c r="B129" s="229"/>
      <c r="C129" s="148" t="str">
        <f>IF(工时测量记录表!D128="","",工时测量记录表!D128)</f>
        <v/>
      </c>
      <c r="D129" s="227"/>
      <c r="E129" s="227"/>
      <c r="F129" s="227"/>
      <c r="G129" s="227"/>
      <c r="H129" s="225"/>
      <c r="I129" s="225"/>
      <c r="J129" s="225"/>
      <c r="K129" s="225"/>
      <c r="L129" s="222"/>
      <c r="M129" s="217"/>
      <c r="N129" s="149" t="str">
        <f ca="1">IF(OR(C129="",INDIRECT("L"&amp;ROUNDUP((ROW()-6)/8,0)*8-1)=""),"",IF($P$3="否",工时测量记录表!Z128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29" s="214"/>
      <c r="P129" s="213"/>
    </row>
    <row r="130" spans="1:17" ht="15.6">
      <c r="A130" s="232"/>
      <c r="B130" s="229"/>
      <c r="C130" s="148" t="str">
        <f>IF(工时测量记录表!D129="","",工时测量记录表!D129)</f>
        <v/>
      </c>
      <c r="D130" s="227"/>
      <c r="E130" s="227"/>
      <c r="F130" s="227"/>
      <c r="G130" s="227"/>
      <c r="H130" s="225"/>
      <c r="I130" s="225"/>
      <c r="J130" s="225"/>
      <c r="K130" s="225"/>
      <c r="L130" s="222"/>
      <c r="M130" s="217"/>
      <c r="N130" s="149" t="str">
        <f ca="1">IF(OR(C130="",INDIRECT("L"&amp;ROUNDUP((ROW()-6)/8,0)*8-1)=""),"",IF($P$3="否",工时测量记录表!Z129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129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30" s="214"/>
      <c r="P130" s="213"/>
    </row>
    <row r="131" spans="1:17" ht="15.6">
      <c r="A131" s="232"/>
      <c r="B131" s="229"/>
      <c r="C131" s="148" t="str">
        <f>IF(工时测量记录表!D130="","",工时测量记录表!D130)</f>
        <v/>
      </c>
      <c r="D131" s="227"/>
      <c r="E131" s="227"/>
      <c r="F131" s="227"/>
      <c r="G131" s="227"/>
      <c r="H131" s="225"/>
      <c r="I131" s="225"/>
      <c r="J131" s="225"/>
      <c r="K131" s="225"/>
      <c r="L131" s="222"/>
      <c r="M131" s="217"/>
      <c r="N131" s="149" t="str">
        <f ca="1">IF(OR(C131="",INDIRECT("L"&amp;ROUNDUP((ROW()-6)/8,0)*8-1)=""),"",IF($P$3="否",工时测量记录表!Z130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31" s="214"/>
      <c r="P131" s="213"/>
      <c r="Q131" s="125"/>
    </row>
    <row r="132" spans="1:17" ht="15.6">
      <c r="A132" s="232"/>
      <c r="B132" s="229"/>
      <c r="C132" s="148" t="str">
        <f>IF(工时测量记录表!D131="","",工时测量记录表!D131)</f>
        <v/>
      </c>
      <c r="D132" s="227"/>
      <c r="E132" s="227"/>
      <c r="F132" s="227"/>
      <c r="G132" s="227"/>
      <c r="H132" s="225"/>
      <c r="I132" s="225"/>
      <c r="J132" s="225"/>
      <c r="K132" s="225"/>
      <c r="L132" s="222"/>
      <c r="M132" s="217"/>
      <c r="N132" s="149" t="str">
        <f ca="1">IF(OR(C132="",INDIRECT("L"&amp;ROUNDUP((ROW()-6)/8,0)*8-1)=""),"",IF($P$3="否",工时测量记录表!Z131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32" s="214"/>
      <c r="P132" s="213"/>
    </row>
    <row r="133" spans="1:17" ht="15.6">
      <c r="A133" s="232"/>
      <c r="B133" s="229"/>
      <c r="C133" s="148" t="str">
        <f>IF(工时测量记录表!D132="","",工时测量记录表!D132)</f>
        <v/>
      </c>
      <c r="D133" s="227"/>
      <c r="E133" s="227"/>
      <c r="F133" s="227"/>
      <c r="G133" s="227"/>
      <c r="H133" s="225"/>
      <c r="I133" s="225"/>
      <c r="J133" s="225"/>
      <c r="K133" s="225"/>
      <c r="L133" s="222"/>
      <c r="M133" s="217"/>
      <c r="N133" s="149" t="str">
        <f ca="1">IF(OR(C133="",INDIRECT("L"&amp;ROUNDUP((ROW()-6)/8,0)*8-1)=""),"",IF($P$3="否",工时测量记录表!Z132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33" s="214"/>
      <c r="P133" s="213"/>
    </row>
    <row r="134" spans="1:17" ht="15.6">
      <c r="A134" s="232"/>
      <c r="B134" s="229"/>
      <c r="C134" s="148" t="str">
        <f>IF(工时测量记录表!D133="","",工时测量记录表!D133)</f>
        <v/>
      </c>
      <c r="D134" s="227"/>
      <c r="E134" s="227"/>
      <c r="F134" s="227"/>
      <c r="G134" s="227"/>
      <c r="H134" s="225"/>
      <c r="I134" s="225"/>
      <c r="J134" s="225"/>
      <c r="K134" s="225"/>
      <c r="L134" s="222"/>
      <c r="M134" s="217"/>
      <c r="N134" s="149" t="str">
        <f ca="1">IF(OR(C134="",INDIRECT("L"&amp;ROUNDUP((ROW()-6)/8,0)*8-1)=""),"",IF($P$3="否",工时测量记录表!Z133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34" s="214"/>
      <c r="P134" s="213"/>
    </row>
    <row r="135" spans="1:17" ht="15.6">
      <c r="A135" s="232">
        <f>IF(工时测量记录表!A134="","",工时测量记录表!A134)</f>
        <v>17</v>
      </c>
      <c r="B135" s="229" t="str">
        <f>IF(工时测量记录表!B134="","",工时测量记录表!B134)</f>
        <v/>
      </c>
      <c r="C135" s="148" t="str">
        <f>IF(工时测量记录表!D134="","",工时测量记录表!D134)</f>
        <v/>
      </c>
      <c r="D135" s="227">
        <f t="shared" ref="D135:K135" si="15">IF($A135="","",D$7)</f>
        <v>0</v>
      </c>
      <c r="E135" s="227">
        <f t="shared" si="15"/>
        <v>0</v>
      </c>
      <c r="F135" s="227">
        <f t="shared" si="15"/>
        <v>0</v>
      </c>
      <c r="G135" s="227">
        <f t="shared" si="15"/>
        <v>0</v>
      </c>
      <c r="H135" s="225">
        <f t="shared" si="15"/>
        <v>0</v>
      </c>
      <c r="I135" s="225">
        <f t="shared" si="15"/>
        <v>0</v>
      </c>
      <c r="J135" s="225">
        <f t="shared" si="15"/>
        <v>0</v>
      </c>
      <c r="K135" s="225">
        <f t="shared" si="15"/>
        <v>0</v>
      </c>
      <c r="L135" s="222" t="str">
        <f>IF(工时测量记录表!C134="","",工时测量记录表!C134)</f>
        <v/>
      </c>
      <c r="M135" s="217">
        <v>1</v>
      </c>
      <c r="N135" s="149" t="str">
        <f ca="1">IF(OR(C135="",INDIRECT("L"&amp;ROUNDUP((ROW()-6)/8,0)*8-1)=""),"",IF($P$3="否",工时测量记录表!Z134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35" s="214" t="str">
        <f ca="1">IF(COUNT(N135:N142)=0,"",SUM(N135:N142))</f>
        <v/>
      </c>
      <c r="P135" s="213"/>
    </row>
    <row r="136" spans="1:17" ht="15.6">
      <c r="A136" s="232"/>
      <c r="B136" s="229"/>
      <c r="C136" s="148" t="str">
        <f>IF(工时测量记录表!D135="","",工时测量记录表!D135)</f>
        <v/>
      </c>
      <c r="D136" s="227"/>
      <c r="E136" s="227"/>
      <c r="F136" s="227"/>
      <c r="G136" s="227"/>
      <c r="H136" s="225"/>
      <c r="I136" s="225"/>
      <c r="J136" s="225"/>
      <c r="K136" s="225"/>
      <c r="L136" s="222"/>
      <c r="M136" s="217"/>
      <c r="N136" s="149" t="str">
        <f ca="1">IF(OR(C136="",INDIRECT("L"&amp;ROUNDUP((ROW()-6)/8,0)*8-1)=""),"",IF($P$3="否",工时测量记录表!Z135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36" s="214"/>
      <c r="P136" s="213"/>
    </row>
    <row r="137" spans="1:17" ht="15.6">
      <c r="A137" s="232"/>
      <c r="B137" s="229"/>
      <c r="C137" s="148" t="str">
        <f>IF(工时测量记录表!D136="","",工时测量记录表!D136)</f>
        <v/>
      </c>
      <c r="D137" s="227"/>
      <c r="E137" s="227"/>
      <c r="F137" s="227"/>
      <c r="G137" s="227"/>
      <c r="H137" s="225"/>
      <c r="I137" s="225"/>
      <c r="J137" s="225"/>
      <c r="K137" s="225"/>
      <c r="L137" s="222"/>
      <c r="M137" s="217"/>
      <c r="N137" s="149" t="str">
        <f ca="1">IF(OR(C137="",INDIRECT("L"&amp;ROUNDUP((ROW()-6)/8,0)*8-1)=""),"",IF($P$3="否",工时测量记录表!Z136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37" s="214"/>
      <c r="P137" s="213"/>
    </row>
    <row r="138" spans="1:17" ht="15.6">
      <c r="A138" s="232"/>
      <c r="B138" s="229"/>
      <c r="C138" s="148" t="str">
        <f>IF(工时测量记录表!D137="","",工时测量记录表!D137)</f>
        <v/>
      </c>
      <c r="D138" s="227"/>
      <c r="E138" s="227"/>
      <c r="F138" s="227"/>
      <c r="G138" s="227"/>
      <c r="H138" s="225"/>
      <c r="I138" s="225"/>
      <c r="J138" s="225"/>
      <c r="K138" s="225"/>
      <c r="L138" s="222"/>
      <c r="M138" s="217"/>
      <c r="N138" s="149" t="str">
        <f ca="1">IF(OR(C138="",INDIRECT("L"&amp;ROUNDUP((ROW()-6)/8,0)*8-1)=""),"",IF($P$3="否",工时测量记录表!Z137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38" s="214"/>
      <c r="P138" s="213"/>
    </row>
    <row r="139" spans="1:17" ht="15.6">
      <c r="A139" s="232"/>
      <c r="B139" s="229"/>
      <c r="C139" s="148" t="str">
        <f>IF(工时测量记录表!D138="","",工时测量记录表!D138)</f>
        <v/>
      </c>
      <c r="D139" s="227"/>
      <c r="E139" s="227"/>
      <c r="F139" s="227"/>
      <c r="G139" s="227"/>
      <c r="H139" s="225"/>
      <c r="I139" s="225"/>
      <c r="J139" s="225"/>
      <c r="K139" s="225"/>
      <c r="L139" s="222"/>
      <c r="M139" s="217"/>
      <c r="N139" s="149" t="str">
        <f ca="1">IF(OR(C139="",INDIRECT("L"&amp;ROUNDUP((ROW()-6)/8,0)*8-1)=""),"",IF($P$3="否",工时测量记录表!Z138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39" s="214"/>
      <c r="P139" s="213"/>
      <c r="Q139" s="125"/>
    </row>
    <row r="140" spans="1:17" ht="15.6">
      <c r="A140" s="232"/>
      <c r="B140" s="229"/>
      <c r="C140" s="148" t="str">
        <f>IF(工时测量记录表!D139="","",工时测量记录表!D139)</f>
        <v/>
      </c>
      <c r="D140" s="227"/>
      <c r="E140" s="227"/>
      <c r="F140" s="227"/>
      <c r="G140" s="227"/>
      <c r="H140" s="225"/>
      <c r="I140" s="225"/>
      <c r="J140" s="225"/>
      <c r="K140" s="225"/>
      <c r="L140" s="222"/>
      <c r="M140" s="217"/>
      <c r="N140" s="149" t="str">
        <f ca="1">IF(OR(C140="",INDIRECT("L"&amp;ROUNDUP((ROW()-6)/8,0)*8-1)=""),"",IF($P$3="否",工时测量记录表!Z139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139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40" s="214"/>
      <c r="P140" s="213"/>
    </row>
    <row r="141" spans="1:17" ht="15.6">
      <c r="A141" s="232"/>
      <c r="B141" s="229"/>
      <c r="C141" s="148" t="str">
        <f>IF(工时测量记录表!D140="","",工时测量记录表!D140)</f>
        <v/>
      </c>
      <c r="D141" s="227"/>
      <c r="E141" s="227"/>
      <c r="F141" s="227"/>
      <c r="G141" s="227"/>
      <c r="H141" s="225"/>
      <c r="I141" s="225"/>
      <c r="J141" s="225"/>
      <c r="K141" s="225"/>
      <c r="L141" s="222"/>
      <c r="M141" s="217"/>
      <c r="N141" s="149" t="str">
        <f ca="1">IF(OR(C141="",INDIRECT("L"&amp;ROUNDUP((ROW()-6)/8,0)*8-1)=""),"",IF($P$3="否",工时测量记录表!Z140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41" s="214"/>
      <c r="P141" s="213"/>
    </row>
    <row r="142" spans="1:17" ht="15.6">
      <c r="A142" s="232"/>
      <c r="B142" s="229"/>
      <c r="C142" s="148" t="str">
        <f>IF(工时测量记录表!D141="","",工时测量记录表!D141)</f>
        <v/>
      </c>
      <c r="D142" s="227"/>
      <c r="E142" s="227"/>
      <c r="F142" s="227"/>
      <c r="G142" s="227"/>
      <c r="H142" s="225"/>
      <c r="I142" s="225"/>
      <c r="J142" s="225"/>
      <c r="K142" s="225"/>
      <c r="L142" s="222"/>
      <c r="M142" s="217"/>
      <c r="N142" s="149" t="str">
        <f ca="1">IF(OR(C142="",INDIRECT("L"&amp;ROUNDUP((ROW()-6)/8,0)*8-1)=""),"",IF($P$3="否",工时测量记录表!Z141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42" s="214"/>
      <c r="P142" s="213"/>
    </row>
    <row r="143" spans="1:17" ht="15.6">
      <c r="A143" s="232">
        <f>IF(工时测量记录表!A142="","",工时测量记录表!A142)</f>
        <v>18</v>
      </c>
      <c r="B143" s="229" t="str">
        <f>IF(工时测量记录表!B142="","",工时测量记录表!B142)</f>
        <v/>
      </c>
      <c r="C143" s="148" t="str">
        <f>IF(工时测量记录表!D142="","",工时测量记录表!D142)</f>
        <v/>
      </c>
      <c r="D143" s="227">
        <f t="shared" ref="D143:K143" si="16">IF($A143="","",D$7)</f>
        <v>0</v>
      </c>
      <c r="E143" s="227">
        <f t="shared" si="16"/>
        <v>0</v>
      </c>
      <c r="F143" s="227">
        <f t="shared" si="16"/>
        <v>0</v>
      </c>
      <c r="G143" s="227">
        <f t="shared" si="16"/>
        <v>0</v>
      </c>
      <c r="H143" s="225">
        <f t="shared" si="16"/>
        <v>0</v>
      </c>
      <c r="I143" s="225">
        <f t="shared" si="16"/>
        <v>0</v>
      </c>
      <c r="J143" s="225">
        <f t="shared" si="16"/>
        <v>0</v>
      </c>
      <c r="K143" s="225">
        <f t="shared" si="16"/>
        <v>0</v>
      </c>
      <c r="L143" s="222" t="str">
        <f>IF(工时测量记录表!C142="","",工时测量记录表!C142)</f>
        <v/>
      </c>
      <c r="M143" s="217">
        <v>1</v>
      </c>
      <c r="N143" s="149" t="str">
        <f ca="1">IF(OR(C143="",INDIRECT("L"&amp;ROUNDUP((ROW()-6)/8,0)*8-1)=""),"",IF($P$3="否",工时测量记录表!Z142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43" s="214" t="str">
        <f ca="1">IF(COUNT(N143:N150)=0,"",SUM(N143:N150))</f>
        <v/>
      </c>
      <c r="P143" s="213"/>
    </row>
    <row r="144" spans="1:17" ht="15.6">
      <c r="A144" s="232"/>
      <c r="B144" s="229"/>
      <c r="C144" s="148" t="str">
        <f>IF(工时测量记录表!D143="","",工时测量记录表!D143)</f>
        <v/>
      </c>
      <c r="D144" s="227"/>
      <c r="E144" s="227"/>
      <c r="F144" s="227"/>
      <c r="G144" s="227"/>
      <c r="H144" s="225"/>
      <c r="I144" s="225"/>
      <c r="J144" s="225"/>
      <c r="K144" s="225"/>
      <c r="L144" s="222"/>
      <c r="M144" s="217"/>
      <c r="N144" s="149" t="str">
        <f ca="1">IF(OR(C144="",INDIRECT("L"&amp;ROUNDUP((ROW()-6)/8,0)*8-1)=""),"",IF($P$3="否",工时测量记录表!Z143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44" s="214"/>
      <c r="P144" s="213"/>
    </row>
    <row r="145" spans="1:17" ht="15.6">
      <c r="A145" s="232"/>
      <c r="B145" s="229"/>
      <c r="C145" s="148" t="str">
        <f>IF(工时测量记录表!D144="","",工时测量记录表!D144)</f>
        <v/>
      </c>
      <c r="D145" s="227"/>
      <c r="E145" s="227"/>
      <c r="F145" s="227"/>
      <c r="G145" s="227"/>
      <c r="H145" s="225"/>
      <c r="I145" s="225"/>
      <c r="J145" s="225"/>
      <c r="K145" s="225"/>
      <c r="L145" s="222"/>
      <c r="M145" s="217"/>
      <c r="N145" s="149" t="str">
        <f ca="1">IF(OR(C145="",INDIRECT("L"&amp;ROUNDUP((ROW()-6)/8,0)*8-1)=""),"",IF($P$3="否",工时测量记录表!Z144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45" s="214"/>
      <c r="P145" s="213"/>
    </row>
    <row r="146" spans="1:17" ht="15.6">
      <c r="A146" s="232"/>
      <c r="B146" s="229"/>
      <c r="C146" s="148" t="str">
        <f>IF(工时测量记录表!D145="","",工时测量记录表!D145)</f>
        <v/>
      </c>
      <c r="D146" s="227"/>
      <c r="E146" s="227"/>
      <c r="F146" s="227"/>
      <c r="G146" s="227"/>
      <c r="H146" s="225"/>
      <c r="I146" s="225"/>
      <c r="J146" s="225"/>
      <c r="K146" s="225"/>
      <c r="L146" s="222"/>
      <c r="M146" s="217"/>
      <c r="N146" s="149" t="str">
        <f ca="1">IF(OR(C146="",INDIRECT("L"&amp;ROUNDUP((ROW()-6)/8,0)*8-1)=""),"",IF($P$3="否",工时测量记录表!Z145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46" s="214"/>
      <c r="P146" s="213"/>
    </row>
    <row r="147" spans="1:17" ht="15.6">
      <c r="A147" s="232"/>
      <c r="B147" s="229"/>
      <c r="C147" s="148" t="str">
        <f>IF(工时测量记录表!D146="","",工时测量记录表!D146)</f>
        <v/>
      </c>
      <c r="D147" s="227"/>
      <c r="E147" s="227"/>
      <c r="F147" s="227"/>
      <c r="G147" s="227"/>
      <c r="H147" s="225"/>
      <c r="I147" s="225"/>
      <c r="J147" s="225"/>
      <c r="K147" s="225"/>
      <c r="L147" s="222"/>
      <c r="M147" s="217"/>
      <c r="N147" s="149" t="str">
        <f ca="1">IF(OR(C147="",INDIRECT("L"&amp;ROUNDUP((ROW()-6)/8,0)*8-1)=""),"",IF($P$3="否",工时测量记录表!Z146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47" s="214"/>
      <c r="P147" s="213"/>
      <c r="Q147" s="125"/>
    </row>
    <row r="148" spans="1:17" ht="15.6">
      <c r="A148" s="232"/>
      <c r="B148" s="229"/>
      <c r="C148" s="148" t="str">
        <f>IF(工时测量记录表!D147="","",工时测量记录表!D147)</f>
        <v/>
      </c>
      <c r="D148" s="227"/>
      <c r="E148" s="227"/>
      <c r="F148" s="227"/>
      <c r="G148" s="227"/>
      <c r="H148" s="225"/>
      <c r="I148" s="225"/>
      <c r="J148" s="225"/>
      <c r="K148" s="225"/>
      <c r="L148" s="222"/>
      <c r="M148" s="217"/>
      <c r="N148" s="149" t="str">
        <f ca="1">IF(OR(C148="",INDIRECT("L"&amp;ROUNDUP((ROW()-6)/8,0)*8-1)=""),"",IF($P$3="否",工时测量记录表!Z147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48" s="214"/>
      <c r="P148" s="213"/>
    </row>
    <row r="149" spans="1:17" ht="15.6">
      <c r="A149" s="232"/>
      <c r="B149" s="229"/>
      <c r="C149" s="148" t="str">
        <f>IF(工时测量记录表!D148="","",工时测量记录表!D148)</f>
        <v/>
      </c>
      <c r="D149" s="227"/>
      <c r="E149" s="227"/>
      <c r="F149" s="227"/>
      <c r="G149" s="227"/>
      <c r="H149" s="225"/>
      <c r="I149" s="225"/>
      <c r="J149" s="225"/>
      <c r="K149" s="225"/>
      <c r="L149" s="222"/>
      <c r="M149" s="217"/>
      <c r="N149" s="149" t="str">
        <f ca="1">IF(OR(C149="",INDIRECT("L"&amp;ROUNDUP((ROW()-6)/8,0)*8-1)=""),"",IF($P$3="否",工时测量记录表!Z148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49" s="214"/>
      <c r="P149" s="213"/>
    </row>
    <row r="150" spans="1:17" ht="15.6">
      <c r="A150" s="232"/>
      <c r="B150" s="229"/>
      <c r="C150" s="148" t="str">
        <f>IF(工时测量记录表!D149="","",工时测量记录表!D149)</f>
        <v/>
      </c>
      <c r="D150" s="227"/>
      <c r="E150" s="227"/>
      <c r="F150" s="227"/>
      <c r="G150" s="227"/>
      <c r="H150" s="225"/>
      <c r="I150" s="225"/>
      <c r="J150" s="225"/>
      <c r="K150" s="225"/>
      <c r="L150" s="222"/>
      <c r="M150" s="217"/>
      <c r="N150" s="149" t="str">
        <f ca="1">IF(OR(C150="",INDIRECT("L"&amp;ROUNDUP((ROW()-6)/8,0)*8-1)=""),"",IF($P$3="否",工时测量记录表!Z149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149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50" s="214"/>
      <c r="P150" s="213"/>
    </row>
    <row r="151" spans="1:17" ht="15.6">
      <c r="A151" s="232">
        <f>IF(工时测量记录表!A150="","",工时测量记录表!A150)</f>
        <v>19</v>
      </c>
      <c r="B151" s="229" t="str">
        <f>IF(工时测量记录表!B150="","",工时测量记录表!B150)</f>
        <v/>
      </c>
      <c r="C151" s="148" t="str">
        <f>IF(工时测量记录表!D150="","",工时测量记录表!D150)</f>
        <v/>
      </c>
      <c r="D151" s="227">
        <f t="shared" ref="D151:K151" si="17">IF($A151="","",D$7)</f>
        <v>0</v>
      </c>
      <c r="E151" s="227">
        <f t="shared" si="17"/>
        <v>0</v>
      </c>
      <c r="F151" s="227">
        <f t="shared" si="17"/>
        <v>0</v>
      </c>
      <c r="G151" s="227">
        <f t="shared" si="17"/>
        <v>0</v>
      </c>
      <c r="H151" s="225">
        <f t="shared" si="17"/>
        <v>0</v>
      </c>
      <c r="I151" s="225">
        <f t="shared" si="17"/>
        <v>0</v>
      </c>
      <c r="J151" s="225">
        <f t="shared" si="17"/>
        <v>0</v>
      </c>
      <c r="K151" s="225">
        <f t="shared" si="17"/>
        <v>0</v>
      </c>
      <c r="L151" s="222" t="str">
        <f>IF(工时测量记录表!C150="","",工时测量记录表!C150)</f>
        <v/>
      </c>
      <c r="M151" s="217">
        <v>1</v>
      </c>
      <c r="N151" s="149" t="str">
        <f ca="1">IF(OR(C151="",INDIRECT("L"&amp;ROUNDUP((ROW()-6)/8,0)*8-1)=""),"",IF($P$3="否",工时测量记录表!Z150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51" s="214" t="str">
        <f ca="1">IF(COUNT(N151:N158)=0,"",SUM(N151:N158))</f>
        <v/>
      </c>
      <c r="P151" s="213"/>
    </row>
    <row r="152" spans="1:17" ht="15.6">
      <c r="A152" s="232"/>
      <c r="B152" s="229"/>
      <c r="C152" s="148" t="str">
        <f>IF(工时测量记录表!D151="","",工时测量记录表!D151)</f>
        <v/>
      </c>
      <c r="D152" s="227"/>
      <c r="E152" s="227"/>
      <c r="F152" s="227"/>
      <c r="G152" s="227"/>
      <c r="H152" s="225"/>
      <c r="I152" s="225"/>
      <c r="J152" s="225"/>
      <c r="K152" s="225"/>
      <c r="L152" s="222"/>
      <c r="M152" s="217"/>
      <c r="N152" s="149" t="str">
        <f ca="1">IF(OR(C152="",INDIRECT("L"&amp;ROUNDUP((ROW()-6)/8,0)*8-1)=""),"",IF($P$3="否",工时测量记录表!Z151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52" s="214"/>
      <c r="P152" s="213"/>
    </row>
    <row r="153" spans="1:17" ht="15.6">
      <c r="A153" s="232"/>
      <c r="B153" s="229"/>
      <c r="C153" s="148" t="str">
        <f>IF(工时测量记录表!D152="","",工时测量记录表!D152)</f>
        <v/>
      </c>
      <c r="D153" s="227"/>
      <c r="E153" s="227"/>
      <c r="F153" s="227"/>
      <c r="G153" s="227"/>
      <c r="H153" s="225"/>
      <c r="I153" s="225"/>
      <c r="J153" s="225"/>
      <c r="K153" s="225"/>
      <c r="L153" s="222"/>
      <c r="M153" s="217"/>
      <c r="N153" s="149" t="str">
        <f ca="1">IF(OR(C153="",INDIRECT("L"&amp;ROUNDUP((ROW()-6)/8,0)*8-1)=""),"",IF($P$3="否",工时测量记录表!Z152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53" s="214"/>
      <c r="P153" s="213"/>
    </row>
    <row r="154" spans="1:17" ht="15.6">
      <c r="A154" s="232"/>
      <c r="B154" s="229"/>
      <c r="C154" s="148" t="str">
        <f>IF(工时测量记录表!D153="","",工时测量记录表!D153)</f>
        <v/>
      </c>
      <c r="D154" s="227"/>
      <c r="E154" s="227"/>
      <c r="F154" s="227"/>
      <c r="G154" s="227"/>
      <c r="H154" s="225"/>
      <c r="I154" s="225"/>
      <c r="J154" s="225"/>
      <c r="K154" s="225"/>
      <c r="L154" s="222"/>
      <c r="M154" s="217"/>
      <c r="N154" s="149" t="str">
        <f ca="1">IF(OR(C154="",INDIRECT("L"&amp;ROUNDUP((ROW()-6)/8,0)*8-1)=""),"",IF($P$3="否",工时测量记录表!Z153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54" s="214"/>
      <c r="P154" s="213"/>
    </row>
    <row r="155" spans="1:17" ht="15.6">
      <c r="A155" s="232"/>
      <c r="B155" s="229"/>
      <c r="C155" s="148" t="str">
        <f>IF(工时测量记录表!D154="","",工时测量记录表!D154)</f>
        <v/>
      </c>
      <c r="D155" s="227"/>
      <c r="E155" s="227"/>
      <c r="F155" s="227"/>
      <c r="G155" s="227"/>
      <c r="H155" s="225"/>
      <c r="I155" s="225"/>
      <c r="J155" s="225"/>
      <c r="K155" s="225"/>
      <c r="L155" s="222"/>
      <c r="M155" s="217"/>
      <c r="N155" s="149" t="str">
        <f ca="1">IF(OR(C155="",INDIRECT("L"&amp;ROUNDUP((ROW()-6)/8,0)*8-1)=""),"",IF($P$3="否",工时测量记录表!Z154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55" s="214"/>
      <c r="P155" s="213"/>
      <c r="Q155" s="125"/>
    </row>
    <row r="156" spans="1:17" ht="15.6">
      <c r="A156" s="232"/>
      <c r="B156" s="229"/>
      <c r="C156" s="148" t="str">
        <f>IF(工时测量记录表!D155="","",工时测量记录表!D155)</f>
        <v/>
      </c>
      <c r="D156" s="227"/>
      <c r="E156" s="227"/>
      <c r="F156" s="227"/>
      <c r="G156" s="227"/>
      <c r="H156" s="225"/>
      <c r="I156" s="225"/>
      <c r="J156" s="225"/>
      <c r="K156" s="225"/>
      <c r="L156" s="222"/>
      <c r="M156" s="217"/>
      <c r="N156" s="149" t="str">
        <f ca="1">IF(OR(C156="",INDIRECT("L"&amp;ROUNDUP((ROW()-6)/8,0)*8-1)=""),"",IF($P$3="否",工时测量记录表!Z155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56" s="214"/>
      <c r="P156" s="213"/>
    </row>
    <row r="157" spans="1:17" ht="15.6">
      <c r="A157" s="232"/>
      <c r="B157" s="229"/>
      <c r="C157" s="148" t="str">
        <f>IF(工时测量记录表!D156="","",工时测量记录表!D156)</f>
        <v/>
      </c>
      <c r="D157" s="227"/>
      <c r="E157" s="227"/>
      <c r="F157" s="227"/>
      <c r="G157" s="227"/>
      <c r="H157" s="225"/>
      <c r="I157" s="225"/>
      <c r="J157" s="225"/>
      <c r="K157" s="225"/>
      <c r="L157" s="222"/>
      <c r="M157" s="217"/>
      <c r="N157" s="149" t="str">
        <f ca="1">IF(OR(C157="",INDIRECT("L"&amp;ROUNDUP((ROW()-6)/8,0)*8-1)=""),"",IF($P$3="否",工时测量记录表!Z156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57" s="214"/>
      <c r="P157" s="213"/>
    </row>
    <row r="158" spans="1:17" ht="15.6">
      <c r="A158" s="232"/>
      <c r="B158" s="229"/>
      <c r="C158" s="148" t="str">
        <f>IF(工时测量记录表!D157="","",工时测量记录表!D157)</f>
        <v/>
      </c>
      <c r="D158" s="227"/>
      <c r="E158" s="227"/>
      <c r="F158" s="227"/>
      <c r="G158" s="227"/>
      <c r="H158" s="225"/>
      <c r="I158" s="225"/>
      <c r="J158" s="225"/>
      <c r="K158" s="225"/>
      <c r="L158" s="222"/>
      <c r="M158" s="217"/>
      <c r="N158" s="149" t="str">
        <f ca="1">IF(OR(C158="",INDIRECT("L"&amp;ROUNDUP((ROW()-6)/8,0)*8-1)=""),"",IF($P$3="否",工时测量记录表!Z157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58" s="214"/>
      <c r="P158" s="213"/>
    </row>
    <row r="159" spans="1:17" ht="15.6">
      <c r="A159" s="232">
        <f>IF(工时测量记录表!A158="","",工时测量记录表!A158)</f>
        <v>20</v>
      </c>
      <c r="B159" s="229" t="str">
        <f>IF(工时测量记录表!B158="","",工时测量记录表!B158)</f>
        <v/>
      </c>
      <c r="C159" s="148" t="str">
        <f>IF(工时测量记录表!D158="","",工时测量记录表!D158)</f>
        <v/>
      </c>
      <c r="D159" s="227">
        <f t="shared" ref="D159:K159" si="18">IF($A159="","",D$7)</f>
        <v>0</v>
      </c>
      <c r="E159" s="227">
        <f t="shared" si="18"/>
        <v>0</v>
      </c>
      <c r="F159" s="227">
        <f t="shared" si="18"/>
        <v>0</v>
      </c>
      <c r="G159" s="227">
        <f t="shared" si="18"/>
        <v>0</v>
      </c>
      <c r="H159" s="225">
        <f t="shared" si="18"/>
        <v>0</v>
      </c>
      <c r="I159" s="225">
        <f t="shared" si="18"/>
        <v>0</v>
      </c>
      <c r="J159" s="225">
        <f t="shared" si="18"/>
        <v>0</v>
      </c>
      <c r="K159" s="225">
        <f t="shared" si="18"/>
        <v>0</v>
      </c>
      <c r="L159" s="222" t="str">
        <f>IF(工时测量记录表!C158="","",工时测量记录表!C158)</f>
        <v/>
      </c>
      <c r="M159" s="217">
        <v>1</v>
      </c>
      <c r="N159" s="149" t="str">
        <f ca="1">IF(OR(C159="",INDIRECT("L"&amp;ROUNDUP((ROW()-6)/8,0)*8-1)=""),"",IF($P$3="否",工时测量记录表!Z158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59" s="214" t="str">
        <f ca="1">IF(COUNT(N159:N166)=0,"",SUM(N159:N166))</f>
        <v/>
      </c>
      <c r="P159" s="213"/>
    </row>
    <row r="160" spans="1:17" ht="15.6">
      <c r="A160" s="232"/>
      <c r="B160" s="229"/>
      <c r="C160" s="148" t="str">
        <f>IF(工时测量记录表!D159="","",工时测量记录表!D159)</f>
        <v/>
      </c>
      <c r="D160" s="227"/>
      <c r="E160" s="227"/>
      <c r="F160" s="227"/>
      <c r="G160" s="227"/>
      <c r="H160" s="225"/>
      <c r="I160" s="225"/>
      <c r="J160" s="225"/>
      <c r="K160" s="225"/>
      <c r="L160" s="222"/>
      <c r="M160" s="217"/>
      <c r="N160" s="149" t="str">
        <f ca="1">IF(OR(C160="",INDIRECT("L"&amp;ROUNDUP((ROW()-6)/8,0)*8-1)=""),"",IF($P$3="否",工时测量记录表!Z159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159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60" s="214"/>
      <c r="P160" s="213"/>
    </row>
    <row r="161" spans="1:17" ht="15.6">
      <c r="A161" s="232"/>
      <c r="B161" s="229"/>
      <c r="C161" s="148" t="str">
        <f>IF(工时测量记录表!D160="","",工时测量记录表!D160)</f>
        <v/>
      </c>
      <c r="D161" s="227"/>
      <c r="E161" s="227"/>
      <c r="F161" s="227"/>
      <c r="G161" s="227"/>
      <c r="H161" s="225"/>
      <c r="I161" s="225"/>
      <c r="J161" s="225"/>
      <c r="K161" s="225"/>
      <c r="L161" s="222"/>
      <c r="M161" s="217"/>
      <c r="N161" s="149" t="str">
        <f ca="1">IF(OR(C161="",INDIRECT("L"&amp;ROUNDUP((ROW()-6)/8,0)*8-1)=""),"",IF($P$3="否",工时测量记录表!Z160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61" s="214"/>
      <c r="P161" s="213"/>
    </row>
    <row r="162" spans="1:17" ht="15.6">
      <c r="A162" s="232"/>
      <c r="B162" s="229"/>
      <c r="C162" s="148" t="str">
        <f>IF(工时测量记录表!D161="","",工时测量记录表!D161)</f>
        <v/>
      </c>
      <c r="D162" s="227"/>
      <c r="E162" s="227"/>
      <c r="F162" s="227"/>
      <c r="G162" s="227"/>
      <c r="H162" s="225"/>
      <c r="I162" s="225"/>
      <c r="J162" s="225"/>
      <c r="K162" s="225"/>
      <c r="L162" s="222"/>
      <c r="M162" s="217"/>
      <c r="N162" s="149" t="str">
        <f ca="1">IF(OR(C162="",INDIRECT("L"&amp;ROUNDUP((ROW()-6)/8,0)*8-1)=""),"",IF($P$3="否",工时测量记录表!Z161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62" s="214"/>
      <c r="P162" s="213"/>
    </row>
    <row r="163" spans="1:17" ht="15.6">
      <c r="A163" s="232"/>
      <c r="B163" s="229"/>
      <c r="C163" s="148" t="str">
        <f>IF(工时测量记录表!D162="","",工时测量记录表!D162)</f>
        <v/>
      </c>
      <c r="D163" s="227"/>
      <c r="E163" s="227"/>
      <c r="F163" s="227"/>
      <c r="G163" s="227"/>
      <c r="H163" s="225"/>
      <c r="I163" s="225"/>
      <c r="J163" s="225"/>
      <c r="K163" s="225"/>
      <c r="L163" s="222"/>
      <c r="M163" s="217"/>
      <c r="N163" s="149" t="str">
        <f ca="1">IF(OR(C163="",INDIRECT("L"&amp;ROUNDUP((ROW()-6)/8,0)*8-1)=""),"",IF($P$3="否",工时测量记录表!Z162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63" s="214"/>
      <c r="P163" s="213"/>
      <c r="Q163" s="125"/>
    </row>
    <row r="164" spans="1:17" ht="15.6">
      <c r="A164" s="232"/>
      <c r="B164" s="229"/>
      <c r="C164" s="148" t="str">
        <f>IF(工时测量记录表!D163="","",工时测量记录表!D163)</f>
        <v/>
      </c>
      <c r="D164" s="227"/>
      <c r="E164" s="227"/>
      <c r="F164" s="227"/>
      <c r="G164" s="227"/>
      <c r="H164" s="225"/>
      <c r="I164" s="225"/>
      <c r="J164" s="225"/>
      <c r="K164" s="225"/>
      <c r="L164" s="222"/>
      <c r="M164" s="217"/>
      <c r="N164" s="149" t="str">
        <f ca="1">IF(OR(C164="",INDIRECT("L"&amp;ROUNDUP((ROW()-6)/8,0)*8-1)=""),"",IF($P$3="否",工时测量记录表!Z163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64" s="214"/>
      <c r="P164" s="213"/>
    </row>
    <row r="165" spans="1:17" ht="15.6">
      <c r="A165" s="232"/>
      <c r="B165" s="229"/>
      <c r="C165" s="148" t="str">
        <f>IF(工时测量记录表!D164="","",工时测量记录表!D164)</f>
        <v/>
      </c>
      <c r="D165" s="227"/>
      <c r="E165" s="227"/>
      <c r="F165" s="227"/>
      <c r="G165" s="227"/>
      <c r="H165" s="225"/>
      <c r="I165" s="225"/>
      <c r="J165" s="225"/>
      <c r="K165" s="225"/>
      <c r="L165" s="222"/>
      <c r="M165" s="217"/>
      <c r="N165" s="149" t="str">
        <f ca="1">IF(OR(C165="",INDIRECT("L"&amp;ROUNDUP((ROW()-6)/8,0)*8-1)=""),"",IF($P$3="否",工时测量记录表!Z164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65" s="214"/>
      <c r="P165" s="213"/>
    </row>
    <row r="166" spans="1:17" ht="15.6">
      <c r="A166" s="232"/>
      <c r="B166" s="229"/>
      <c r="C166" s="148" t="str">
        <f>IF(工时测量记录表!D165="","",工时测量记录表!D165)</f>
        <v/>
      </c>
      <c r="D166" s="227"/>
      <c r="E166" s="227"/>
      <c r="F166" s="227"/>
      <c r="G166" s="227"/>
      <c r="H166" s="225"/>
      <c r="I166" s="225"/>
      <c r="J166" s="225"/>
      <c r="K166" s="225"/>
      <c r="L166" s="222"/>
      <c r="M166" s="217"/>
      <c r="N166" s="149" t="str">
        <f ca="1">IF(OR(C166="",INDIRECT("L"&amp;ROUNDUP((ROW()-6)/8,0)*8-1)=""),"",IF($P$3="否",工时测量记录表!Z165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66" s="214"/>
      <c r="P166" s="213"/>
    </row>
    <row r="167" spans="1:17" ht="15.6">
      <c r="A167" s="232">
        <f>IF(工时测量记录表!A166="","",工时测量记录表!A166)</f>
        <v>21</v>
      </c>
      <c r="B167" s="229" t="str">
        <f>IF(工时测量记录表!B166="","",工时测量记录表!B166)</f>
        <v/>
      </c>
      <c r="C167" s="148" t="str">
        <f>IF(工时测量记录表!D166="","",工时测量记录表!D166)</f>
        <v/>
      </c>
      <c r="D167" s="227">
        <f t="shared" ref="D167:K167" si="19">IF($A167="","",D$7)</f>
        <v>0</v>
      </c>
      <c r="E167" s="227">
        <f t="shared" si="19"/>
        <v>0</v>
      </c>
      <c r="F167" s="227">
        <f t="shared" si="19"/>
        <v>0</v>
      </c>
      <c r="G167" s="227">
        <f t="shared" si="19"/>
        <v>0</v>
      </c>
      <c r="H167" s="225">
        <f t="shared" si="19"/>
        <v>0</v>
      </c>
      <c r="I167" s="225">
        <f t="shared" si="19"/>
        <v>0</v>
      </c>
      <c r="J167" s="225">
        <f t="shared" si="19"/>
        <v>0</v>
      </c>
      <c r="K167" s="225">
        <f t="shared" si="19"/>
        <v>0</v>
      </c>
      <c r="L167" s="222" t="str">
        <f>IF(工时测量记录表!C166="","",工时测量记录表!C166)</f>
        <v/>
      </c>
      <c r="M167" s="217">
        <v>1</v>
      </c>
      <c r="N167" s="149" t="str">
        <f ca="1">IF(OR(C167="",INDIRECT("L"&amp;ROUNDUP((ROW()-6)/8,0)*8-1)=""),"",IF($P$3="否",工时测量记录表!Z166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67" s="214" t="str">
        <f ca="1">IF(COUNT(N167:N174)=0,"",SUM(N167:N174))</f>
        <v/>
      </c>
      <c r="P167" s="213"/>
    </row>
    <row r="168" spans="1:17" ht="15.6">
      <c r="A168" s="232"/>
      <c r="B168" s="229"/>
      <c r="C168" s="148" t="str">
        <f>IF(工时测量记录表!D167="","",工时测量记录表!D167)</f>
        <v/>
      </c>
      <c r="D168" s="227"/>
      <c r="E168" s="227"/>
      <c r="F168" s="227"/>
      <c r="G168" s="227"/>
      <c r="H168" s="225"/>
      <c r="I168" s="225"/>
      <c r="J168" s="225"/>
      <c r="K168" s="225"/>
      <c r="L168" s="222"/>
      <c r="M168" s="217"/>
      <c r="N168" s="149" t="str">
        <f ca="1">IF(OR(C168="",INDIRECT("L"&amp;ROUNDUP((ROW()-6)/8,0)*8-1)=""),"",IF($P$3="否",工时测量记录表!Z167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68" s="214"/>
      <c r="P168" s="213"/>
    </row>
    <row r="169" spans="1:17" ht="15.6">
      <c r="A169" s="232"/>
      <c r="B169" s="229"/>
      <c r="C169" s="148" t="str">
        <f>IF(工时测量记录表!D168="","",工时测量记录表!D168)</f>
        <v/>
      </c>
      <c r="D169" s="227"/>
      <c r="E169" s="227"/>
      <c r="F169" s="227"/>
      <c r="G169" s="227"/>
      <c r="H169" s="225"/>
      <c r="I169" s="225"/>
      <c r="J169" s="225"/>
      <c r="K169" s="225"/>
      <c r="L169" s="222"/>
      <c r="M169" s="217"/>
      <c r="N169" s="149" t="str">
        <f ca="1">IF(OR(C169="",INDIRECT("L"&amp;ROUNDUP((ROW()-6)/8,0)*8-1)=""),"",IF($P$3="否",工时测量记录表!Z168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69" s="214"/>
      <c r="P169" s="213"/>
    </row>
    <row r="170" spans="1:17" ht="15.6">
      <c r="A170" s="232"/>
      <c r="B170" s="229"/>
      <c r="C170" s="148" t="str">
        <f>IF(工时测量记录表!D169="","",工时测量记录表!D169)</f>
        <v/>
      </c>
      <c r="D170" s="227"/>
      <c r="E170" s="227"/>
      <c r="F170" s="227"/>
      <c r="G170" s="227"/>
      <c r="H170" s="225"/>
      <c r="I170" s="225"/>
      <c r="J170" s="225"/>
      <c r="K170" s="225"/>
      <c r="L170" s="222"/>
      <c r="M170" s="217"/>
      <c r="N170" s="149" t="str">
        <f ca="1">IF(OR(C170="",INDIRECT("L"&amp;ROUNDUP((ROW()-6)/8,0)*8-1)=""),"",IF($P$3="否",工时测量记录表!Z169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169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70" s="214"/>
      <c r="P170" s="213"/>
    </row>
    <row r="171" spans="1:17" ht="15.6">
      <c r="A171" s="232"/>
      <c r="B171" s="229"/>
      <c r="C171" s="148" t="str">
        <f>IF(工时测量记录表!D170="","",工时测量记录表!D170)</f>
        <v/>
      </c>
      <c r="D171" s="227"/>
      <c r="E171" s="227"/>
      <c r="F171" s="227"/>
      <c r="G171" s="227"/>
      <c r="H171" s="225"/>
      <c r="I171" s="225"/>
      <c r="J171" s="225"/>
      <c r="K171" s="225"/>
      <c r="L171" s="222"/>
      <c r="M171" s="217"/>
      <c r="N171" s="149" t="str">
        <f ca="1">IF(OR(C171="",INDIRECT("L"&amp;ROUNDUP((ROW()-6)/8,0)*8-1)=""),"",IF($P$3="否",工时测量记录表!Z170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71" s="214"/>
      <c r="P171" s="213"/>
      <c r="Q171" s="125"/>
    </row>
    <row r="172" spans="1:17" ht="15.6">
      <c r="A172" s="232"/>
      <c r="B172" s="229"/>
      <c r="C172" s="148" t="str">
        <f>IF(工时测量记录表!D171="","",工时测量记录表!D171)</f>
        <v/>
      </c>
      <c r="D172" s="227"/>
      <c r="E172" s="227"/>
      <c r="F172" s="227"/>
      <c r="G172" s="227"/>
      <c r="H172" s="225"/>
      <c r="I172" s="225"/>
      <c r="J172" s="225"/>
      <c r="K172" s="225"/>
      <c r="L172" s="222"/>
      <c r="M172" s="217"/>
      <c r="N172" s="149" t="str">
        <f ca="1">IF(OR(C172="",INDIRECT("L"&amp;ROUNDUP((ROW()-6)/8,0)*8-1)=""),"",IF($P$3="否",工时测量记录表!Z171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72" s="214"/>
      <c r="P172" s="213"/>
    </row>
    <row r="173" spans="1:17" ht="15.6">
      <c r="A173" s="232"/>
      <c r="B173" s="229"/>
      <c r="C173" s="148" t="str">
        <f>IF(工时测量记录表!D172="","",工时测量记录表!D172)</f>
        <v/>
      </c>
      <c r="D173" s="227"/>
      <c r="E173" s="227"/>
      <c r="F173" s="227"/>
      <c r="G173" s="227"/>
      <c r="H173" s="225"/>
      <c r="I173" s="225"/>
      <c r="J173" s="225"/>
      <c r="K173" s="225"/>
      <c r="L173" s="222"/>
      <c r="M173" s="217"/>
      <c r="N173" s="149" t="str">
        <f ca="1">IF(OR(C173="",INDIRECT("L"&amp;ROUNDUP((ROW()-6)/8,0)*8-1)=""),"",IF($P$3="否",工时测量记录表!Z172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73" s="214"/>
      <c r="P173" s="213"/>
    </row>
    <row r="174" spans="1:17" ht="15.6">
      <c r="A174" s="232"/>
      <c r="B174" s="229"/>
      <c r="C174" s="148" t="str">
        <f>IF(工时测量记录表!D173="","",工时测量记录表!D173)</f>
        <v/>
      </c>
      <c r="D174" s="227"/>
      <c r="E174" s="227"/>
      <c r="F174" s="227"/>
      <c r="G174" s="227"/>
      <c r="H174" s="225"/>
      <c r="I174" s="225"/>
      <c r="J174" s="225"/>
      <c r="K174" s="225"/>
      <c r="L174" s="222"/>
      <c r="M174" s="217"/>
      <c r="N174" s="149" t="str">
        <f ca="1">IF(OR(C174="",INDIRECT("L"&amp;ROUNDUP((ROW()-6)/8,0)*8-1)=""),"",IF($P$3="否",工时测量记录表!Z173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74" s="214"/>
      <c r="P174" s="213"/>
    </row>
    <row r="175" spans="1:17" ht="15.6">
      <c r="A175" s="232">
        <f>IF(工时测量记录表!A174="","",工时测量记录表!A174)</f>
        <v>22</v>
      </c>
      <c r="B175" s="229" t="str">
        <f>IF(工时测量记录表!B174="","",工时测量记录表!B174)</f>
        <v/>
      </c>
      <c r="C175" s="148" t="str">
        <f>IF(工时测量记录表!D174="","",工时测量记录表!D174)</f>
        <v/>
      </c>
      <c r="D175" s="227">
        <f t="shared" ref="D175:K175" si="20">IF($A175="","",D$7)</f>
        <v>0</v>
      </c>
      <c r="E175" s="227">
        <f t="shared" si="20"/>
        <v>0</v>
      </c>
      <c r="F175" s="227">
        <f t="shared" si="20"/>
        <v>0</v>
      </c>
      <c r="G175" s="227">
        <f t="shared" si="20"/>
        <v>0</v>
      </c>
      <c r="H175" s="225">
        <f t="shared" si="20"/>
        <v>0</v>
      </c>
      <c r="I175" s="225">
        <f t="shared" si="20"/>
        <v>0</v>
      </c>
      <c r="J175" s="225">
        <f t="shared" si="20"/>
        <v>0</v>
      </c>
      <c r="K175" s="225">
        <f t="shared" si="20"/>
        <v>0</v>
      </c>
      <c r="L175" s="222" t="str">
        <f>IF(工时测量记录表!C174="","",工时测量记录表!C174)</f>
        <v/>
      </c>
      <c r="M175" s="217">
        <v>1</v>
      </c>
      <c r="N175" s="149" t="str">
        <f ca="1">IF(OR(C175="",INDIRECT("L"&amp;ROUNDUP((ROW()-6)/8,0)*8-1)=""),"",IF($P$3="否",工时测量记录表!Z174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75" s="214" t="str">
        <f ca="1">IF(COUNT(N175:N182)=0,"",SUM(N175:N182))</f>
        <v/>
      </c>
      <c r="P175" s="213"/>
    </row>
    <row r="176" spans="1:17" ht="15.6">
      <c r="A176" s="232"/>
      <c r="B176" s="229"/>
      <c r="C176" s="148" t="str">
        <f>IF(工时测量记录表!D175="","",工时测量记录表!D175)</f>
        <v/>
      </c>
      <c r="D176" s="227"/>
      <c r="E176" s="227"/>
      <c r="F176" s="227"/>
      <c r="G176" s="227"/>
      <c r="H176" s="225"/>
      <c r="I176" s="225"/>
      <c r="J176" s="225"/>
      <c r="K176" s="225"/>
      <c r="L176" s="222"/>
      <c r="M176" s="217"/>
      <c r="N176" s="149" t="str">
        <f ca="1">IF(OR(C176="",INDIRECT("L"&amp;ROUNDUP((ROW()-6)/8,0)*8-1)=""),"",IF($P$3="否",工时测量记录表!Z175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76" s="214"/>
      <c r="P176" s="213"/>
    </row>
    <row r="177" spans="1:17" ht="15.6">
      <c r="A177" s="232"/>
      <c r="B177" s="229"/>
      <c r="C177" s="148" t="str">
        <f>IF(工时测量记录表!D176="","",工时测量记录表!D176)</f>
        <v/>
      </c>
      <c r="D177" s="227"/>
      <c r="E177" s="227"/>
      <c r="F177" s="227"/>
      <c r="G177" s="227"/>
      <c r="H177" s="225"/>
      <c r="I177" s="225"/>
      <c r="J177" s="225"/>
      <c r="K177" s="225"/>
      <c r="L177" s="222"/>
      <c r="M177" s="217"/>
      <c r="N177" s="149" t="str">
        <f ca="1">IF(OR(C177="",INDIRECT("L"&amp;ROUNDUP((ROW()-6)/8,0)*8-1)=""),"",IF($P$3="否",工时测量记录表!Z176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77" s="214"/>
      <c r="P177" s="213"/>
    </row>
    <row r="178" spans="1:17" ht="15.6">
      <c r="A178" s="232"/>
      <c r="B178" s="229"/>
      <c r="C178" s="148" t="str">
        <f>IF(工时测量记录表!D177="","",工时测量记录表!D177)</f>
        <v/>
      </c>
      <c r="D178" s="227"/>
      <c r="E178" s="227"/>
      <c r="F178" s="227"/>
      <c r="G178" s="227"/>
      <c r="H178" s="225"/>
      <c r="I178" s="225"/>
      <c r="J178" s="225"/>
      <c r="K178" s="225"/>
      <c r="L178" s="222"/>
      <c r="M178" s="217"/>
      <c r="N178" s="149" t="str">
        <f ca="1">IF(OR(C178="",INDIRECT("L"&amp;ROUNDUP((ROW()-6)/8,0)*8-1)=""),"",IF($P$3="否",工时测量记录表!Z177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78" s="214"/>
      <c r="P178" s="213"/>
    </row>
    <row r="179" spans="1:17" ht="15.6">
      <c r="A179" s="232"/>
      <c r="B179" s="229"/>
      <c r="C179" s="148" t="str">
        <f>IF(工时测量记录表!D178="","",工时测量记录表!D178)</f>
        <v/>
      </c>
      <c r="D179" s="227"/>
      <c r="E179" s="227"/>
      <c r="F179" s="227"/>
      <c r="G179" s="227"/>
      <c r="H179" s="225"/>
      <c r="I179" s="225"/>
      <c r="J179" s="225"/>
      <c r="K179" s="225"/>
      <c r="L179" s="222"/>
      <c r="M179" s="217"/>
      <c r="N179" s="149" t="str">
        <f ca="1">IF(OR(C179="",INDIRECT("L"&amp;ROUNDUP((ROW()-6)/8,0)*8-1)=""),"",IF($P$3="否",工时测量记录表!Z178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79" s="214"/>
      <c r="P179" s="213"/>
      <c r="Q179" s="125"/>
    </row>
    <row r="180" spans="1:17" ht="15.6">
      <c r="A180" s="232"/>
      <c r="B180" s="229"/>
      <c r="C180" s="148" t="str">
        <f>IF(工时测量记录表!D179="","",工时测量记录表!D179)</f>
        <v/>
      </c>
      <c r="D180" s="227"/>
      <c r="E180" s="227"/>
      <c r="F180" s="227"/>
      <c r="G180" s="227"/>
      <c r="H180" s="225"/>
      <c r="I180" s="225"/>
      <c r="J180" s="225"/>
      <c r="K180" s="225"/>
      <c r="L180" s="222"/>
      <c r="M180" s="217"/>
      <c r="N180" s="149" t="str">
        <f ca="1">IF(OR(C180="",INDIRECT("L"&amp;ROUNDUP((ROW()-6)/8,0)*8-1)=""),"",IF($P$3="否",工时测量记录表!Z179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179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80" s="214"/>
      <c r="P180" s="213"/>
    </row>
    <row r="181" spans="1:17" ht="15.6">
      <c r="A181" s="232"/>
      <c r="B181" s="229"/>
      <c r="C181" s="148" t="str">
        <f>IF(工时测量记录表!D180="","",工时测量记录表!D180)</f>
        <v/>
      </c>
      <c r="D181" s="227"/>
      <c r="E181" s="227"/>
      <c r="F181" s="227"/>
      <c r="G181" s="227"/>
      <c r="H181" s="225"/>
      <c r="I181" s="225"/>
      <c r="J181" s="225"/>
      <c r="K181" s="225"/>
      <c r="L181" s="222"/>
      <c r="M181" s="217"/>
      <c r="N181" s="149" t="str">
        <f ca="1">IF(OR(C181="",INDIRECT("L"&amp;ROUNDUP((ROW()-6)/8,0)*8-1)=""),"",IF($P$3="否",工时测量记录表!Z180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81" s="214"/>
      <c r="P181" s="213"/>
    </row>
    <row r="182" spans="1:17" ht="15.6">
      <c r="A182" s="232"/>
      <c r="B182" s="229"/>
      <c r="C182" s="148" t="str">
        <f>IF(工时测量记录表!D181="","",工时测量记录表!D181)</f>
        <v/>
      </c>
      <c r="D182" s="227"/>
      <c r="E182" s="227"/>
      <c r="F182" s="227"/>
      <c r="G182" s="227"/>
      <c r="H182" s="225"/>
      <c r="I182" s="225"/>
      <c r="J182" s="225"/>
      <c r="K182" s="225"/>
      <c r="L182" s="222"/>
      <c r="M182" s="217"/>
      <c r="N182" s="149" t="str">
        <f ca="1">IF(OR(C182="",INDIRECT("L"&amp;ROUNDUP((ROW()-6)/8,0)*8-1)=""),"",IF($P$3="否",工时测量记录表!Z181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82" s="214"/>
      <c r="P182" s="213"/>
    </row>
    <row r="183" spans="1:17" ht="15.75" customHeight="1">
      <c r="A183" s="232">
        <f>IF(工时测量记录表!A182="","",工时测量记录表!A182)</f>
        <v>23</v>
      </c>
      <c r="B183" s="229" t="str">
        <f>IF(工时测量记录表!B182="","",工时测量记录表!B182)</f>
        <v/>
      </c>
      <c r="C183" s="148" t="str">
        <f>IF(工时测量记录表!D182="","",工时测量记录表!D182)</f>
        <v/>
      </c>
      <c r="D183" s="227">
        <f t="shared" ref="D183:K183" si="21">IF($A183="","",D$7)</f>
        <v>0</v>
      </c>
      <c r="E183" s="227">
        <f t="shared" si="21"/>
        <v>0</v>
      </c>
      <c r="F183" s="227">
        <f t="shared" si="21"/>
        <v>0</v>
      </c>
      <c r="G183" s="227">
        <f t="shared" si="21"/>
        <v>0</v>
      </c>
      <c r="H183" s="225">
        <f t="shared" si="21"/>
        <v>0</v>
      </c>
      <c r="I183" s="225">
        <f t="shared" si="21"/>
        <v>0</v>
      </c>
      <c r="J183" s="225">
        <f t="shared" si="21"/>
        <v>0</v>
      </c>
      <c r="K183" s="225">
        <f t="shared" si="21"/>
        <v>0</v>
      </c>
      <c r="L183" s="222" t="str">
        <f>IF(工时测量记录表!C182="","",工时测量记录表!C182)</f>
        <v/>
      </c>
      <c r="M183" s="217">
        <v>1</v>
      </c>
      <c r="N183" s="149" t="str">
        <f ca="1">IF(OR(C183="",INDIRECT("L"&amp;ROUNDUP((ROW()-6)/8,0)*8-1)=""),"",IF($P$3="否",工时测量记录表!Z182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83" s="214" t="str">
        <f ca="1">IF(COUNT(N183:N190)=0,"",SUM(N183:N190))</f>
        <v/>
      </c>
      <c r="P183" s="213"/>
    </row>
    <row r="184" spans="1:17" ht="15.6">
      <c r="A184" s="232"/>
      <c r="B184" s="229"/>
      <c r="C184" s="148" t="str">
        <f>IF(工时测量记录表!D183="","",工时测量记录表!D183)</f>
        <v/>
      </c>
      <c r="D184" s="227"/>
      <c r="E184" s="227"/>
      <c r="F184" s="227"/>
      <c r="G184" s="227"/>
      <c r="H184" s="225"/>
      <c r="I184" s="225"/>
      <c r="J184" s="225"/>
      <c r="K184" s="225"/>
      <c r="L184" s="222"/>
      <c r="M184" s="217"/>
      <c r="N184" s="149" t="str">
        <f ca="1">IF(OR(C184="",INDIRECT("L"&amp;ROUNDUP((ROW()-6)/8,0)*8-1)=""),"",IF($P$3="否",工时测量记录表!Z183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84" s="214"/>
      <c r="P184" s="213"/>
    </row>
    <row r="185" spans="1:17" ht="15.6">
      <c r="A185" s="232"/>
      <c r="B185" s="229"/>
      <c r="C185" s="148" t="str">
        <f>IF(工时测量记录表!D184="","",工时测量记录表!D184)</f>
        <v/>
      </c>
      <c r="D185" s="227"/>
      <c r="E185" s="227"/>
      <c r="F185" s="227"/>
      <c r="G185" s="227"/>
      <c r="H185" s="225"/>
      <c r="I185" s="225"/>
      <c r="J185" s="225"/>
      <c r="K185" s="225"/>
      <c r="L185" s="222"/>
      <c r="M185" s="217"/>
      <c r="N185" s="149" t="str">
        <f ca="1">IF(OR(C185="",INDIRECT("L"&amp;ROUNDUP((ROW()-6)/8,0)*8-1)=""),"",IF($P$3="否",工时测量记录表!Z184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85" s="214"/>
      <c r="P185" s="213"/>
    </row>
    <row r="186" spans="1:17" ht="15.6">
      <c r="A186" s="232"/>
      <c r="B186" s="229"/>
      <c r="C186" s="148" t="str">
        <f>IF(工时测量记录表!D185="","",工时测量记录表!D185)</f>
        <v/>
      </c>
      <c r="D186" s="227"/>
      <c r="E186" s="227"/>
      <c r="F186" s="227"/>
      <c r="G186" s="227"/>
      <c r="H186" s="225"/>
      <c r="I186" s="225"/>
      <c r="J186" s="225"/>
      <c r="K186" s="225"/>
      <c r="L186" s="222"/>
      <c r="M186" s="217"/>
      <c r="N186" s="149" t="str">
        <f ca="1">IF(OR(C186="",INDIRECT("L"&amp;ROUNDUP((ROW()-6)/8,0)*8-1)=""),"",IF($P$3="否",工时测量记录表!Z185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86" s="214"/>
      <c r="P186" s="213"/>
    </row>
    <row r="187" spans="1:17" ht="15.6">
      <c r="A187" s="232"/>
      <c r="B187" s="229"/>
      <c r="C187" s="148" t="str">
        <f>IF(工时测量记录表!D186="","",工时测量记录表!D186)</f>
        <v/>
      </c>
      <c r="D187" s="227"/>
      <c r="E187" s="227"/>
      <c r="F187" s="227"/>
      <c r="G187" s="227"/>
      <c r="H187" s="225"/>
      <c r="I187" s="225"/>
      <c r="J187" s="225"/>
      <c r="K187" s="225"/>
      <c r="L187" s="222"/>
      <c r="M187" s="217"/>
      <c r="N187" s="149" t="str">
        <f ca="1">IF(OR(C187="",INDIRECT("L"&amp;ROUNDUP((ROW()-6)/8,0)*8-1)=""),"",IF($P$3="否",工时测量记录表!Z186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87" s="214"/>
      <c r="P187" s="213"/>
      <c r="Q187" s="125"/>
    </row>
    <row r="188" spans="1:17" ht="15.6">
      <c r="A188" s="232"/>
      <c r="B188" s="229"/>
      <c r="C188" s="148" t="str">
        <f>IF(工时测量记录表!D187="","",工时测量记录表!D187)</f>
        <v/>
      </c>
      <c r="D188" s="227"/>
      <c r="E188" s="227"/>
      <c r="F188" s="227"/>
      <c r="G188" s="227"/>
      <c r="H188" s="225"/>
      <c r="I188" s="225"/>
      <c r="J188" s="225"/>
      <c r="K188" s="225"/>
      <c r="L188" s="222"/>
      <c r="M188" s="217"/>
      <c r="N188" s="149" t="str">
        <f ca="1">IF(OR(C188="",INDIRECT("L"&amp;ROUNDUP((ROW()-6)/8,0)*8-1)=""),"",IF($P$3="否",工时测量记录表!Z187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88" s="214"/>
      <c r="P188" s="213"/>
    </row>
    <row r="189" spans="1:17" ht="15.6">
      <c r="A189" s="232"/>
      <c r="B189" s="229"/>
      <c r="C189" s="148" t="str">
        <f>IF(工时测量记录表!D188="","",工时测量记录表!D188)</f>
        <v/>
      </c>
      <c r="D189" s="227"/>
      <c r="E189" s="227"/>
      <c r="F189" s="227"/>
      <c r="G189" s="227"/>
      <c r="H189" s="225"/>
      <c r="I189" s="225"/>
      <c r="J189" s="225"/>
      <c r="K189" s="225"/>
      <c r="L189" s="222"/>
      <c r="M189" s="217"/>
      <c r="N189" s="149" t="str">
        <f ca="1">IF(OR(C189="",INDIRECT("L"&amp;ROUNDUP((ROW()-6)/8,0)*8-1)=""),"",IF($P$3="否",工时测量记录表!Z188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89" s="214"/>
      <c r="P189" s="213"/>
    </row>
    <row r="190" spans="1:17" ht="15.6">
      <c r="A190" s="232"/>
      <c r="B190" s="229"/>
      <c r="C190" s="148" t="str">
        <f>IF(工时测量记录表!D189="","",工时测量记录表!D189)</f>
        <v/>
      </c>
      <c r="D190" s="227"/>
      <c r="E190" s="227"/>
      <c r="F190" s="227"/>
      <c r="G190" s="227"/>
      <c r="H190" s="225"/>
      <c r="I190" s="225"/>
      <c r="J190" s="225"/>
      <c r="K190" s="225"/>
      <c r="L190" s="222"/>
      <c r="M190" s="217"/>
      <c r="N190" s="149" t="str">
        <f ca="1">IF(OR(C190="",INDIRECT("L"&amp;ROUNDUP((ROW()-6)/8,0)*8-1)=""),"",IF($P$3="否",工时测量记录表!Z189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189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90" s="214"/>
      <c r="P190" s="213"/>
    </row>
    <row r="191" spans="1:17" ht="15.6">
      <c r="A191" s="232">
        <f>IF(工时测量记录表!A190="","",工时测量记录表!A190)</f>
        <v>24</v>
      </c>
      <c r="B191" s="229" t="str">
        <f>IF(工时测量记录表!B190="","",工时测量记录表!B190)</f>
        <v/>
      </c>
      <c r="C191" s="148" t="str">
        <f>IF(工时测量记录表!D190="","",工时测量记录表!D190)</f>
        <v/>
      </c>
      <c r="D191" s="227">
        <f t="shared" ref="D191:K191" si="22">IF($A191="","",D$7)</f>
        <v>0</v>
      </c>
      <c r="E191" s="227">
        <f t="shared" si="22"/>
        <v>0</v>
      </c>
      <c r="F191" s="227">
        <f t="shared" si="22"/>
        <v>0</v>
      </c>
      <c r="G191" s="227">
        <f t="shared" si="22"/>
        <v>0</v>
      </c>
      <c r="H191" s="225">
        <f t="shared" si="22"/>
        <v>0</v>
      </c>
      <c r="I191" s="225">
        <f t="shared" si="22"/>
        <v>0</v>
      </c>
      <c r="J191" s="225">
        <f t="shared" si="22"/>
        <v>0</v>
      </c>
      <c r="K191" s="225">
        <f t="shared" si="22"/>
        <v>0</v>
      </c>
      <c r="L191" s="222" t="str">
        <f>IF(工时测量记录表!C190="","",工时测量记录表!C190)</f>
        <v/>
      </c>
      <c r="M191" s="217">
        <v>1</v>
      </c>
      <c r="N191" s="149" t="str">
        <f ca="1">IF(OR(C191="",INDIRECT("L"&amp;ROUNDUP((ROW()-6)/8,0)*8-1)=""),"",IF($P$3="否",工时测量记录表!Z190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91" s="214" t="str">
        <f ca="1">IF(COUNT(N191:N198)=0,"",SUM(N191:N198))</f>
        <v/>
      </c>
      <c r="P191" s="213"/>
    </row>
    <row r="192" spans="1:17" ht="15.6">
      <c r="A192" s="232"/>
      <c r="B192" s="229"/>
      <c r="C192" s="148" t="str">
        <f>IF(工时测量记录表!D191="","",工时测量记录表!D191)</f>
        <v/>
      </c>
      <c r="D192" s="227"/>
      <c r="E192" s="227"/>
      <c r="F192" s="227"/>
      <c r="G192" s="227"/>
      <c r="H192" s="225"/>
      <c r="I192" s="225"/>
      <c r="J192" s="225"/>
      <c r="K192" s="225"/>
      <c r="L192" s="222"/>
      <c r="M192" s="217"/>
      <c r="N192" s="149" t="str">
        <f ca="1">IF(OR(C192="",INDIRECT("L"&amp;ROUNDUP((ROW()-6)/8,0)*8-1)=""),"",IF($P$3="否",工时测量记录表!Z191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92" s="214"/>
      <c r="P192" s="213"/>
    </row>
    <row r="193" spans="1:17" ht="15.6">
      <c r="A193" s="232"/>
      <c r="B193" s="229"/>
      <c r="C193" s="148" t="str">
        <f>IF(工时测量记录表!D192="","",工时测量记录表!D192)</f>
        <v/>
      </c>
      <c r="D193" s="227"/>
      <c r="E193" s="227"/>
      <c r="F193" s="227"/>
      <c r="G193" s="227"/>
      <c r="H193" s="225"/>
      <c r="I193" s="225"/>
      <c r="J193" s="225"/>
      <c r="K193" s="225"/>
      <c r="L193" s="222"/>
      <c r="M193" s="217"/>
      <c r="N193" s="149" t="str">
        <f ca="1">IF(OR(C193="",INDIRECT("L"&amp;ROUNDUP((ROW()-6)/8,0)*8-1)=""),"",IF($P$3="否",工时测量记录表!Z192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93" s="214"/>
      <c r="P193" s="213"/>
    </row>
    <row r="194" spans="1:17" ht="15.6">
      <c r="A194" s="232"/>
      <c r="B194" s="229"/>
      <c r="C194" s="148" t="str">
        <f>IF(工时测量记录表!D193="","",工时测量记录表!D193)</f>
        <v/>
      </c>
      <c r="D194" s="227"/>
      <c r="E194" s="227"/>
      <c r="F194" s="227"/>
      <c r="G194" s="227"/>
      <c r="H194" s="225"/>
      <c r="I194" s="225"/>
      <c r="J194" s="225"/>
      <c r="K194" s="225"/>
      <c r="L194" s="222"/>
      <c r="M194" s="217"/>
      <c r="N194" s="149" t="str">
        <f ca="1">IF(OR(C194="",INDIRECT("L"&amp;ROUNDUP((ROW()-6)/8,0)*8-1)=""),"",IF($P$3="否",工时测量记录表!Z193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94" s="214"/>
      <c r="P194" s="213"/>
    </row>
    <row r="195" spans="1:17" ht="15.6">
      <c r="A195" s="232"/>
      <c r="B195" s="229"/>
      <c r="C195" s="148" t="str">
        <f>IF(工时测量记录表!D194="","",工时测量记录表!D194)</f>
        <v/>
      </c>
      <c r="D195" s="227"/>
      <c r="E195" s="227"/>
      <c r="F195" s="227"/>
      <c r="G195" s="227"/>
      <c r="H195" s="225"/>
      <c r="I195" s="225"/>
      <c r="J195" s="225"/>
      <c r="K195" s="225"/>
      <c r="L195" s="222"/>
      <c r="M195" s="217"/>
      <c r="N195" s="149" t="str">
        <f ca="1">IF(OR(C195="",INDIRECT("L"&amp;ROUNDUP((ROW()-6)/8,0)*8-1)=""),"",IF($P$3="否",工时测量记录表!Z194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95" s="214"/>
      <c r="P195" s="213"/>
      <c r="Q195" s="125"/>
    </row>
    <row r="196" spans="1:17" ht="15.6">
      <c r="A196" s="232"/>
      <c r="B196" s="229"/>
      <c r="C196" s="148" t="str">
        <f>IF(工时测量记录表!D195="","",工时测量记录表!D195)</f>
        <v/>
      </c>
      <c r="D196" s="227"/>
      <c r="E196" s="227"/>
      <c r="F196" s="227"/>
      <c r="G196" s="227"/>
      <c r="H196" s="225"/>
      <c r="I196" s="225"/>
      <c r="J196" s="225"/>
      <c r="K196" s="225"/>
      <c r="L196" s="222"/>
      <c r="M196" s="217"/>
      <c r="N196" s="149" t="str">
        <f ca="1">IF(OR(C196="",INDIRECT("L"&amp;ROUNDUP((ROW()-6)/8,0)*8-1)=""),"",IF($P$3="否",工时测量记录表!Z195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96" s="214"/>
      <c r="P196" s="213"/>
    </row>
    <row r="197" spans="1:17" ht="15.6">
      <c r="A197" s="232"/>
      <c r="B197" s="229"/>
      <c r="C197" s="148" t="str">
        <f>IF(工时测量记录表!D196="","",工时测量记录表!D196)</f>
        <v/>
      </c>
      <c r="D197" s="227"/>
      <c r="E197" s="227"/>
      <c r="F197" s="227"/>
      <c r="G197" s="227"/>
      <c r="H197" s="225"/>
      <c r="I197" s="225"/>
      <c r="J197" s="225"/>
      <c r="K197" s="225"/>
      <c r="L197" s="222"/>
      <c r="M197" s="217"/>
      <c r="N197" s="149" t="str">
        <f ca="1">IF(OR(C197="",INDIRECT("L"&amp;ROUNDUP((ROW()-6)/8,0)*8-1)=""),"",IF($P$3="否",工时测量记录表!Z196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97" s="214"/>
      <c r="P197" s="213"/>
    </row>
    <row r="198" spans="1:17" ht="15.6">
      <c r="A198" s="232"/>
      <c r="B198" s="229"/>
      <c r="C198" s="148" t="str">
        <f>IF(工时测量记录表!D197="","",工时测量记录表!D197)</f>
        <v/>
      </c>
      <c r="D198" s="227"/>
      <c r="E198" s="227"/>
      <c r="F198" s="227"/>
      <c r="G198" s="227"/>
      <c r="H198" s="225"/>
      <c r="I198" s="225"/>
      <c r="J198" s="225"/>
      <c r="K198" s="225"/>
      <c r="L198" s="222"/>
      <c r="M198" s="217"/>
      <c r="N198" s="149" t="str">
        <f ca="1">IF(OR(C198="",INDIRECT("L"&amp;ROUNDUP((ROW()-6)/8,0)*8-1)=""),"",IF($P$3="否",工时测量记录表!Z197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98" s="214"/>
      <c r="P198" s="213"/>
    </row>
    <row r="199" spans="1:17" ht="15.6">
      <c r="A199" s="232">
        <f>IF(工时测量记录表!A198="","",工时测量记录表!A198)</f>
        <v>25</v>
      </c>
      <c r="B199" s="229" t="str">
        <f>IF(工时测量记录表!B198="","",工时测量记录表!B198)</f>
        <v/>
      </c>
      <c r="C199" s="148" t="str">
        <f>IF(工时测量记录表!D198="","",工时测量记录表!D198)</f>
        <v/>
      </c>
      <c r="D199" s="227">
        <f t="shared" ref="D199:K199" si="23">IF($A199="","",D$7)</f>
        <v>0</v>
      </c>
      <c r="E199" s="227">
        <f t="shared" si="23"/>
        <v>0</v>
      </c>
      <c r="F199" s="227">
        <f t="shared" si="23"/>
        <v>0</v>
      </c>
      <c r="G199" s="227">
        <f t="shared" si="23"/>
        <v>0</v>
      </c>
      <c r="H199" s="225">
        <f t="shared" si="23"/>
        <v>0</v>
      </c>
      <c r="I199" s="225">
        <f t="shared" si="23"/>
        <v>0</v>
      </c>
      <c r="J199" s="225">
        <f t="shared" si="23"/>
        <v>0</v>
      </c>
      <c r="K199" s="225">
        <f t="shared" si="23"/>
        <v>0</v>
      </c>
      <c r="L199" s="222" t="str">
        <f>IF(工时测量记录表!C198="","",工时测量记录表!C198)</f>
        <v/>
      </c>
      <c r="M199" s="217">
        <v>1</v>
      </c>
      <c r="N199" s="149" t="str">
        <f ca="1">IF(OR(C199="",INDIRECT("L"&amp;ROUNDUP((ROW()-6)/8,0)*8-1)=""),"",IF($P$3="否",工时测量记录表!Z198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199" s="214" t="str">
        <f ca="1">IF(COUNT(N199:N206)=0,"",SUM(N199:N206))</f>
        <v/>
      </c>
      <c r="P199" s="213"/>
    </row>
    <row r="200" spans="1:17" ht="15.6">
      <c r="A200" s="232"/>
      <c r="B200" s="229"/>
      <c r="C200" s="148" t="str">
        <f>IF(工时测量记录表!D199="","",工时测量记录表!D199)</f>
        <v/>
      </c>
      <c r="D200" s="227"/>
      <c r="E200" s="227"/>
      <c r="F200" s="227"/>
      <c r="G200" s="227"/>
      <c r="H200" s="225"/>
      <c r="I200" s="225"/>
      <c r="J200" s="225"/>
      <c r="K200" s="225"/>
      <c r="L200" s="222"/>
      <c r="M200" s="217"/>
      <c r="N200" s="149" t="str">
        <f ca="1">IF(OR(C200="",INDIRECT("L"&amp;ROUNDUP((ROW()-6)/8,0)*8-1)=""),"",IF($P$3="否",工时测量记录表!Z199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199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00" s="214"/>
      <c r="P200" s="213"/>
    </row>
    <row r="201" spans="1:17" ht="15.6">
      <c r="A201" s="232"/>
      <c r="B201" s="229"/>
      <c r="C201" s="148" t="str">
        <f>IF(工时测量记录表!D200="","",工时测量记录表!D200)</f>
        <v/>
      </c>
      <c r="D201" s="227"/>
      <c r="E201" s="227"/>
      <c r="F201" s="227"/>
      <c r="G201" s="227"/>
      <c r="H201" s="225"/>
      <c r="I201" s="225"/>
      <c r="J201" s="225"/>
      <c r="K201" s="225"/>
      <c r="L201" s="222"/>
      <c r="M201" s="217"/>
      <c r="N201" s="149" t="str">
        <f ca="1">IF(OR(C201="",INDIRECT("L"&amp;ROUNDUP((ROW()-6)/8,0)*8-1)=""),"",IF($P$3="否",工时测量记录表!Z200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01" s="214"/>
      <c r="P201" s="213"/>
    </row>
    <row r="202" spans="1:17" ht="15.6">
      <c r="A202" s="232"/>
      <c r="B202" s="229"/>
      <c r="C202" s="148" t="str">
        <f>IF(工时测量记录表!D201="","",工时测量记录表!D201)</f>
        <v/>
      </c>
      <c r="D202" s="227"/>
      <c r="E202" s="227"/>
      <c r="F202" s="227"/>
      <c r="G202" s="227"/>
      <c r="H202" s="225"/>
      <c r="I202" s="225"/>
      <c r="J202" s="225"/>
      <c r="K202" s="225"/>
      <c r="L202" s="222"/>
      <c r="M202" s="217"/>
      <c r="N202" s="149" t="str">
        <f ca="1">IF(OR(C202="",INDIRECT("L"&amp;ROUNDUP((ROW()-6)/8,0)*8-1)=""),"",IF($P$3="否",工时测量记录表!Z201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02" s="214"/>
      <c r="P202" s="213"/>
    </row>
    <row r="203" spans="1:17" ht="15.6">
      <c r="A203" s="232"/>
      <c r="B203" s="229"/>
      <c r="C203" s="148" t="str">
        <f>IF(工时测量记录表!D202="","",工时测量记录表!D202)</f>
        <v/>
      </c>
      <c r="D203" s="227"/>
      <c r="E203" s="227"/>
      <c r="F203" s="227"/>
      <c r="G203" s="227"/>
      <c r="H203" s="225"/>
      <c r="I203" s="225"/>
      <c r="J203" s="225"/>
      <c r="K203" s="225"/>
      <c r="L203" s="222"/>
      <c r="M203" s="217"/>
      <c r="N203" s="149" t="str">
        <f ca="1">IF(OR(C203="",INDIRECT("L"&amp;ROUNDUP((ROW()-6)/8,0)*8-1)=""),"",IF($P$3="否",工时测量记录表!Z202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03" s="214"/>
      <c r="P203" s="213"/>
      <c r="Q203" s="125"/>
    </row>
    <row r="204" spans="1:17" ht="15.6">
      <c r="A204" s="232"/>
      <c r="B204" s="229"/>
      <c r="C204" s="148" t="str">
        <f>IF(工时测量记录表!D203="","",工时测量记录表!D203)</f>
        <v/>
      </c>
      <c r="D204" s="227"/>
      <c r="E204" s="227"/>
      <c r="F204" s="227"/>
      <c r="G204" s="227"/>
      <c r="H204" s="225"/>
      <c r="I204" s="225"/>
      <c r="J204" s="225"/>
      <c r="K204" s="225"/>
      <c r="L204" s="222"/>
      <c r="M204" s="217"/>
      <c r="N204" s="149" t="str">
        <f ca="1">IF(OR(C204="",INDIRECT("L"&amp;ROUNDUP((ROW()-6)/8,0)*8-1)=""),"",IF($P$3="否",工时测量记录表!Z203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04" s="214"/>
      <c r="P204" s="213"/>
    </row>
    <row r="205" spans="1:17" ht="15.6">
      <c r="A205" s="232"/>
      <c r="B205" s="229"/>
      <c r="C205" s="148" t="str">
        <f>IF(工时测量记录表!D204="","",工时测量记录表!D204)</f>
        <v/>
      </c>
      <c r="D205" s="227"/>
      <c r="E205" s="227"/>
      <c r="F205" s="227"/>
      <c r="G205" s="227"/>
      <c r="H205" s="225"/>
      <c r="I205" s="225"/>
      <c r="J205" s="225"/>
      <c r="K205" s="225"/>
      <c r="L205" s="222"/>
      <c r="M205" s="217"/>
      <c r="N205" s="149" t="str">
        <f ca="1">IF(OR(C205="",INDIRECT("L"&amp;ROUNDUP((ROW()-6)/8,0)*8-1)=""),"",IF($P$3="否",工时测量记录表!Z204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05" s="214"/>
      <c r="P205" s="213"/>
    </row>
    <row r="206" spans="1:17" ht="15.6">
      <c r="A206" s="232"/>
      <c r="B206" s="229"/>
      <c r="C206" s="148" t="str">
        <f>IF(工时测量记录表!D205="","",工时测量记录表!D205)</f>
        <v/>
      </c>
      <c r="D206" s="227"/>
      <c r="E206" s="227"/>
      <c r="F206" s="227"/>
      <c r="G206" s="227"/>
      <c r="H206" s="225"/>
      <c r="I206" s="225"/>
      <c r="J206" s="225"/>
      <c r="K206" s="225"/>
      <c r="L206" s="222"/>
      <c r="M206" s="217"/>
      <c r="N206" s="149" t="str">
        <f ca="1">IF(OR(C206="",INDIRECT("L"&amp;ROUNDUP((ROW()-6)/8,0)*8-1)=""),"",IF($P$3="否",工时测量记录表!Z205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06" s="214"/>
      <c r="P206" s="213"/>
    </row>
    <row r="207" spans="1:17" ht="15.6">
      <c r="A207" s="232">
        <f>IF(工时测量记录表!A206="","",工时测量记录表!A206)</f>
        <v>26</v>
      </c>
      <c r="B207" s="229" t="str">
        <f>IF(工时测量记录表!B206="","",工时测量记录表!B206)</f>
        <v/>
      </c>
      <c r="C207" s="148" t="str">
        <f>IF(工时测量记录表!D206="","",工时测量记录表!D206)</f>
        <v/>
      </c>
      <c r="D207" s="227">
        <f t="shared" ref="D207:K207" si="24">IF($A207="","",D$7)</f>
        <v>0</v>
      </c>
      <c r="E207" s="227">
        <f t="shared" si="24"/>
        <v>0</v>
      </c>
      <c r="F207" s="227">
        <f t="shared" si="24"/>
        <v>0</v>
      </c>
      <c r="G207" s="227">
        <f t="shared" si="24"/>
        <v>0</v>
      </c>
      <c r="H207" s="225">
        <f t="shared" si="24"/>
        <v>0</v>
      </c>
      <c r="I207" s="225">
        <f t="shared" si="24"/>
        <v>0</v>
      </c>
      <c r="J207" s="225">
        <f t="shared" si="24"/>
        <v>0</v>
      </c>
      <c r="K207" s="225">
        <f t="shared" si="24"/>
        <v>0</v>
      </c>
      <c r="L207" s="222" t="str">
        <f>IF(工时测量记录表!C206="","",工时测量记录表!C206)</f>
        <v/>
      </c>
      <c r="M207" s="217">
        <v>1</v>
      </c>
      <c r="N207" s="149" t="str">
        <f ca="1">IF(OR(C207="",INDIRECT("L"&amp;ROUNDUP((ROW()-6)/8,0)*8-1)=""),"",IF($P$3="否",工时测量记录表!Z206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07" s="214" t="str">
        <f ca="1">IF(COUNT(N207:N214)=0,"",SUM(N207:N214))</f>
        <v/>
      </c>
      <c r="P207" s="213"/>
    </row>
    <row r="208" spans="1:17" ht="15.6">
      <c r="A208" s="232"/>
      <c r="B208" s="229"/>
      <c r="C208" s="148" t="str">
        <f>IF(工时测量记录表!D207="","",工时测量记录表!D207)</f>
        <v/>
      </c>
      <c r="D208" s="227"/>
      <c r="E208" s="227"/>
      <c r="F208" s="227"/>
      <c r="G208" s="227"/>
      <c r="H208" s="225"/>
      <c r="I208" s="225"/>
      <c r="J208" s="225"/>
      <c r="K208" s="225"/>
      <c r="L208" s="222"/>
      <c r="M208" s="217"/>
      <c r="N208" s="149" t="str">
        <f ca="1">IF(OR(C208="",INDIRECT("L"&amp;ROUNDUP((ROW()-6)/8,0)*8-1)=""),"",IF($P$3="否",工时测量记录表!Z207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08" s="214"/>
      <c r="P208" s="213"/>
    </row>
    <row r="209" spans="1:17" ht="15.6">
      <c r="A209" s="232"/>
      <c r="B209" s="229"/>
      <c r="C209" s="148" t="str">
        <f>IF(工时测量记录表!D208="","",工时测量记录表!D208)</f>
        <v/>
      </c>
      <c r="D209" s="227"/>
      <c r="E209" s="227"/>
      <c r="F209" s="227"/>
      <c r="G209" s="227"/>
      <c r="H209" s="225"/>
      <c r="I209" s="225"/>
      <c r="J209" s="225"/>
      <c r="K209" s="225"/>
      <c r="L209" s="222"/>
      <c r="M209" s="217"/>
      <c r="N209" s="149" t="str">
        <f ca="1">IF(OR(C209="",INDIRECT("L"&amp;ROUNDUP((ROW()-6)/8,0)*8-1)=""),"",IF($P$3="否",工时测量记录表!Z208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09" s="214"/>
      <c r="P209" s="213"/>
    </row>
    <row r="210" spans="1:17" ht="15.6">
      <c r="A210" s="232"/>
      <c r="B210" s="229"/>
      <c r="C210" s="148" t="str">
        <f>IF(工时测量记录表!D209="","",工时测量记录表!D209)</f>
        <v/>
      </c>
      <c r="D210" s="227"/>
      <c r="E210" s="227"/>
      <c r="F210" s="227"/>
      <c r="G210" s="227"/>
      <c r="H210" s="225"/>
      <c r="I210" s="225"/>
      <c r="J210" s="225"/>
      <c r="K210" s="225"/>
      <c r="L210" s="222"/>
      <c r="M210" s="217"/>
      <c r="N210" s="149" t="str">
        <f ca="1">IF(OR(C210="",INDIRECT("L"&amp;ROUNDUP((ROW()-6)/8,0)*8-1)=""),"",IF($P$3="否",工时测量记录表!Z209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209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10" s="214"/>
      <c r="P210" s="213"/>
    </row>
    <row r="211" spans="1:17" ht="15.6">
      <c r="A211" s="232"/>
      <c r="B211" s="229"/>
      <c r="C211" s="148" t="str">
        <f>IF(工时测量记录表!D210="","",工时测量记录表!D210)</f>
        <v/>
      </c>
      <c r="D211" s="227"/>
      <c r="E211" s="227"/>
      <c r="F211" s="227"/>
      <c r="G211" s="227"/>
      <c r="H211" s="225"/>
      <c r="I211" s="225"/>
      <c r="J211" s="225"/>
      <c r="K211" s="225"/>
      <c r="L211" s="222"/>
      <c r="M211" s="217"/>
      <c r="N211" s="149" t="str">
        <f ca="1">IF(OR(C211="",INDIRECT("L"&amp;ROUNDUP((ROW()-6)/8,0)*8-1)=""),"",IF($P$3="否",工时测量记录表!Z210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11" s="214"/>
      <c r="P211" s="213"/>
      <c r="Q211" s="125"/>
    </row>
    <row r="212" spans="1:17" ht="15.6">
      <c r="A212" s="232"/>
      <c r="B212" s="229"/>
      <c r="C212" s="148" t="str">
        <f>IF(工时测量记录表!D211="","",工时测量记录表!D211)</f>
        <v/>
      </c>
      <c r="D212" s="227"/>
      <c r="E212" s="227"/>
      <c r="F212" s="227"/>
      <c r="G212" s="227"/>
      <c r="H212" s="225"/>
      <c r="I212" s="225"/>
      <c r="J212" s="225"/>
      <c r="K212" s="225"/>
      <c r="L212" s="222"/>
      <c r="M212" s="217"/>
      <c r="N212" s="149" t="str">
        <f ca="1">IF(OR(C212="",INDIRECT("L"&amp;ROUNDUP((ROW()-6)/8,0)*8-1)=""),"",IF($P$3="否",工时测量记录表!Z211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12" s="214"/>
      <c r="P212" s="213"/>
    </row>
    <row r="213" spans="1:17" ht="15.6">
      <c r="A213" s="232"/>
      <c r="B213" s="229"/>
      <c r="C213" s="148" t="str">
        <f>IF(工时测量记录表!D212="","",工时测量记录表!D212)</f>
        <v/>
      </c>
      <c r="D213" s="227"/>
      <c r="E213" s="227"/>
      <c r="F213" s="227"/>
      <c r="G213" s="227"/>
      <c r="H213" s="225"/>
      <c r="I213" s="225"/>
      <c r="J213" s="225"/>
      <c r="K213" s="225"/>
      <c r="L213" s="222"/>
      <c r="M213" s="217"/>
      <c r="N213" s="149" t="str">
        <f ca="1">IF(OR(C213="",INDIRECT("L"&amp;ROUNDUP((ROW()-6)/8,0)*8-1)=""),"",IF($P$3="否",工时测量记录表!Z212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13" s="214"/>
      <c r="P213" s="213"/>
    </row>
    <row r="214" spans="1:17" ht="15.6">
      <c r="A214" s="232"/>
      <c r="B214" s="229"/>
      <c r="C214" s="148" t="str">
        <f>IF(工时测量记录表!D213="","",工时测量记录表!D213)</f>
        <v/>
      </c>
      <c r="D214" s="227"/>
      <c r="E214" s="227"/>
      <c r="F214" s="227"/>
      <c r="G214" s="227"/>
      <c r="H214" s="225"/>
      <c r="I214" s="225"/>
      <c r="J214" s="225"/>
      <c r="K214" s="225"/>
      <c r="L214" s="222"/>
      <c r="M214" s="217"/>
      <c r="N214" s="149" t="str">
        <f ca="1">IF(OR(C214="",INDIRECT("L"&amp;ROUNDUP((ROW()-6)/8,0)*8-1)=""),"",IF($P$3="否",工时测量记录表!Z213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14" s="214"/>
      <c r="P214" s="213"/>
    </row>
    <row r="215" spans="1:17" ht="15.6">
      <c r="A215" s="232">
        <f>IF(工时测量记录表!A214="","",工时测量记录表!A214)</f>
        <v>27</v>
      </c>
      <c r="B215" s="229" t="str">
        <f>IF(工时测量记录表!B214="","",工时测量记录表!B214)</f>
        <v/>
      </c>
      <c r="C215" s="148" t="str">
        <f>IF(工时测量记录表!D214="","",工时测量记录表!D214)</f>
        <v/>
      </c>
      <c r="D215" s="227">
        <f t="shared" ref="D215:K215" si="25">IF($A215="","",D$7)</f>
        <v>0</v>
      </c>
      <c r="E215" s="227">
        <f t="shared" si="25"/>
        <v>0</v>
      </c>
      <c r="F215" s="227">
        <f t="shared" si="25"/>
        <v>0</v>
      </c>
      <c r="G215" s="227">
        <f t="shared" si="25"/>
        <v>0</v>
      </c>
      <c r="H215" s="225">
        <f t="shared" si="25"/>
        <v>0</v>
      </c>
      <c r="I215" s="225">
        <f t="shared" si="25"/>
        <v>0</v>
      </c>
      <c r="J215" s="225">
        <f t="shared" si="25"/>
        <v>0</v>
      </c>
      <c r="K215" s="225">
        <f t="shared" si="25"/>
        <v>0</v>
      </c>
      <c r="L215" s="222" t="str">
        <f>IF(工时测量记录表!C214="","",工时测量记录表!C214)</f>
        <v/>
      </c>
      <c r="M215" s="217">
        <v>1</v>
      </c>
      <c r="N215" s="149" t="str">
        <f ca="1">IF(OR(C215="",INDIRECT("L"&amp;ROUNDUP((ROW()-6)/8,0)*8-1)=""),"",IF($P$3="否",工时测量记录表!Z214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15" s="214" t="str">
        <f ca="1">IF(COUNT(N215:N222)=0,"",SUM(N215:N222))</f>
        <v/>
      </c>
      <c r="P215" s="213"/>
    </row>
    <row r="216" spans="1:17" ht="15.6">
      <c r="A216" s="232"/>
      <c r="B216" s="229"/>
      <c r="C216" s="148" t="str">
        <f>IF(工时测量记录表!D215="","",工时测量记录表!D215)</f>
        <v/>
      </c>
      <c r="D216" s="227"/>
      <c r="E216" s="227"/>
      <c r="F216" s="227"/>
      <c r="G216" s="227"/>
      <c r="H216" s="225"/>
      <c r="I216" s="225"/>
      <c r="J216" s="225"/>
      <c r="K216" s="225"/>
      <c r="L216" s="222"/>
      <c r="M216" s="217"/>
      <c r="N216" s="149" t="str">
        <f ca="1">IF(OR(C216="",INDIRECT("L"&amp;ROUNDUP((ROW()-6)/8,0)*8-1)=""),"",IF($P$3="否",工时测量记录表!Z215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16" s="214"/>
      <c r="P216" s="213"/>
    </row>
    <row r="217" spans="1:17" ht="15.6">
      <c r="A217" s="232"/>
      <c r="B217" s="229"/>
      <c r="C217" s="148" t="str">
        <f>IF(工时测量记录表!D216="","",工时测量记录表!D216)</f>
        <v/>
      </c>
      <c r="D217" s="227"/>
      <c r="E217" s="227"/>
      <c r="F217" s="227"/>
      <c r="G217" s="227"/>
      <c r="H217" s="225"/>
      <c r="I217" s="225"/>
      <c r="J217" s="225"/>
      <c r="K217" s="225"/>
      <c r="L217" s="222"/>
      <c r="M217" s="217"/>
      <c r="N217" s="149" t="str">
        <f ca="1">IF(OR(C217="",INDIRECT("L"&amp;ROUNDUP((ROW()-6)/8,0)*8-1)=""),"",IF($P$3="否",工时测量记录表!Z216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17" s="214"/>
      <c r="P217" s="213"/>
    </row>
    <row r="218" spans="1:17" ht="15.6">
      <c r="A218" s="232"/>
      <c r="B218" s="229"/>
      <c r="C218" s="148" t="str">
        <f>IF(工时测量记录表!D217="","",工时测量记录表!D217)</f>
        <v/>
      </c>
      <c r="D218" s="227"/>
      <c r="E218" s="227"/>
      <c r="F218" s="227"/>
      <c r="G218" s="227"/>
      <c r="H218" s="225"/>
      <c r="I218" s="225"/>
      <c r="J218" s="225"/>
      <c r="K218" s="225"/>
      <c r="L218" s="222"/>
      <c r="M218" s="217"/>
      <c r="N218" s="149" t="str">
        <f ca="1">IF(OR(C218="",INDIRECT("L"&amp;ROUNDUP((ROW()-6)/8,0)*8-1)=""),"",IF($P$3="否",工时测量记录表!Z217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18" s="214"/>
      <c r="P218" s="213"/>
    </row>
    <row r="219" spans="1:17" ht="15.6">
      <c r="A219" s="232"/>
      <c r="B219" s="229"/>
      <c r="C219" s="148" t="str">
        <f>IF(工时测量记录表!D218="","",工时测量记录表!D218)</f>
        <v/>
      </c>
      <c r="D219" s="227"/>
      <c r="E219" s="227"/>
      <c r="F219" s="227"/>
      <c r="G219" s="227"/>
      <c r="H219" s="225"/>
      <c r="I219" s="225"/>
      <c r="J219" s="225"/>
      <c r="K219" s="225"/>
      <c r="L219" s="222"/>
      <c r="M219" s="217"/>
      <c r="N219" s="149" t="str">
        <f ca="1">IF(OR(C219="",INDIRECT("L"&amp;ROUNDUP((ROW()-6)/8,0)*8-1)=""),"",IF($P$3="否",工时测量记录表!Z218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19" s="214"/>
      <c r="P219" s="213"/>
      <c r="Q219" s="125"/>
    </row>
    <row r="220" spans="1:17" ht="15.6">
      <c r="A220" s="232"/>
      <c r="B220" s="229"/>
      <c r="C220" s="148" t="str">
        <f>IF(工时测量记录表!D219="","",工时测量记录表!D219)</f>
        <v/>
      </c>
      <c r="D220" s="227"/>
      <c r="E220" s="227"/>
      <c r="F220" s="227"/>
      <c r="G220" s="227"/>
      <c r="H220" s="225"/>
      <c r="I220" s="225"/>
      <c r="J220" s="225"/>
      <c r="K220" s="225"/>
      <c r="L220" s="222"/>
      <c r="M220" s="217"/>
      <c r="N220" s="149" t="str">
        <f ca="1">IF(OR(C220="",INDIRECT("L"&amp;ROUNDUP((ROW()-6)/8,0)*8-1)=""),"",IF($P$3="否",工时测量记录表!Z219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219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20" s="214"/>
      <c r="P220" s="213"/>
    </row>
    <row r="221" spans="1:17" ht="15.6">
      <c r="A221" s="232"/>
      <c r="B221" s="229"/>
      <c r="C221" s="148" t="str">
        <f>IF(工时测量记录表!D220="","",工时测量记录表!D220)</f>
        <v/>
      </c>
      <c r="D221" s="227"/>
      <c r="E221" s="227"/>
      <c r="F221" s="227"/>
      <c r="G221" s="227"/>
      <c r="H221" s="225"/>
      <c r="I221" s="225"/>
      <c r="J221" s="225"/>
      <c r="K221" s="225"/>
      <c r="L221" s="222"/>
      <c r="M221" s="217"/>
      <c r="N221" s="149" t="str">
        <f ca="1">IF(OR(C221="",INDIRECT("L"&amp;ROUNDUP((ROW()-6)/8,0)*8-1)=""),"",IF($P$3="否",工时测量记录表!Z220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21" s="214"/>
      <c r="P221" s="213"/>
    </row>
    <row r="222" spans="1:17" ht="15.6">
      <c r="A222" s="232"/>
      <c r="B222" s="229"/>
      <c r="C222" s="148" t="str">
        <f>IF(工时测量记录表!D221="","",工时测量记录表!D221)</f>
        <v/>
      </c>
      <c r="D222" s="227"/>
      <c r="E222" s="227"/>
      <c r="F222" s="227"/>
      <c r="G222" s="227"/>
      <c r="H222" s="225"/>
      <c r="I222" s="225"/>
      <c r="J222" s="225"/>
      <c r="K222" s="225"/>
      <c r="L222" s="222"/>
      <c r="M222" s="217"/>
      <c r="N222" s="149" t="str">
        <f ca="1">IF(OR(C222="",INDIRECT("L"&amp;ROUNDUP((ROW()-6)/8,0)*8-1)=""),"",IF($P$3="否",工时测量记录表!Z221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22" s="214"/>
      <c r="P222" s="213"/>
    </row>
    <row r="223" spans="1:17" ht="15.6">
      <c r="A223" s="232">
        <f>IF(工时测量记录表!A222="","",工时测量记录表!A222)</f>
        <v>28</v>
      </c>
      <c r="B223" s="229" t="str">
        <f>IF(工时测量记录表!B222="","",工时测量记录表!B222)</f>
        <v/>
      </c>
      <c r="C223" s="148" t="str">
        <f>IF(工时测量记录表!D222="","",工时测量记录表!D222)</f>
        <v/>
      </c>
      <c r="D223" s="227">
        <f t="shared" ref="D223:K223" si="26">IF($A223="","",D$7)</f>
        <v>0</v>
      </c>
      <c r="E223" s="227">
        <f t="shared" si="26"/>
        <v>0</v>
      </c>
      <c r="F223" s="227">
        <f t="shared" si="26"/>
        <v>0</v>
      </c>
      <c r="G223" s="227">
        <f t="shared" si="26"/>
        <v>0</v>
      </c>
      <c r="H223" s="225">
        <f t="shared" si="26"/>
        <v>0</v>
      </c>
      <c r="I223" s="225">
        <f t="shared" si="26"/>
        <v>0</v>
      </c>
      <c r="J223" s="225">
        <f t="shared" si="26"/>
        <v>0</v>
      </c>
      <c r="K223" s="225">
        <f t="shared" si="26"/>
        <v>0</v>
      </c>
      <c r="L223" s="222" t="str">
        <f>IF(工时测量记录表!C222="","",工时测量记录表!C222)</f>
        <v/>
      </c>
      <c r="M223" s="217">
        <v>1</v>
      </c>
      <c r="N223" s="149" t="str">
        <f ca="1">IF(OR(C223="",INDIRECT("L"&amp;ROUNDUP((ROW()-6)/8,0)*8-1)=""),"",IF($P$3="否",工时测量记录表!Z222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23" s="214" t="str">
        <f ca="1">IF(COUNT(N223:N230)=0,"",SUM(N223:N230))</f>
        <v/>
      </c>
      <c r="P223" s="213"/>
    </row>
    <row r="224" spans="1:17" ht="15.6">
      <c r="A224" s="232"/>
      <c r="B224" s="229"/>
      <c r="C224" s="148" t="str">
        <f>IF(工时测量记录表!D223="","",工时测量记录表!D223)</f>
        <v/>
      </c>
      <c r="D224" s="227"/>
      <c r="E224" s="227"/>
      <c r="F224" s="227"/>
      <c r="G224" s="227"/>
      <c r="H224" s="225"/>
      <c r="I224" s="225"/>
      <c r="J224" s="225"/>
      <c r="K224" s="225"/>
      <c r="L224" s="222"/>
      <c r="M224" s="217"/>
      <c r="N224" s="149" t="str">
        <f ca="1">IF(OR(C224="",INDIRECT("L"&amp;ROUNDUP((ROW()-6)/8,0)*8-1)=""),"",IF($P$3="否",工时测量记录表!Z223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24" s="214"/>
      <c r="P224" s="213"/>
    </row>
    <row r="225" spans="1:17" ht="15.6">
      <c r="A225" s="232"/>
      <c r="B225" s="229"/>
      <c r="C225" s="148" t="str">
        <f>IF(工时测量记录表!D224="","",工时测量记录表!D224)</f>
        <v/>
      </c>
      <c r="D225" s="227"/>
      <c r="E225" s="227"/>
      <c r="F225" s="227"/>
      <c r="G225" s="227"/>
      <c r="H225" s="225"/>
      <c r="I225" s="225"/>
      <c r="J225" s="225"/>
      <c r="K225" s="225"/>
      <c r="L225" s="222"/>
      <c r="M225" s="217"/>
      <c r="N225" s="149" t="str">
        <f ca="1">IF(OR(C225="",INDIRECT("L"&amp;ROUNDUP((ROW()-6)/8,0)*8-1)=""),"",IF($P$3="否",工时测量记录表!Z224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25" s="214"/>
      <c r="P225" s="213"/>
    </row>
    <row r="226" spans="1:17" ht="15.6">
      <c r="A226" s="232"/>
      <c r="B226" s="229"/>
      <c r="C226" s="148" t="str">
        <f>IF(工时测量记录表!D225="","",工时测量记录表!D225)</f>
        <v/>
      </c>
      <c r="D226" s="227"/>
      <c r="E226" s="227"/>
      <c r="F226" s="227"/>
      <c r="G226" s="227"/>
      <c r="H226" s="225"/>
      <c r="I226" s="225"/>
      <c r="J226" s="225"/>
      <c r="K226" s="225"/>
      <c r="L226" s="222"/>
      <c r="M226" s="217"/>
      <c r="N226" s="149" t="str">
        <f ca="1">IF(OR(C226="",INDIRECT("L"&amp;ROUNDUP((ROW()-6)/8,0)*8-1)=""),"",IF($P$3="否",工时测量记录表!Z225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26" s="214"/>
      <c r="P226" s="213"/>
    </row>
    <row r="227" spans="1:17" ht="15.6">
      <c r="A227" s="232"/>
      <c r="B227" s="229"/>
      <c r="C227" s="148" t="str">
        <f>IF(工时测量记录表!D226="","",工时测量记录表!D226)</f>
        <v/>
      </c>
      <c r="D227" s="227"/>
      <c r="E227" s="227"/>
      <c r="F227" s="227"/>
      <c r="G227" s="227"/>
      <c r="H227" s="225"/>
      <c r="I227" s="225"/>
      <c r="J227" s="225"/>
      <c r="K227" s="225"/>
      <c r="L227" s="222"/>
      <c r="M227" s="217"/>
      <c r="N227" s="149" t="str">
        <f ca="1">IF(OR(C227="",INDIRECT("L"&amp;ROUNDUP((ROW()-6)/8,0)*8-1)=""),"",IF($P$3="否",工时测量记录表!Z226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27" s="214"/>
      <c r="P227" s="213"/>
      <c r="Q227" s="125"/>
    </row>
    <row r="228" spans="1:17" ht="15.6">
      <c r="A228" s="232"/>
      <c r="B228" s="229"/>
      <c r="C228" s="148" t="str">
        <f>IF(工时测量记录表!D227="","",工时测量记录表!D227)</f>
        <v/>
      </c>
      <c r="D228" s="227"/>
      <c r="E228" s="227"/>
      <c r="F228" s="227"/>
      <c r="G228" s="227"/>
      <c r="H228" s="225"/>
      <c r="I228" s="225"/>
      <c r="J228" s="225"/>
      <c r="K228" s="225"/>
      <c r="L228" s="222"/>
      <c r="M228" s="217"/>
      <c r="N228" s="149" t="str">
        <f ca="1">IF(OR(C228="",INDIRECT("L"&amp;ROUNDUP((ROW()-6)/8,0)*8-1)=""),"",IF($P$3="否",工时测量记录表!Z227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28" s="214"/>
      <c r="P228" s="213"/>
    </row>
    <row r="229" spans="1:17" ht="15.6">
      <c r="A229" s="232"/>
      <c r="B229" s="229"/>
      <c r="C229" s="148" t="str">
        <f>IF(工时测量记录表!D228="","",工时测量记录表!D228)</f>
        <v/>
      </c>
      <c r="D229" s="227"/>
      <c r="E229" s="227"/>
      <c r="F229" s="227"/>
      <c r="G229" s="227"/>
      <c r="H229" s="225"/>
      <c r="I229" s="225"/>
      <c r="J229" s="225"/>
      <c r="K229" s="225"/>
      <c r="L229" s="222"/>
      <c r="M229" s="217"/>
      <c r="N229" s="149" t="str">
        <f ca="1">IF(OR(C229="",INDIRECT("L"&amp;ROUNDUP((ROW()-6)/8,0)*8-1)=""),"",IF($P$3="否",工时测量记录表!Z228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29" s="214"/>
      <c r="P229" s="213"/>
    </row>
    <row r="230" spans="1:17" ht="15.6">
      <c r="A230" s="232"/>
      <c r="B230" s="229"/>
      <c r="C230" s="148" t="str">
        <f>IF(工时测量记录表!D229="","",工时测量记录表!D229)</f>
        <v/>
      </c>
      <c r="D230" s="227"/>
      <c r="E230" s="227"/>
      <c r="F230" s="227"/>
      <c r="G230" s="227"/>
      <c r="H230" s="225"/>
      <c r="I230" s="225"/>
      <c r="J230" s="225"/>
      <c r="K230" s="225"/>
      <c r="L230" s="222"/>
      <c r="M230" s="217"/>
      <c r="N230" s="149" t="str">
        <f ca="1">IF(OR(C230="",INDIRECT("L"&amp;ROUNDUP((ROW()-6)/8,0)*8-1)=""),"",IF($P$3="否",工时测量记录表!Z229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229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30" s="214"/>
      <c r="P230" s="213"/>
    </row>
    <row r="231" spans="1:17" ht="15.6">
      <c r="A231" s="232">
        <f>IF(工时测量记录表!A230="","",工时测量记录表!A230)</f>
        <v>29</v>
      </c>
      <c r="B231" s="229" t="str">
        <f>IF(工时测量记录表!B230="","",工时测量记录表!B230)</f>
        <v/>
      </c>
      <c r="C231" s="148" t="str">
        <f>IF(工时测量记录表!D230="","",工时测量记录表!D230)</f>
        <v/>
      </c>
      <c r="D231" s="227">
        <f t="shared" ref="D231:K231" si="27">IF($A231="","",D$7)</f>
        <v>0</v>
      </c>
      <c r="E231" s="227">
        <f t="shared" si="27"/>
        <v>0</v>
      </c>
      <c r="F231" s="227">
        <f t="shared" si="27"/>
        <v>0</v>
      </c>
      <c r="G231" s="227">
        <f t="shared" si="27"/>
        <v>0</v>
      </c>
      <c r="H231" s="225">
        <f t="shared" si="27"/>
        <v>0</v>
      </c>
      <c r="I231" s="225">
        <f t="shared" si="27"/>
        <v>0</v>
      </c>
      <c r="J231" s="225">
        <f t="shared" si="27"/>
        <v>0</v>
      </c>
      <c r="K231" s="225">
        <f t="shared" si="27"/>
        <v>0</v>
      </c>
      <c r="L231" s="222" t="str">
        <f>IF(工时测量记录表!C230="","",工时测量记录表!C230)</f>
        <v/>
      </c>
      <c r="M231" s="217">
        <v>1</v>
      </c>
      <c r="N231" s="149" t="str">
        <f ca="1">IF(OR(C231="",INDIRECT("L"&amp;ROUNDUP((ROW()-6)/8,0)*8-1)=""),"",IF($P$3="否",工时测量记录表!Z230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31" s="214" t="str">
        <f ca="1">IF(COUNT(N231:N238)=0,"",SUM(N231:N238))</f>
        <v/>
      </c>
      <c r="P231" s="213"/>
    </row>
    <row r="232" spans="1:17" ht="15.6">
      <c r="A232" s="232"/>
      <c r="B232" s="229"/>
      <c r="C232" s="148" t="str">
        <f>IF(工时测量记录表!D231="","",工时测量记录表!D231)</f>
        <v/>
      </c>
      <c r="D232" s="227"/>
      <c r="E232" s="227"/>
      <c r="F232" s="227"/>
      <c r="G232" s="227"/>
      <c r="H232" s="225"/>
      <c r="I232" s="225"/>
      <c r="J232" s="225"/>
      <c r="K232" s="225"/>
      <c r="L232" s="222"/>
      <c r="M232" s="217"/>
      <c r="N232" s="149" t="str">
        <f ca="1">IF(OR(C232="",INDIRECT("L"&amp;ROUNDUP((ROW()-6)/8,0)*8-1)=""),"",IF($P$3="否",工时测量记录表!Z231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32" s="214"/>
      <c r="P232" s="213"/>
    </row>
    <row r="233" spans="1:17" ht="15.6">
      <c r="A233" s="232"/>
      <c r="B233" s="229"/>
      <c r="C233" s="148" t="str">
        <f>IF(工时测量记录表!D232="","",工时测量记录表!D232)</f>
        <v/>
      </c>
      <c r="D233" s="227"/>
      <c r="E233" s="227"/>
      <c r="F233" s="227"/>
      <c r="G233" s="227"/>
      <c r="H233" s="225"/>
      <c r="I233" s="225"/>
      <c r="J233" s="225"/>
      <c r="K233" s="225"/>
      <c r="L233" s="222"/>
      <c r="M233" s="217"/>
      <c r="N233" s="149" t="str">
        <f ca="1">IF(OR(C233="",INDIRECT("L"&amp;ROUNDUP((ROW()-6)/8,0)*8-1)=""),"",IF($P$3="否",工时测量记录表!Z232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33" s="214"/>
      <c r="P233" s="213"/>
    </row>
    <row r="234" spans="1:17" ht="15.6">
      <c r="A234" s="232"/>
      <c r="B234" s="229"/>
      <c r="C234" s="148" t="str">
        <f>IF(工时测量记录表!D233="","",工时测量记录表!D233)</f>
        <v/>
      </c>
      <c r="D234" s="227"/>
      <c r="E234" s="227"/>
      <c r="F234" s="227"/>
      <c r="G234" s="227"/>
      <c r="H234" s="225"/>
      <c r="I234" s="225"/>
      <c r="J234" s="225"/>
      <c r="K234" s="225"/>
      <c r="L234" s="222"/>
      <c r="M234" s="217"/>
      <c r="N234" s="149" t="str">
        <f ca="1">IF(OR(C234="",INDIRECT("L"&amp;ROUNDUP((ROW()-6)/8,0)*8-1)=""),"",IF($P$3="否",工时测量记录表!Z233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34" s="214"/>
      <c r="P234" s="213"/>
    </row>
    <row r="235" spans="1:17" ht="15.6">
      <c r="A235" s="232"/>
      <c r="B235" s="229"/>
      <c r="C235" s="148" t="str">
        <f>IF(工时测量记录表!D234="","",工时测量记录表!D234)</f>
        <v/>
      </c>
      <c r="D235" s="227"/>
      <c r="E235" s="227"/>
      <c r="F235" s="227"/>
      <c r="G235" s="227"/>
      <c r="H235" s="225"/>
      <c r="I235" s="225"/>
      <c r="J235" s="225"/>
      <c r="K235" s="225"/>
      <c r="L235" s="222"/>
      <c r="M235" s="217"/>
      <c r="N235" s="149" t="str">
        <f ca="1">IF(OR(C235="",INDIRECT("L"&amp;ROUNDUP((ROW()-6)/8,0)*8-1)=""),"",IF($P$3="否",工时测量记录表!Z234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35" s="214"/>
      <c r="P235" s="213"/>
      <c r="Q235" s="125"/>
    </row>
    <row r="236" spans="1:17" ht="15.6">
      <c r="A236" s="232"/>
      <c r="B236" s="229"/>
      <c r="C236" s="148" t="str">
        <f>IF(工时测量记录表!D235="","",工时测量记录表!D235)</f>
        <v/>
      </c>
      <c r="D236" s="227"/>
      <c r="E236" s="227"/>
      <c r="F236" s="227"/>
      <c r="G236" s="227"/>
      <c r="H236" s="225"/>
      <c r="I236" s="225"/>
      <c r="J236" s="225"/>
      <c r="K236" s="225"/>
      <c r="L236" s="222"/>
      <c r="M236" s="217"/>
      <c r="N236" s="149" t="str">
        <f ca="1">IF(OR(C236="",INDIRECT("L"&amp;ROUNDUP((ROW()-6)/8,0)*8-1)=""),"",IF($P$3="否",工时测量记录表!Z235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36" s="214"/>
      <c r="P236" s="213"/>
    </row>
    <row r="237" spans="1:17" ht="15.6">
      <c r="A237" s="232"/>
      <c r="B237" s="229"/>
      <c r="C237" s="148" t="str">
        <f>IF(工时测量记录表!D236="","",工时测量记录表!D236)</f>
        <v/>
      </c>
      <c r="D237" s="227"/>
      <c r="E237" s="227"/>
      <c r="F237" s="227"/>
      <c r="G237" s="227"/>
      <c r="H237" s="225"/>
      <c r="I237" s="225"/>
      <c r="J237" s="225"/>
      <c r="K237" s="225"/>
      <c r="L237" s="222"/>
      <c r="M237" s="217"/>
      <c r="N237" s="149" t="str">
        <f ca="1">IF(OR(C237="",INDIRECT("L"&amp;ROUNDUP((ROW()-6)/8,0)*8-1)=""),"",IF($P$3="否",工时测量记录表!Z236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37" s="214"/>
      <c r="P237" s="213"/>
    </row>
    <row r="238" spans="1:17" ht="15.6">
      <c r="A238" s="232"/>
      <c r="B238" s="229"/>
      <c r="C238" s="148" t="str">
        <f>IF(工时测量记录表!D237="","",工时测量记录表!D237)</f>
        <v/>
      </c>
      <c r="D238" s="227"/>
      <c r="E238" s="227"/>
      <c r="F238" s="227"/>
      <c r="G238" s="227"/>
      <c r="H238" s="225"/>
      <c r="I238" s="225"/>
      <c r="J238" s="225"/>
      <c r="K238" s="225"/>
      <c r="L238" s="222"/>
      <c r="M238" s="217"/>
      <c r="N238" s="149" t="str">
        <f ca="1">IF(OR(C238="",INDIRECT("L"&amp;ROUNDUP((ROW()-6)/8,0)*8-1)=""),"",IF($P$3="否",工时测量记录表!Z237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38" s="214"/>
      <c r="P238" s="213"/>
    </row>
    <row r="239" spans="1:17" ht="15.6">
      <c r="A239" s="232">
        <f>IF(工时测量记录表!A238="","",工时测量记录表!A238)</f>
        <v>30</v>
      </c>
      <c r="B239" s="229" t="str">
        <f>IF(工时测量记录表!B238="","",工时测量记录表!B238)</f>
        <v/>
      </c>
      <c r="C239" s="148" t="str">
        <f>IF(工时测量记录表!D238="","",工时测量记录表!D238)</f>
        <v/>
      </c>
      <c r="D239" s="227">
        <f t="shared" ref="D239:K239" si="28">IF($A239="","",D$7)</f>
        <v>0</v>
      </c>
      <c r="E239" s="227">
        <f t="shared" si="28"/>
        <v>0</v>
      </c>
      <c r="F239" s="227">
        <f t="shared" si="28"/>
        <v>0</v>
      </c>
      <c r="G239" s="227">
        <f t="shared" si="28"/>
        <v>0</v>
      </c>
      <c r="H239" s="225">
        <f t="shared" si="28"/>
        <v>0</v>
      </c>
      <c r="I239" s="225">
        <f t="shared" si="28"/>
        <v>0</v>
      </c>
      <c r="J239" s="225">
        <f t="shared" si="28"/>
        <v>0</v>
      </c>
      <c r="K239" s="225">
        <f t="shared" si="28"/>
        <v>0</v>
      </c>
      <c r="L239" s="222" t="str">
        <f>IF(工时测量记录表!C238="","",工时测量记录表!C238)</f>
        <v/>
      </c>
      <c r="M239" s="217">
        <v>1</v>
      </c>
      <c r="N239" s="149" t="str">
        <f ca="1">IF(OR(C239="",INDIRECT("L"&amp;ROUNDUP((ROW()-6)/8,0)*8-1)=""),"",IF($P$3="否",工时测量记录表!Z238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39" s="214" t="str">
        <f ca="1">IF(COUNT(N239:N246)=0,"",SUM(N239:N246))</f>
        <v/>
      </c>
      <c r="P239" s="213"/>
    </row>
    <row r="240" spans="1:17" ht="15.6">
      <c r="A240" s="232"/>
      <c r="B240" s="229"/>
      <c r="C240" s="148" t="str">
        <f>IF(工时测量记录表!D239="","",工时测量记录表!D239)</f>
        <v/>
      </c>
      <c r="D240" s="227"/>
      <c r="E240" s="227"/>
      <c r="F240" s="227"/>
      <c r="G240" s="227"/>
      <c r="H240" s="225"/>
      <c r="I240" s="225"/>
      <c r="J240" s="225"/>
      <c r="K240" s="225"/>
      <c r="L240" s="222"/>
      <c r="M240" s="217"/>
      <c r="N240" s="149" t="str">
        <f ca="1">IF(OR(C240="",INDIRECT("L"&amp;ROUNDUP((ROW()-6)/8,0)*8-1)=""),"",IF($P$3="否",工时测量记录表!Z239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239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40" s="214"/>
      <c r="P240" s="213"/>
    </row>
    <row r="241" spans="1:17" ht="15.6">
      <c r="A241" s="232"/>
      <c r="B241" s="229"/>
      <c r="C241" s="148" t="str">
        <f>IF(工时测量记录表!D240="","",工时测量记录表!D240)</f>
        <v/>
      </c>
      <c r="D241" s="227"/>
      <c r="E241" s="227"/>
      <c r="F241" s="227"/>
      <c r="G241" s="227"/>
      <c r="H241" s="225"/>
      <c r="I241" s="225"/>
      <c r="J241" s="225"/>
      <c r="K241" s="225"/>
      <c r="L241" s="222"/>
      <c r="M241" s="217"/>
      <c r="N241" s="149" t="str">
        <f ca="1">IF(OR(C241="",INDIRECT("L"&amp;ROUNDUP((ROW()-6)/8,0)*8-1)=""),"",IF($P$3="否",工时测量记录表!Z240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41" s="214"/>
      <c r="P241" s="213"/>
    </row>
    <row r="242" spans="1:17" ht="15.6">
      <c r="A242" s="232"/>
      <c r="B242" s="229"/>
      <c r="C242" s="148" t="str">
        <f>IF(工时测量记录表!D241="","",工时测量记录表!D241)</f>
        <v/>
      </c>
      <c r="D242" s="227"/>
      <c r="E242" s="227"/>
      <c r="F242" s="227"/>
      <c r="G242" s="227"/>
      <c r="H242" s="225"/>
      <c r="I242" s="225"/>
      <c r="J242" s="225"/>
      <c r="K242" s="225"/>
      <c r="L242" s="222"/>
      <c r="M242" s="217"/>
      <c r="N242" s="149" t="str">
        <f ca="1">IF(OR(C242="",INDIRECT("L"&amp;ROUNDUP((ROW()-6)/8,0)*8-1)=""),"",IF($P$3="否",工时测量记录表!Z241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42" s="214"/>
      <c r="P242" s="213"/>
    </row>
    <row r="243" spans="1:17" ht="15.6">
      <c r="A243" s="232"/>
      <c r="B243" s="229"/>
      <c r="C243" s="148" t="str">
        <f>IF(工时测量记录表!D242="","",工时测量记录表!D242)</f>
        <v/>
      </c>
      <c r="D243" s="227"/>
      <c r="E243" s="227"/>
      <c r="F243" s="227"/>
      <c r="G243" s="227"/>
      <c r="H243" s="225"/>
      <c r="I243" s="225"/>
      <c r="J243" s="225"/>
      <c r="K243" s="225"/>
      <c r="L243" s="222"/>
      <c r="M243" s="217"/>
      <c r="N243" s="149" t="str">
        <f ca="1">IF(OR(C243="",INDIRECT("L"&amp;ROUNDUP((ROW()-6)/8,0)*8-1)=""),"",IF($P$3="否",工时测量记录表!Z242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43" s="214"/>
      <c r="P243" s="213"/>
      <c r="Q243" s="125"/>
    </row>
    <row r="244" spans="1:17" ht="15.6">
      <c r="A244" s="232"/>
      <c r="B244" s="229"/>
      <c r="C244" s="148" t="str">
        <f>IF(工时测量记录表!D243="","",工时测量记录表!D243)</f>
        <v/>
      </c>
      <c r="D244" s="227"/>
      <c r="E244" s="227"/>
      <c r="F244" s="227"/>
      <c r="G244" s="227"/>
      <c r="H244" s="225"/>
      <c r="I244" s="225"/>
      <c r="J244" s="225"/>
      <c r="K244" s="225"/>
      <c r="L244" s="222"/>
      <c r="M244" s="217"/>
      <c r="N244" s="149" t="str">
        <f ca="1">IF(OR(C244="",INDIRECT("L"&amp;ROUNDUP((ROW()-6)/8,0)*8-1)=""),"",IF($P$3="否",工时测量记录表!Z243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44" s="214"/>
      <c r="P244" s="213"/>
    </row>
    <row r="245" spans="1:17" ht="15.6">
      <c r="A245" s="232"/>
      <c r="B245" s="229"/>
      <c r="C245" s="148" t="str">
        <f>IF(工时测量记录表!D244="","",工时测量记录表!D244)</f>
        <v/>
      </c>
      <c r="D245" s="227"/>
      <c r="E245" s="227"/>
      <c r="F245" s="227"/>
      <c r="G245" s="227"/>
      <c r="H245" s="225"/>
      <c r="I245" s="225"/>
      <c r="J245" s="225"/>
      <c r="K245" s="225"/>
      <c r="L245" s="222"/>
      <c r="M245" s="217"/>
      <c r="N245" s="149" t="str">
        <f ca="1">IF(OR(C245="",INDIRECT("L"&amp;ROUNDUP((ROW()-6)/8,0)*8-1)=""),"",IF($P$3="否",工时测量记录表!Z244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45" s="214"/>
      <c r="P245" s="213"/>
    </row>
    <row r="246" spans="1:17" ht="15.6">
      <c r="A246" s="232"/>
      <c r="B246" s="229"/>
      <c r="C246" s="148" t="str">
        <f>IF(工时测量记录表!D245="","",工时测量记录表!D245)</f>
        <v/>
      </c>
      <c r="D246" s="227"/>
      <c r="E246" s="227"/>
      <c r="F246" s="227"/>
      <c r="G246" s="227"/>
      <c r="H246" s="225"/>
      <c r="I246" s="225"/>
      <c r="J246" s="225"/>
      <c r="K246" s="225"/>
      <c r="L246" s="222"/>
      <c r="M246" s="217"/>
      <c r="N246" s="149" t="str">
        <f ca="1">IF(OR(C246="",INDIRECT("L"&amp;ROUNDUP((ROW()-6)/8,0)*8-1)=""),"",IF($P$3="否",工时测量记录表!Z245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46" s="214"/>
      <c r="P246" s="213"/>
    </row>
    <row r="247" spans="1:17" ht="15.6">
      <c r="A247" s="232">
        <f>IF(工时测量记录表!A246="","",工时测量记录表!A246)</f>
        <v>31</v>
      </c>
      <c r="B247" s="229" t="str">
        <f>IF(工时测量记录表!B246="","",工时测量记录表!B246)</f>
        <v/>
      </c>
      <c r="C247" s="148" t="str">
        <f>IF(工时测量记录表!D246="","",工时测量记录表!D246)</f>
        <v/>
      </c>
      <c r="D247" s="227">
        <f t="shared" ref="D247:K247" si="29">IF($A247="","",D$7)</f>
        <v>0</v>
      </c>
      <c r="E247" s="227">
        <f t="shared" si="29"/>
        <v>0</v>
      </c>
      <c r="F247" s="227">
        <f t="shared" si="29"/>
        <v>0</v>
      </c>
      <c r="G247" s="227">
        <f t="shared" si="29"/>
        <v>0</v>
      </c>
      <c r="H247" s="225">
        <f t="shared" si="29"/>
        <v>0</v>
      </c>
      <c r="I247" s="225">
        <f t="shared" si="29"/>
        <v>0</v>
      </c>
      <c r="J247" s="225">
        <f t="shared" si="29"/>
        <v>0</v>
      </c>
      <c r="K247" s="225">
        <f t="shared" si="29"/>
        <v>0</v>
      </c>
      <c r="L247" s="222" t="str">
        <f>IF(工时测量记录表!C246="","",工时测量记录表!C246)</f>
        <v/>
      </c>
      <c r="M247" s="217">
        <v>1</v>
      </c>
      <c r="N247" s="149" t="str">
        <f ca="1">IF(OR(C247="",INDIRECT("L"&amp;ROUNDUP((ROW()-6)/8,0)*8-1)=""),"",IF($P$3="否",工时测量记录表!Z246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47" s="214" t="str">
        <f ca="1">IF(COUNT(N247:N254)=0,"",SUM(N247:N254))</f>
        <v/>
      </c>
      <c r="P247" s="213"/>
    </row>
    <row r="248" spans="1:17" ht="15.6">
      <c r="A248" s="232"/>
      <c r="B248" s="229"/>
      <c r="C248" s="148" t="str">
        <f>IF(工时测量记录表!D247="","",工时测量记录表!D247)</f>
        <v/>
      </c>
      <c r="D248" s="227"/>
      <c r="E248" s="227"/>
      <c r="F248" s="227"/>
      <c r="G248" s="227"/>
      <c r="H248" s="225"/>
      <c r="I248" s="225"/>
      <c r="J248" s="225"/>
      <c r="K248" s="225"/>
      <c r="L248" s="222"/>
      <c r="M248" s="217"/>
      <c r="N248" s="149" t="str">
        <f ca="1">IF(OR(C248="",INDIRECT("L"&amp;ROUNDUP((ROW()-6)/8,0)*8-1)=""),"",IF($P$3="否",工时测量记录表!Z247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48" s="214"/>
      <c r="P248" s="213"/>
    </row>
    <row r="249" spans="1:17" ht="15.6">
      <c r="A249" s="232"/>
      <c r="B249" s="229"/>
      <c r="C249" s="148" t="str">
        <f>IF(工时测量记录表!D248="","",工时测量记录表!D248)</f>
        <v/>
      </c>
      <c r="D249" s="227"/>
      <c r="E249" s="227"/>
      <c r="F249" s="227"/>
      <c r="G249" s="227"/>
      <c r="H249" s="225"/>
      <c r="I249" s="225"/>
      <c r="J249" s="225"/>
      <c r="K249" s="225"/>
      <c r="L249" s="222"/>
      <c r="M249" s="217"/>
      <c r="N249" s="149" t="str">
        <f ca="1">IF(OR(C249="",INDIRECT("L"&amp;ROUNDUP((ROW()-6)/8,0)*8-1)=""),"",IF($P$3="否",工时测量记录表!Z248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49" s="214"/>
      <c r="P249" s="213"/>
    </row>
    <row r="250" spans="1:17" ht="15.6">
      <c r="A250" s="232"/>
      <c r="B250" s="229"/>
      <c r="C250" s="148" t="str">
        <f>IF(工时测量记录表!D249="","",工时测量记录表!D249)</f>
        <v/>
      </c>
      <c r="D250" s="227"/>
      <c r="E250" s="227"/>
      <c r="F250" s="227"/>
      <c r="G250" s="227"/>
      <c r="H250" s="225"/>
      <c r="I250" s="225"/>
      <c r="J250" s="225"/>
      <c r="K250" s="225"/>
      <c r="L250" s="222"/>
      <c r="M250" s="217"/>
      <c r="N250" s="149" t="str">
        <f ca="1">IF(OR(C250="",INDIRECT("L"&amp;ROUNDUP((ROW()-6)/8,0)*8-1)=""),"",IF($P$3="否",工时测量记录表!Z249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249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50" s="214"/>
      <c r="P250" s="213"/>
    </row>
    <row r="251" spans="1:17" ht="15.6">
      <c r="A251" s="232"/>
      <c r="B251" s="229"/>
      <c r="C251" s="148" t="str">
        <f>IF(工时测量记录表!D250="","",工时测量记录表!D250)</f>
        <v/>
      </c>
      <c r="D251" s="227"/>
      <c r="E251" s="227"/>
      <c r="F251" s="227"/>
      <c r="G251" s="227"/>
      <c r="H251" s="225"/>
      <c r="I251" s="225"/>
      <c r="J251" s="225"/>
      <c r="K251" s="225"/>
      <c r="L251" s="222"/>
      <c r="M251" s="217"/>
      <c r="N251" s="149" t="str">
        <f ca="1">IF(OR(C251="",INDIRECT("L"&amp;ROUNDUP((ROW()-6)/8,0)*8-1)=""),"",IF($P$3="否",工时测量记录表!Z250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51" s="214"/>
      <c r="P251" s="213"/>
      <c r="Q251" s="125"/>
    </row>
    <row r="252" spans="1:17" ht="15.6">
      <c r="A252" s="232"/>
      <c r="B252" s="229"/>
      <c r="C252" s="148" t="str">
        <f>IF(工时测量记录表!D251="","",工时测量记录表!D251)</f>
        <v/>
      </c>
      <c r="D252" s="227"/>
      <c r="E252" s="227"/>
      <c r="F252" s="227"/>
      <c r="G252" s="227"/>
      <c r="H252" s="225"/>
      <c r="I252" s="225"/>
      <c r="J252" s="225"/>
      <c r="K252" s="225"/>
      <c r="L252" s="222"/>
      <c r="M252" s="217"/>
      <c r="N252" s="149" t="str">
        <f ca="1">IF(OR(C252="",INDIRECT("L"&amp;ROUNDUP((ROW()-6)/8,0)*8-1)=""),"",IF($P$3="否",工时测量记录表!Z251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52" s="214"/>
      <c r="P252" s="213"/>
    </row>
    <row r="253" spans="1:17" ht="15.6">
      <c r="A253" s="232"/>
      <c r="B253" s="229"/>
      <c r="C253" s="148" t="str">
        <f>IF(工时测量记录表!D252="","",工时测量记录表!D252)</f>
        <v/>
      </c>
      <c r="D253" s="227"/>
      <c r="E253" s="227"/>
      <c r="F253" s="227"/>
      <c r="G253" s="227"/>
      <c r="H253" s="225"/>
      <c r="I253" s="225"/>
      <c r="J253" s="225"/>
      <c r="K253" s="225"/>
      <c r="L253" s="222"/>
      <c r="M253" s="217"/>
      <c r="N253" s="149" t="str">
        <f ca="1">IF(OR(C253="",INDIRECT("L"&amp;ROUNDUP((ROW()-6)/8,0)*8-1)=""),"",IF($P$3="否",工时测量记录表!Z252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53" s="214"/>
      <c r="P253" s="213"/>
    </row>
    <row r="254" spans="1:17" ht="15.6">
      <c r="A254" s="232"/>
      <c r="B254" s="229"/>
      <c r="C254" s="148" t="str">
        <f>IF(工时测量记录表!D253="","",工时测量记录表!D253)</f>
        <v/>
      </c>
      <c r="D254" s="227"/>
      <c r="E254" s="227"/>
      <c r="F254" s="227"/>
      <c r="G254" s="227"/>
      <c r="H254" s="225"/>
      <c r="I254" s="225"/>
      <c r="J254" s="225"/>
      <c r="K254" s="225"/>
      <c r="L254" s="222"/>
      <c r="M254" s="217"/>
      <c r="N254" s="149" t="str">
        <f ca="1">IF(OR(C254="",INDIRECT("L"&amp;ROUNDUP((ROW()-6)/8,0)*8-1)=""),"",IF($P$3="否",工时测量记录表!Z253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54" s="214"/>
      <c r="P254" s="213"/>
    </row>
    <row r="255" spans="1:17" ht="15.6">
      <c r="A255" s="232">
        <f>IF(工时测量记录表!A254="","",工时测量记录表!A254)</f>
        <v>32</v>
      </c>
      <c r="B255" s="229" t="str">
        <f>IF(工时测量记录表!B254="","",工时测量记录表!B254)</f>
        <v/>
      </c>
      <c r="C255" s="148" t="str">
        <f>IF(工时测量记录表!D254="","",工时测量记录表!D254)</f>
        <v/>
      </c>
      <c r="D255" s="227">
        <f t="shared" ref="D255:K255" si="30">IF($A255="","",D$7)</f>
        <v>0</v>
      </c>
      <c r="E255" s="227">
        <f t="shared" si="30"/>
        <v>0</v>
      </c>
      <c r="F255" s="227">
        <f t="shared" si="30"/>
        <v>0</v>
      </c>
      <c r="G255" s="227">
        <f t="shared" si="30"/>
        <v>0</v>
      </c>
      <c r="H255" s="225">
        <f t="shared" si="30"/>
        <v>0</v>
      </c>
      <c r="I255" s="225">
        <f t="shared" si="30"/>
        <v>0</v>
      </c>
      <c r="J255" s="225">
        <f t="shared" si="30"/>
        <v>0</v>
      </c>
      <c r="K255" s="225">
        <f t="shared" si="30"/>
        <v>0</v>
      </c>
      <c r="L255" s="222" t="str">
        <f>IF(工时测量记录表!C254="","",工时测量记录表!C254)</f>
        <v/>
      </c>
      <c r="M255" s="217">
        <v>1</v>
      </c>
      <c r="N255" s="149" t="str">
        <f ca="1">IF(OR(C255="",INDIRECT("L"&amp;ROUNDUP((ROW()-6)/8,0)*8-1)=""),"",IF($P$3="否",工时测量记录表!Z254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55" s="214" t="str">
        <f ca="1">IF(COUNT(N255:N262)=0,"",SUM(N255:N262))</f>
        <v/>
      </c>
      <c r="P255" s="213"/>
    </row>
    <row r="256" spans="1:17" ht="15.6">
      <c r="A256" s="232"/>
      <c r="B256" s="229"/>
      <c r="C256" s="148" t="str">
        <f>IF(工时测量记录表!D255="","",工时测量记录表!D255)</f>
        <v/>
      </c>
      <c r="D256" s="227"/>
      <c r="E256" s="227"/>
      <c r="F256" s="227"/>
      <c r="G256" s="227"/>
      <c r="H256" s="225"/>
      <c r="I256" s="225"/>
      <c r="J256" s="225"/>
      <c r="K256" s="225"/>
      <c r="L256" s="222"/>
      <c r="M256" s="217"/>
      <c r="N256" s="149" t="str">
        <f ca="1">IF(OR(C256="",INDIRECT("L"&amp;ROUNDUP((ROW()-6)/8,0)*8-1)=""),"",IF($P$3="否",工时测量记录表!Z255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56" s="214"/>
      <c r="P256" s="213"/>
    </row>
    <row r="257" spans="1:17" ht="15.6">
      <c r="A257" s="232"/>
      <c r="B257" s="229"/>
      <c r="C257" s="148" t="str">
        <f>IF(工时测量记录表!D256="","",工时测量记录表!D256)</f>
        <v/>
      </c>
      <c r="D257" s="227"/>
      <c r="E257" s="227"/>
      <c r="F257" s="227"/>
      <c r="G257" s="227"/>
      <c r="H257" s="225"/>
      <c r="I257" s="225"/>
      <c r="J257" s="225"/>
      <c r="K257" s="225"/>
      <c r="L257" s="222"/>
      <c r="M257" s="217"/>
      <c r="N257" s="149" t="str">
        <f ca="1">IF(OR(C257="",INDIRECT("L"&amp;ROUNDUP((ROW()-6)/8,0)*8-1)=""),"",IF($P$3="否",工时测量记录表!Z256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57" s="214"/>
      <c r="P257" s="213"/>
    </row>
    <row r="258" spans="1:17" ht="15.6">
      <c r="A258" s="232"/>
      <c r="B258" s="229"/>
      <c r="C258" s="148" t="str">
        <f>IF(工时测量记录表!D257="","",工时测量记录表!D257)</f>
        <v/>
      </c>
      <c r="D258" s="227"/>
      <c r="E258" s="227"/>
      <c r="F258" s="227"/>
      <c r="G258" s="227"/>
      <c r="H258" s="225"/>
      <c r="I258" s="225"/>
      <c r="J258" s="225"/>
      <c r="K258" s="225"/>
      <c r="L258" s="222"/>
      <c r="M258" s="217"/>
      <c r="N258" s="149" t="str">
        <f ca="1">IF(OR(C258="",INDIRECT("L"&amp;ROUNDUP((ROW()-6)/8,0)*8-1)=""),"",IF($P$3="否",工时测量记录表!Z257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58" s="214"/>
      <c r="P258" s="213"/>
    </row>
    <row r="259" spans="1:17" ht="15.6">
      <c r="A259" s="232"/>
      <c r="B259" s="229"/>
      <c r="C259" s="148" t="str">
        <f>IF(工时测量记录表!D258="","",工时测量记录表!D258)</f>
        <v/>
      </c>
      <c r="D259" s="227"/>
      <c r="E259" s="227"/>
      <c r="F259" s="227"/>
      <c r="G259" s="227"/>
      <c r="H259" s="225"/>
      <c r="I259" s="225"/>
      <c r="J259" s="225"/>
      <c r="K259" s="225"/>
      <c r="L259" s="222"/>
      <c r="M259" s="217"/>
      <c r="N259" s="149" t="str">
        <f ca="1">IF(OR(C259="",INDIRECT("L"&amp;ROUNDUP((ROW()-6)/8,0)*8-1)=""),"",IF($P$3="否",工时测量记录表!Z258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59" s="214"/>
      <c r="P259" s="213"/>
      <c r="Q259" s="125"/>
    </row>
    <row r="260" spans="1:17" ht="15.6">
      <c r="A260" s="232"/>
      <c r="B260" s="229"/>
      <c r="C260" s="148" t="str">
        <f>IF(工时测量记录表!D259="","",工时测量记录表!D259)</f>
        <v/>
      </c>
      <c r="D260" s="227"/>
      <c r="E260" s="227"/>
      <c r="F260" s="227"/>
      <c r="G260" s="227"/>
      <c r="H260" s="225"/>
      <c r="I260" s="225"/>
      <c r="J260" s="225"/>
      <c r="K260" s="225"/>
      <c r="L260" s="222"/>
      <c r="M260" s="217"/>
      <c r="N260" s="149" t="str">
        <f ca="1">IF(OR(C260="",INDIRECT("L"&amp;ROUNDUP((ROW()-6)/8,0)*8-1)=""),"",IF($P$3="否",工时测量记录表!Z259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259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60" s="214"/>
      <c r="P260" s="213"/>
    </row>
    <row r="261" spans="1:17" ht="15.6">
      <c r="A261" s="232"/>
      <c r="B261" s="229"/>
      <c r="C261" s="148" t="str">
        <f>IF(工时测量记录表!D260="","",工时测量记录表!D260)</f>
        <v/>
      </c>
      <c r="D261" s="227"/>
      <c r="E261" s="227"/>
      <c r="F261" s="227"/>
      <c r="G261" s="227"/>
      <c r="H261" s="225"/>
      <c r="I261" s="225"/>
      <c r="J261" s="225"/>
      <c r="K261" s="225"/>
      <c r="L261" s="222"/>
      <c r="M261" s="217"/>
      <c r="N261" s="149" t="str">
        <f ca="1">IF(OR(C261="",INDIRECT("L"&amp;ROUNDUP((ROW()-6)/8,0)*8-1)=""),"",IF($P$3="否",工时测量记录表!Z260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61" s="214"/>
      <c r="P261" s="213"/>
    </row>
    <row r="262" spans="1:17" ht="15.6">
      <c r="A262" s="232"/>
      <c r="B262" s="229"/>
      <c r="C262" s="148" t="str">
        <f>IF(工时测量记录表!D261="","",工时测量记录表!D261)</f>
        <v/>
      </c>
      <c r="D262" s="227"/>
      <c r="E262" s="227"/>
      <c r="F262" s="227"/>
      <c r="G262" s="227"/>
      <c r="H262" s="225"/>
      <c r="I262" s="225"/>
      <c r="J262" s="225"/>
      <c r="K262" s="225"/>
      <c r="L262" s="222"/>
      <c r="M262" s="217"/>
      <c r="N262" s="149" t="str">
        <f ca="1">IF(OR(C262="",INDIRECT("L"&amp;ROUNDUP((ROW()-6)/8,0)*8-1)=""),"",IF($P$3="否",工时测量记录表!Z261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62" s="214"/>
      <c r="P262" s="213"/>
    </row>
    <row r="263" spans="1:17" ht="15.6">
      <c r="A263" s="232">
        <f>IF(工时测量记录表!A262="","",工时测量记录表!A262)</f>
        <v>33</v>
      </c>
      <c r="B263" s="229" t="str">
        <f>IF(工时测量记录表!B262="","",工时测量记录表!B262)</f>
        <v/>
      </c>
      <c r="C263" s="148" t="str">
        <f>IF(工时测量记录表!D262="","",工时测量记录表!D262)</f>
        <v/>
      </c>
      <c r="D263" s="227">
        <f t="shared" ref="D263:K263" si="31">IF($A263="","",D$7)</f>
        <v>0</v>
      </c>
      <c r="E263" s="227">
        <f t="shared" si="31"/>
        <v>0</v>
      </c>
      <c r="F263" s="227">
        <f t="shared" si="31"/>
        <v>0</v>
      </c>
      <c r="G263" s="227">
        <f t="shared" si="31"/>
        <v>0</v>
      </c>
      <c r="H263" s="225">
        <f t="shared" si="31"/>
        <v>0</v>
      </c>
      <c r="I263" s="225">
        <f t="shared" si="31"/>
        <v>0</v>
      </c>
      <c r="J263" s="225">
        <f t="shared" si="31"/>
        <v>0</v>
      </c>
      <c r="K263" s="225">
        <f t="shared" si="31"/>
        <v>0</v>
      </c>
      <c r="L263" s="222" t="str">
        <f>IF(工时测量记录表!C262="","",工时测量记录表!C262)</f>
        <v/>
      </c>
      <c r="M263" s="217">
        <v>1</v>
      </c>
      <c r="N263" s="149" t="str">
        <f ca="1">IF(OR(C263="",INDIRECT("L"&amp;ROUNDUP((ROW()-6)/8,0)*8-1)=""),"",IF($P$3="否",工时测量记录表!Z262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63" s="214" t="str">
        <f ca="1">IF(COUNT(N263:N270)=0,"",SUM(N263:N270))</f>
        <v/>
      </c>
      <c r="P263" s="213"/>
    </row>
    <row r="264" spans="1:17" ht="15.6">
      <c r="A264" s="232"/>
      <c r="B264" s="229"/>
      <c r="C264" s="148" t="str">
        <f>IF(工时测量记录表!D263="","",工时测量记录表!D263)</f>
        <v/>
      </c>
      <c r="D264" s="227"/>
      <c r="E264" s="227"/>
      <c r="F264" s="227"/>
      <c r="G264" s="227"/>
      <c r="H264" s="225"/>
      <c r="I264" s="225"/>
      <c r="J264" s="225"/>
      <c r="K264" s="225"/>
      <c r="L264" s="222"/>
      <c r="M264" s="217"/>
      <c r="N264" s="149" t="str">
        <f ca="1">IF(OR(C264="",INDIRECT("L"&amp;ROUNDUP((ROW()-6)/8,0)*8-1)=""),"",IF($P$3="否",工时测量记录表!Z263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64" s="214"/>
      <c r="P264" s="213"/>
    </row>
    <row r="265" spans="1:17" ht="15.6">
      <c r="A265" s="232"/>
      <c r="B265" s="229"/>
      <c r="C265" s="148" t="str">
        <f>IF(工时测量记录表!D264="","",工时测量记录表!D264)</f>
        <v/>
      </c>
      <c r="D265" s="227"/>
      <c r="E265" s="227"/>
      <c r="F265" s="227"/>
      <c r="G265" s="227"/>
      <c r="H265" s="225"/>
      <c r="I265" s="225"/>
      <c r="J265" s="225"/>
      <c r="K265" s="225"/>
      <c r="L265" s="222"/>
      <c r="M265" s="217"/>
      <c r="N265" s="149" t="str">
        <f ca="1">IF(OR(C265="",INDIRECT("L"&amp;ROUNDUP((ROW()-6)/8,0)*8-1)=""),"",IF($P$3="否",工时测量记录表!Z264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65" s="214"/>
      <c r="P265" s="213"/>
    </row>
    <row r="266" spans="1:17" ht="15.6">
      <c r="A266" s="232"/>
      <c r="B266" s="229"/>
      <c r="C266" s="148" t="str">
        <f>IF(工时测量记录表!D265="","",工时测量记录表!D265)</f>
        <v/>
      </c>
      <c r="D266" s="227"/>
      <c r="E266" s="227"/>
      <c r="F266" s="227"/>
      <c r="G266" s="227"/>
      <c r="H266" s="225"/>
      <c r="I266" s="225"/>
      <c r="J266" s="225"/>
      <c r="K266" s="225"/>
      <c r="L266" s="222"/>
      <c r="M266" s="217"/>
      <c r="N266" s="149" t="str">
        <f ca="1">IF(OR(C266="",INDIRECT("L"&amp;ROUNDUP((ROW()-6)/8,0)*8-1)=""),"",IF($P$3="否",工时测量记录表!Z265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66" s="214"/>
      <c r="P266" s="213"/>
    </row>
    <row r="267" spans="1:17" ht="15.6">
      <c r="A267" s="232"/>
      <c r="B267" s="229"/>
      <c r="C267" s="148" t="str">
        <f>IF(工时测量记录表!D266="","",工时测量记录表!D266)</f>
        <v/>
      </c>
      <c r="D267" s="227"/>
      <c r="E267" s="227"/>
      <c r="F267" s="227"/>
      <c r="G267" s="227"/>
      <c r="H267" s="225"/>
      <c r="I267" s="225"/>
      <c r="J267" s="225"/>
      <c r="K267" s="225"/>
      <c r="L267" s="222"/>
      <c r="M267" s="217"/>
      <c r="N267" s="149" t="str">
        <f ca="1">IF(OR(C267="",INDIRECT("L"&amp;ROUNDUP((ROW()-6)/8,0)*8-1)=""),"",IF($P$3="否",工时测量记录表!Z266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67" s="214"/>
      <c r="P267" s="213"/>
      <c r="Q267" s="125"/>
    </row>
    <row r="268" spans="1:17" ht="15.6">
      <c r="A268" s="232"/>
      <c r="B268" s="229"/>
      <c r="C268" s="148" t="str">
        <f>IF(工时测量记录表!D267="","",工时测量记录表!D267)</f>
        <v/>
      </c>
      <c r="D268" s="227"/>
      <c r="E268" s="227"/>
      <c r="F268" s="227"/>
      <c r="G268" s="227"/>
      <c r="H268" s="225"/>
      <c r="I268" s="225"/>
      <c r="J268" s="225"/>
      <c r="K268" s="225"/>
      <c r="L268" s="222"/>
      <c r="M268" s="217"/>
      <c r="N268" s="149" t="str">
        <f ca="1">IF(OR(C268="",INDIRECT("L"&amp;ROUNDUP((ROW()-6)/8,0)*8-1)=""),"",IF($P$3="否",工时测量记录表!Z267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68" s="214"/>
      <c r="P268" s="213"/>
    </row>
    <row r="269" spans="1:17" ht="15.6">
      <c r="A269" s="232"/>
      <c r="B269" s="229"/>
      <c r="C269" s="148" t="str">
        <f>IF(工时测量记录表!D268="","",工时测量记录表!D268)</f>
        <v/>
      </c>
      <c r="D269" s="227"/>
      <c r="E269" s="227"/>
      <c r="F269" s="227"/>
      <c r="G269" s="227"/>
      <c r="H269" s="225"/>
      <c r="I269" s="225"/>
      <c r="J269" s="225"/>
      <c r="K269" s="225"/>
      <c r="L269" s="222"/>
      <c r="M269" s="217"/>
      <c r="N269" s="149" t="str">
        <f ca="1">IF(OR(C269="",INDIRECT("L"&amp;ROUNDUP((ROW()-6)/8,0)*8-1)=""),"",IF($P$3="否",工时测量记录表!Z268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69" s="214"/>
      <c r="P269" s="213"/>
    </row>
    <row r="270" spans="1:17" ht="15.6">
      <c r="A270" s="232"/>
      <c r="B270" s="229"/>
      <c r="C270" s="148" t="str">
        <f>IF(工时测量记录表!D269="","",工时测量记录表!D269)</f>
        <v/>
      </c>
      <c r="D270" s="227"/>
      <c r="E270" s="227"/>
      <c r="F270" s="227"/>
      <c r="G270" s="227"/>
      <c r="H270" s="225"/>
      <c r="I270" s="225"/>
      <c r="J270" s="225"/>
      <c r="K270" s="225"/>
      <c r="L270" s="222"/>
      <c r="M270" s="217"/>
      <c r="N270" s="149" t="str">
        <f ca="1">IF(OR(C270="",INDIRECT("L"&amp;ROUNDUP((ROW()-6)/8,0)*8-1)=""),"",IF($P$3="否",工时测量记录表!Z269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269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70" s="214"/>
      <c r="P270" s="213"/>
    </row>
    <row r="271" spans="1:17" ht="15.6">
      <c r="A271" s="232">
        <f>IF(工时测量记录表!A270="","",工时测量记录表!A270)</f>
        <v>34</v>
      </c>
      <c r="B271" s="229" t="str">
        <f>IF(工时测量记录表!B270="","",工时测量记录表!B270)</f>
        <v/>
      </c>
      <c r="C271" s="148" t="str">
        <f>IF(工时测量记录表!D270="","",工时测量记录表!D270)</f>
        <v/>
      </c>
      <c r="D271" s="227">
        <f t="shared" ref="D271:K271" si="32">IF($A271="","",D$7)</f>
        <v>0</v>
      </c>
      <c r="E271" s="227">
        <f t="shared" si="32"/>
        <v>0</v>
      </c>
      <c r="F271" s="227">
        <f t="shared" si="32"/>
        <v>0</v>
      </c>
      <c r="G271" s="227">
        <f t="shared" si="32"/>
        <v>0</v>
      </c>
      <c r="H271" s="225">
        <f t="shared" si="32"/>
        <v>0</v>
      </c>
      <c r="I271" s="225">
        <f t="shared" si="32"/>
        <v>0</v>
      </c>
      <c r="J271" s="225">
        <f t="shared" si="32"/>
        <v>0</v>
      </c>
      <c r="K271" s="225">
        <f t="shared" si="32"/>
        <v>0</v>
      </c>
      <c r="L271" s="222" t="str">
        <f>IF(工时测量记录表!C270="","",工时测量记录表!C270)</f>
        <v/>
      </c>
      <c r="M271" s="217">
        <v>1</v>
      </c>
      <c r="N271" s="149" t="str">
        <f ca="1">IF(OR(C271="",INDIRECT("L"&amp;ROUNDUP((ROW()-6)/8,0)*8-1)=""),"",IF($P$3="否",工时测量记录表!Z270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71" s="214" t="str">
        <f ca="1">IF(COUNT(N271:N278)=0,"",SUM(N271:N278))</f>
        <v/>
      </c>
      <c r="P271" s="213"/>
    </row>
    <row r="272" spans="1:17" ht="15.6">
      <c r="A272" s="232"/>
      <c r="B272" s="229"/>
      <c r="C272" s="148" t="str">
        <f>IF(工时测量记录表!D271="","",工时测量记录表!D271)</f>
        <v/>
      </c>
      <c r="D272" s="227"/>
      <c r="E272" s="227"/>
      <c r="F272" s="227"/>
      <c r="G272" s="227"/>
      <c r="H272" s="225"/>
      <c r="I272" s="225"/>
      <c r="J272" s="225"/>
      <c r="K272" s="225"/>
      <c r="L272" s="222"/>
      <c r="M272" s="217"/>
      <c r="N272" s="149" t="str">
        <f ca="1">IF(OR(C272="",INDIRECT("L"&amp;ROUNDUP((ROW()-6)/8,0)*8-1)=""),"",IF($P$3="否",工时测量记录表!Z271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72" s="214"/>
      <c r="P272" s="213"/>
    </row>
    <row r="273" spans="1:17" ht="15.6">
      <c r="A273" s="232"/>
      <c r="B273" s="229"/>
      <c r="C273" s="148" t="str">
        <f>IF(工时测量记录表!D272="","",工时测量记录表!D272)</f>
        <v/>
      </c>
      <c r="D273" s="227"/>
      <c r="E273" s="227"/>
      <c r="F273" s="227"/>
      <c r="G273" s="227"/>
      <c r="H273" s="225"/>
      <c r="I273" s="225"/>
      <c r="J273" s="225"/>
      <c r="K273" s="225"/>
      <c r="L273" s="222"/>
      <c r="M273" s="217"/>
      <c r="N273" s="149" t="str">
        <f ca="1">IF(OR(C273="",INDIRECT("L"&amp;ROUNDUP((ROW()-6)/8,0)*8-1)=""),"",IF($P$3="否",工时测量记录表!Z272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73" s="214"/>
      <c r="P273" s="213"/>
    </row>
    <row r="274" spans="1:17" ht="15.6">
      <c r="A274" s="232"/>
      <c r="B274" s="229"/>
      <c r="C274" s="148" t="str">
        <f>IF(工时测量记录表!D273="","",工时测量记录表!D273)</f>
        <v/>
      </c>
      <c r="D274" s="227"/>
      <c r="E274" s="227"/>
      <c r="F274" s="227"/>
      <c r="G274" s="227"/>
      <c r="H274" s="225"/>
      <c r="I274" s="225"/>
      <c r="J274" s="225"/>
      <c r="K274" s="225"/>
      <c r="L274" s="222"/>
      <c r="M274" s="217"/>
      <c r="N274" s="149" t="str">
        <f ca="1">IF(OR(C274="",INDIRECT("L"&amp;ROUNDUP((ROW()-6)/8,0)*8-1)=""),"",IF($P$3="否",工时测量记录表!Z273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74" s="214"/>
      <c r="P274" s="213"/>
    </row>
    <row r="275" spans="1:17" ht="15.6">
      <c r="A275" s="232"/>
      <c r="B275" s="229"/>
      <c r="C275" s="148" t="str">
        <f>IF(工时测量记录表!D274="","",工时测量记录表!D274)</f>
        <v/>
      </c>
      <c r="D275" s="227"/>
      <c r="E275" s="227"/>
      <c r="F275" s="227"/>
      <c r="G275" s="227"/>
      <c r="H275" s="225"/>
      <c r="I275" s="225"/>
      <c r="J275" s="225"/>
      <c r="K275" s="225"/>
      <c r="L275" s="222"/>
      <c r="M275" s="217"/>
      <c r="N275" s="149" t="str">
        <f ca="1">IF(OR(C275="",INDIRECT("L"&amp;ROUNDUP((ROW()-6)/8,0)*8-1)=""),"",IF($P$3="否",工时测量记录表!Z274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75" s="214"/>
      <c r="P275" s="213"/>
      <c r="Q275" s="125"/>
    </row>
    <row r="276" spans="1:17" ht="15.6">
      <c r="A276" s="232"/>
      <c r="B276" s="229"/>
      <c r="C276" s="148" t="str">
        <f>IF(工时测量记录表!D275="","",工时测量记录表!D275)</f>
        <v/>
      </c>
      <c r="D276" s="227"/>
      <c r="E276" s="227"/>
      <c r="F276" s="227"/>
      <c r="G276" s="227"/>
      <c r="H276" s="225"/>
      <c r="I276" s="225"/>
      <c r="J276" s="225"/>
      <c r="K276" s="225"/>
      <c r="L276" s="222"/>
      <c r="M276" s="217"/>
      <c r="N276" s="149" t="str">
        <f ca="1">IF(OR(C276="",INDIRECT("L"&amp;ROUNDUP((ROW()-6)/8,0)*8-1)=""),"",IF($P$3="否",工时测量记录表!Z275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76" s="214"/>
      <c r="P276" s="213"/>
    </row>
    <row r="277" spans="1:17" ht="15.6">
      <c r="A277" s="232"/>
      <c r="B277" s="229"/>
      <c r="C277" s="148" t="str">
        <f>IF(工时测量记录表!D276="","",工时测量记录表!D276)</f>
        <v/>
      </c>
      <c r="D277" s="227"/>
      <c r="E277" s="227"/>
      <c r="F277" s="227"/>
      <c r="G277" s="227"/>
      <c r="H277" s="225"/>
      <c r="I277" s="225"/>
      <c r="J277" s="225"/>
      <c r="K277" s="225"/>
      <c r="L277" s="222"/>
      <c r="M277" s="217"/>
      <c r="N277" s="149" t="str">
        <f ca="1">IF(OR(C277="",INDIRECT("L"&amp;ROUNDUP((ROW()-6)/8,0)*8-1)=""),"",IF($P$3="否",工时测量记录表!Z276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77" s="214"/>
      <c r="P277" s="213"/>
    </row>
    <row r="278" spans="1:17" ht="15.6">
      <c r="A278" s="232"/>
      <c r="B278" s="229"/>
      <c r="C278" s="148" t="str">
        <f>IF(工时测量记录表!D277="","",工时测量记录表!D277)</f>
        <v/>
      </c>
      <c r="D278" s="227"/>
      <c r="E278" s="227"/>
      <c r="F278" s="227"/>
      <c r="G278" s="227"/>
      <c r="H278" s="225"/>
      <c r="I278" s="225"/>
      <c r="J278" s="225"/>
      <c r="K278" s="225"/>
      <c r="L278" s="222"/>
      <c r="M278" s="217"/>
      <c r="N278" s="149" t="str">
        <f ca="1">IF(OR(C278="",INDIRECT("L"&amp;ROUNDUP((ROW()-6)/8,0)*8-1)=""),"",IF($P$3="否",工时测量记录表!Z277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78" s="214"/>
      <c r="P278" s="213"/>
    </row>
    <row r="279" spans="1:17" ht="15.6">
      <c r="A279" s="232">
        <f>IF(工时测量记录表!A278="","",工时测量记录表!A278)</f>
        <v>35</v>
      </c>
      <c r="B279" s="229" t="str">
        <f>IF(工时测量记录表!B278="","",工时测量记录表!B278)</f>
        <v/>
      </c>
      <c r="C279" s="148" t="str">
        <f>IF(工时测量记录表!D278="","",工时测量记录表!D278)</f>
        <v/>
      </c>
      <c r="D279" s="227">
        <f t="shared" ref="D279:K279" si="33">IF($A279="","",D$7)</f>
        <v>0</v>
      </c>
      <c r="E279" s="227">
        <f t="shared" si="33"/>
        <v>0</v>
      </c>
      <c r="F279" s="227">
        <f t="shared" si="33"/>
        <v>0</v>
      </c>
      <c r="G279" s="227">
        <f t="shared" si="33"/>
        <v>0</v>
      </c>
      <c r="H279" s="225">
        <f t="shared" si="33"/>
        <v>0</v>
      </c>
      <c r="I279" s="225">
        <f t="shared" si="33"/>
        <v>0</v>
      </c>
      <c r="J279" s="225">
        <f t="shared" si="33"/>
        <v>0</v>
      </c>
      <c r="K279" s="225">
        <f t="shared" si="33"/>
        <v>0</v>
      </c>
      <c r="L279" s="222" t="str">
        <f>IF(工时测量记录表!C278="","",工时测量记录表!C278)</f>
        <v/>
      </c>
      <c r="M279" s="217">
        <v>1</v>
      </c>
      <c r="N279" s="149" t="str">
        <f ca="1">IF(OR(C279="",INDIRECT("L"&amp;ROUNDUP((ROW()-6)/8,0)*8-1)=""),"",IF($P$3="否",工时测量记录表!Z278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79" s="214" t="str">
        <f ca="1">IF(COUNT(N279:N286)=0,"",SUM(N279:N286))</f>
        <v/>
      </c>
      <c r="P279" s="213"/>
    </row>
    <row r="280" spans="1:17" ht="15.6">
      <c r="A280" s="232"/>
      <c r="B280" s="229"/>
      <c r="C280" s="148" t="str">
        <f>IF(工时测量记录表!D279="","",工时测量记录表!D279)</f>
        <v/>
      </c>
      <c r="D280" s="227"/>
      <c r="E280" s="227"/>
      <c r="F280" s="227"/>
      <c r="G280" s="227"/>
      <c r="H280" s="225"/>
      <c r="I280" s="225"/>
      <c r="J280" s="225"/>
      <c r="K280" s="225"/>
      <c r="L280" s="222"/>
      <c r="M280" s="217"/>
      <c r="N280" s="149" t="str">
        <f ca="1">IF(OR(C280="",INDIRECT("L"&amp;ROUNDUP((ROW()-6)/8,0)*8-1)=""),"",IF($P$3="否",工时测量记录表!Z279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279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80" s="214"/>
      <c r="P280" s="213"/>
    </row>
    <row r="281" spans="1:17" ht="15.6">
      <c r="A281" s="232"/>
      <c r="B281" s="229"/>
      <c r="C281" s="148" t="str">
        <f>IF(工时测量记录表!D280="","",工时测量记录表!D280)</f>
        <v/>
      </c>
      <c r="D281" s="227"/>
      <c r="E281" s="227"/>
      <c r="F281" s="227"/>
      <c r="G281" s="227"/>
      <c r="H281" s="225"/>
      <c r="I281" s="225"/>
      <c r="J281" s="225"/>
      <c r="K281" s="225"/>
      <c r="L281" s="222"/>
      <c r="M281" s="217"/>
      <c r="N281" s="149" t="str">
        <f ca="1">IF(OR(C281="",INDIRECT("L"&amp;ROUNDUP((ROW()-6)/8,0)*8-1)=""),"",IF($P$3="否",工时测量记录表!Z280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81" s="214"/>
      <c r="P281" s="213"/>
    </row>
    <row r="282" spans="1:17" ht="15.6">
      <c r="A282" s="232"/>
      <c r="B282" s="229"/>
      <c r="C282" s="148" t="str">
        <f>IF(工时测量记录表!D281="","",工时测量记录表!D281)</f>
        <v/>
      </c>
      <c r="D282" s="227"/>
      <c r="E282" s="227"/>
      <c r="F282" s="227"/>
      <c r="G282" s="227"/>
      <c r="H282" s="225"/>
      <c r="I282" s="225"/>
      <c r="J282" s="225"/>
      <c r="K282" s="225"/>
      <c r="L282" s="222"/>
      <c r="M282" s="217"/>
      <c r="N282" s="149" t="str">
        <f ca="1">IF(OR(C282="",INDIRECT("L"&amp;ROUNDUP((ROW()-6)/8,0)*8-1)=""),"",IF($P$3="否",工时测量记录表!Z281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82" s="214"/>
      <c r="P282" s="213"/>
    </row>
    <row r="283" spans="1:17" ht="15.6">
      <c r="A283" s="232"/>
      <c r="B283" s="229"/>
      <c r="C283" s="148" t="str">
        <f>IF(工时测量记录表!D282="","",工时测量记录表!D282)</f>
        <v/>
      </c>
      <c r="D283" s="227"/>
      <c r="E283" s="227"/>
      <c r="F283" s="227"/>
      <c r="G283" s="227"/>
      <c r="H283" s="225"/>
      <c r="I283" s="225"/>
      <c r="J283" s="225"/>
      <c r="K283" s="225"/>
      <c r="L283" s="222"/>
      <c r="M283" s="217"/>
      <c r="N283" s="149" t="str">
        <f ca="1">IF(OR(C283="",INDIRECT("L"&amp;ROUNDUP((ROW()-6)/8,0)*8-1)=""),"",IF($P$3="否",工时测量记录表!Z282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83" s="214"/>
      <c r="P283" s="213"/>
      <c r="Q283" s="125"/>
    </row>
    <row r="284" spans="1:17" ht="15.6">
      <c r="A284" s="232"/>
      <c r="B284" s="229"/>
      <c r="C284" s="148" t="str">
        <f>IF(工时测量记录表!D283="","",工时测量记录表!D283)</f>
        <v/>
      </c>
      <c r="D284" s="227"/>
      <c r="E284" s="227"/>
      <c r="F284" s="227"/>
      <c r="G284" s="227"/>
      <c r="H284" s="225"/>
      <c r="I284" s="225"/>
      <c r="J284" s="225"/>
      <c r="K284" s="225"/>
      <c r="L284" s="222"/>
      <c r="M284" s="217"/>
      <c r="N284" s="149" t="str">
        <f ca="1">IF(OR(C284="",INDIRECT("L"&amp;ROUNDUP((ROW()-6)/8,0)*8-1)=""),"",IF($P$3="否",工时测量记录表!Z283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84" s="214"/>
      <c r="P284" s="213"/>
    </row>
    <row r="285" spans="1:17" ht="15.6">
      <c r="A285" s="232"/>
      <c r="B285" s="229"/>
      <c r="C285" s="148" t="str">
        <f>IF(工时测量记录表!D284="","",工时测量记录表!D284)</f>
        <v/>
      </c>
      <c r="D285" s="227"/>
      <c r="E285" s="227"/>
      <c r="F285" s="227"/>
      <c r="G285" s="227"/>
      <c r="H285" s="225"/>
      <c r="I285" s="225"/>
      <c r="J285" s="225"/>
      <c r="K285" s="225"/>
      <c r="L285" s="222"/>
      <c r="M285" s="217"/>
      <c r="N285" s="149" t="str">
        <f ca="1">IF(OR(C285="",INDIRECT("L"&amp;ROUNDUP((ROW()-6)/8,0)*8-1)=""),"",IF($P$3="否",工时测量记录表!Z284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85" s="214"/>
      <c r="P285" s="213"/>
    </row>
    <row r="286" spans="1:17" ht="15.6">
      <c r="A286" s="232"/>
      <c r="B286" s="229"/>
      <c r="C286" s="148" t="str">
        <f>IF(工时测量记录表!D285="","",工时测量记录表!D285)</f>
        <v/>
      </c>
      <c r="D286" s="227"/>
      <c r="E286" s="227"/>
      <c r="F286" s="227"/>
      <c r="G286" s="227"/>
      <c r="H286" s="225"/>
      <c r="I286" s="225"/>
      <c r="J286" s="225"/>
      <c r="K286" s="225"/>
      <c r="L286" s="222"/>
      <c r="M286" s="217"/>
      <c r="N286" s="149" t="str">
        <f ca="1">IF(OR(C286="",INDIRECT("L"&amp;ROUNDUP((ROW()-6)/8,0)*8-1)=""),"",IF($P$3="否",工时测量记录表!Z285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86" s="214"/>
      <c r="P286" s="213"/>
    </row>
    <row r="287" spans="1:17" ht="15.6">
      <c r="A287" s="232">
        <f>IF(工时测量记录表!A286="","",工时测量记录表!A286)</f>
        <v>36</v>
      </c>
      <c r="B287" s="229" t="str">
        <f>IF(工时测量记录表!B286="","",工时测量记录表!B286)</f>
        <v/>
      </c>
      <c r="C287" s="148" t="str">
        <f>IF(工时测量记录表!D286="","",工时测量记录表!D286)</f>
        <v/>
      </c>
      <c r="D287" s="227">
        <f t="shared" ref="D287:K287" si="34">IF($A287="","",D$7)</f>
        <v>0</v>
      </c>
      <c r="E287" s="227">
        <f t="shared" si="34"/>
        <v>0</v>
      </c>
      <c r="F287" s="227">
        <f t="shared" si="34"/>
        <v>0</v>
      </c>
      <c r="G287" s="227">
        <f t="shared" si="34"/>
        <v>0</v>
      </c>
      <c r="H287" s="225">
        <f t="shared" si="34"/>
        <v>0</v>
      </c>
      <c r="I287" s="225">
        <f t="shared" si="34"/>
        <v>0</v>
      </c>
      <c r="J287" s="225">
        <f t="shared" si="34"/>
        <v>0</v>
      </c>
      <c r="K287" s="225">
        <f t="shared" si="34"/>
        <v>0</v>
      </c>
      <c r="L287" s="222" t="str">
        <f>IF(工时测量记录表!C286="","",工时测量记录表!C286)</f>
        <v/>
      </c>
      <c r="M287" s="217">
        <v>1</v>
      </c>
      <c r="N287" s="149" t="str">
        <f ca="1">IF(OR(C287="",INDIRECT("L"&amp;ROUNDUP((ROW()-6)/8,0)*8-1)=""),"",IF($P$3="否",工时测量记录表!Z286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87" s="214" t="str">
        <f ca="1">IF(COUNT(N287:N294)=0,"",SUM(N287:N294))</f>
        <v/>
      </c>
      <c r="P287" s="213"/>
    </row>
    <row r="288" spans="1:17" ht="15.6">
      <c r="A288" s="232"/>
      <c r="B288" s="229"/>
      <c r="C288" s="148" t="str">
        <f>IF(工时测量记录表!D287="","",工时测量记录表!D287)</f>
        <v/>
      </c>
      <c r="D288" s="227"/>
      <c r="E288" s="227"/>
      <c r="F288" s="227"/>
      <c r="G288" s="227"/>
      <c r="H288" s="225"/>
      <c r="I288" s="225"/>
      <c r="J288" s="225"/>
      <c r="K288" s="225"/>
      <c r="L288" s="222"/>
      <c r="M288" s="217"/>
      <c r="N288" s="149" t="str">
        <f ca="1">IF(OR(C288="",INDIRECT("L"&amp;ROUNDUP((ROW()-6)/8,0)*8-1)=""),"",IF($P$3="否",工时测量记录表!Z287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88" s="214"/>
      <c r="P288" s="213"/>
    </row>
    <row r="289" spans="1:17" ht="15.6">
      <c r="A289" s="232"/>
      <c r="B289" s="229"/>
      <c r="C289" s="148" t="str">
        <f>IF(工时测量记录表!D288="","",工时测量记录表!D288)</f>
        <v/>
      </c>
      <c r="D289" s="227"/>
      <c r="E289" s="227"/>
      <c r="F289" s="227"/>
      <c r="G289" s="227"/>
      <c r="H289" s="225"/>
      <c r="I289" s="225"/>
      <c r="J289" s="225"/>
      <c r="K289" s="225"/>
      <c r="L289" s="222"/>
      <c r="M289" s="217"/>
      <c r="N289" s="149" t="str">
        <f ca="1">IF(OR(C289="",INDIRECT("L"&amp;ROUNDUP((ROW()-6)/8,0)*8-1)=""),"",IF($P$3="否",工时测量记录表!Z288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89" s="214"/>
      <c r="P289" s="213"/>
    </row>
    <row r="290" spans="1:17" ht="15.6">
      <c r="A290" s="232"/>
      <c r="B290" s="229"/>
      <c r="C290" s="148" t="str">
        <f>IF(工时测量记录表!D289="","",工时测量记录表!D289)</f>
        <v/>
      </c>
      <c r="D290" s="227"/>
      <c r="E290" s="227"/>
      <c r="F290" s="227"/>
      <c r="G290" s="227"/>
      <c r="H290" s="225"/>
      <c r="I290" s="225"/>
      <c r="J290" s="225"/>
      <c r="K290" s="225"/>
      <c r="L290" s="222"/>
      <c r="M290" s="217"/>
      <c r="N290" s="149" t="str">
        <f ca="1">IF(OR(C290="",INDIRECT("L"&amp;ROUNDUP((ROW()-6)/8,0)*8-1)=""),"",IF($P$3="否",工时测量记录表!Z289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289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90" s="214"/>
      <c r="P290" s="213"/>
    </row>
    <row r="291" spans="1:17" ht="15.6">
      <c r="A291" s="232"/>
      <c r="B291" s="229"/>
      <c r="C291" s="148" t="str">
        <f>IF(工时测量记录表!D290="","",工时测量记录表!D290)</f>
        <v/>
      </c>
      <c r="D291" s="227"/>
      <c r="E291" s="227"/>
      <c r="F291" s="227"/>
      <c r="G291" s="227"/>
      <c r="H291" s="225"/>
      <c r="I291" s="225"/>
      <c r="J291" s="225"/>
      <c r="K291" s="225"/>
      <c r="L291" s="222"/>
      <c r="M291" s="217"/>
      <c r="N291" s="149" t="str">
        <f ca="1">IF(OR(C291="",INDIRECT("L"&amp;ROUNDUP((ROW()-6)/8,0)*8-1)=""),"",IF($P$3="否",工时测量记录表!Z290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91" s="214"/>
      <c r="P291" s="213"/>
      <c r="Q291" s="125"/>
    </row>
    <row r="292" spans="1:17" ht="15.6">
      <c r="A292" s="232"/>
      <c r="B292" s="229"/>
      <c r="C292" s="148" t="str">
        <f>IF(工时测量记录表!D291="","",工时测量记录表!D291)</f>
        <v/>
      </c>
      <c r="D292" s="227"/>
      <c r="E292" s="227"/>
      <c r="F292" s="227"/>
      <c r="G292" s="227"/>
      <c r="H292" s="225"/>
      <c r="I292" s="225"/>
      <c r="J292" s="225"/>
      <c r="K292" s="225"/>
      <c r="L292" s="222"/>
      <c r="M292" s="217"/>
      <c r="N292" s="149" t="str">
        <f ca="1">IF(OR(C292="",INDIRECT("L"&amp;ROUNDUP((ROW()-6)/8,0)*8-1)=""),"",IF($P$3="否",工时测量记录表!Z291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92" s="214"/>
      <c r="P292" s="213"/>
    </row>
    <row r="293" spans="1:17" ht="15.6">
      <c r="A293" s="232"/>
      <c r="B293" s="229"/>
      <c r="C293" s="148" t="str">
        <f>IF(工时测量记录表!D292="","",工时测量记录表!D292)</f>
        <v/>
      </c>
      <c r="D293" s="227"/>
      <c r="E293" s="227"/>
      <c r="F293" s="227"/>
      <c r="G293" s="227"/>
      <c r="H293" s="225"/>
      <c r="I293" s="225"/>
      <c r="J293" s="225"/>
      <c r="K293" s="225"/>
      <c r="L293" s="222"/>
      <c r="M293" s="217"/>
      <c r="N293" s="149" t="str">
        <f ca="1">IF(OR(C293="",INDIRECT("L"&amp;ROUNDUP((ROW()-6)/8,0)*8-1)=""),"",IF($P$3="否",工时测量记录表!Z292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93" s="214"/>
      <c r="P293" s="213"/>
    </row>
    <row r="294" spans="1:17" ht="15.6">
      <c r="A294" s="232"/>
      <c r="B294" s="229"/>
      <c r="C294" s="148" t="str">
        <f>IF(工时测量记录表!D293="","",工时测量记录表!D293)</f>
        <v/>
      </c>
      <c r="D294" s="227"/>
      <c r="E294" s="227"/>
      <c r="F294" s="227"/>
      <c r="G294" s="227"/>
      <c r="H294" s="225"/>
      <c r="I294" s="225"/>
      <c r="J294" s="225"/>
      <c r="K294" s="225"/>
      <c r="L294" s="222"/>
      <c r="M294" s="217"/>
      <c r="N294" s="149" t="str">
        <f ca="1">IF(OR(C294="",INDIRECT("L"&amp;ROUNDUP((ROW()-6)/8,0)*8-1)=""),"",IF($P$3="否",工时测量记录表!Z293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94" s="214"/>
      <c r="P294" s="213"/>
    </row>
    <row r="295" spans="1:17" ht="15.6">
      <c r="A295" s="232">
        <f>IF(工时测量记录表!A294="","",工时测量记录表!A294)</f>
        <v>37</v>
      </c>
      <c r="B295" s="229" t="str">
        <f>IF(工时测量记录表!B294="","",工时测量记录表!B294)</f>
        <v/>
      </c>
      <c r="C295" s="148" t="str">
        <f>IF(工时测量记录表!D294="","",工时测量记录表!D294)</f>
        <v/>
      </c>
      <c r="D295" s="227">
        <f t="shared" ref="D295:K295" si="35">IF($A295="","",D$7)</f>
        <v>0</v>
      </c>
      <c r="E295" s="227">
        <f t="shared" si="35"/>
        <v>0</v>
      </c>
      <c r="F295" s="227">
        <f t="shared" si="35"/>
        <v>0</v>
      </c>
      <c r="G295" s="227">
        <f t="shared" si="35"/>
        <v>0</v>
      </c>
      <c r="H295" s="225">
        <f t="shared" si="35"/>
        <v>0</v>
      </c>
      <c r="I295" s="225">
        <f t="shared" si="35"/>
        <v>0</v>
      </c>
      <c r="J295" s="225">
        <f t="shared" si="35"/>
        <v>0</v>
      </c>
      <c r="K295" s="225">
        <f t="shared" si="35"/>
        <v>0</v>
      </c>
      <c r="L295" s="222" t="str">
        <f>IF(工时测量记录表!C294="","",工时测量记录表!C294)</f>
        <v/>
      </c>
      <c r="M295" s="217">
        <v>1</v>
      </c>
      <c r="N295" s="149" t="str">
        <f ca="1">IF(OR(C295="",INDIRECT("L"&amp;ROUNDUP((ROW()-6)/8,0)*8-1)=""),"",IF($P$3="否",工时测量记录表!Z294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95" s="214" t="str">
        <f ca="1">IF(COUNT(N295:N302)=0,"",SUM(N295:N302))</f>
        <v/>
      </c>
      <c r="P295" s="213"/>
    </row>
    <row r="296" spans="1:17" ht="15.6">
      <c r="A296" s="232"/>
      <c r="B296" s="229"/>
      <c r="C296" s="148" t="str">
        <f>IF(工时测量记录表!D295="","",工时测量记录表!D295)</f>
        <v/>
      </c>
      <c r="D296" s="227"/>
      <c r="E296" s="227"/>
      <c r="F296" s="227"/>
      <c r="G296" s="227"/>
      <c r="H296" s="225"/>
      <c r="I296" s="225"/>
      <c r="J296" s="225"/>
      <c r="K296" s="225"/>
      <c r="L296" s="222"/>
      <c r="M296" s="217"/>
      <c r="N296" s="149" t="str">
        <f ca="1">IF(OR(C296="",INDIRECT("L"&amp;ROUNDUP((ROW()-6)/8,0)*8-1)=""),"",IF($P$3="否",工时测量记录表!Z295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96" s="214"/>
      <c r="P296" s="213"/>
    </row>
    <row r="297" spans="1:17" ht="15.6">
      <c r="A297" s="232"/>
      <c r="B297" s="229"/>
      <c r="C297" s="148" t="str">
        <f>IF(工时测量记录表!D296="","",工时测量记录表!D296)</f>
        <v/>
      </c>
      <c r="D297" s="227"/>
      <c r="E297" s="227"/>
      <c r="F297" s="227"/>
      <c r="G297" s="227"/>
      <c r="H297" s="225"/>
      <c r="I297" s="225"/>
      <c r="J297" s="225"/>
      <c r="K297" s="225"/>
      <c r="L297" s="222"/>
      <c r="M297" s="217"/>
      <c r="N297" s="149" t="str">
        <f ca="1">IF(OR(C297="",INDIRECT("L"&amp;ROUNDUP((ROW()-6)/8,0)*8-1)=""),"",IF($P$3="否",工时测量记录表!Z296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97" s="214"/>
      <c r="P297" s="213"/>
    </row>
    <row r="298" spans="1:17" ht="15.6">
      <c r="A298" s="232"/>
      <c r="B298" s="229"/>
      <c r="C298" s="148" t="str">
        <f>IF(工时测量记录表!D297="","",工时测量记录表!D297)</f>
        <v/>
      </c>
      <c r="D298" s="227"/>
      <c r="E298" s="227"/>
      <c r="F298" s="227"/>
      <c r="G298" s="227"/>
      <c r="H298" s="225"/>
      <c r="I298" s="225"/>
      <c r="J298" s="225"/>
      <c r="K298" s="225"/>
      <c r="L298" s="222"/>
      <c r="M298" s="217"/>
      <c r="N298" s="149" t="str">
        <f ca="1">IF(OR(C298="",INDIRECT("L"&amp;ROUNDUP((ROW()-6)/8,0)*8-1)=""),"",IF($P$3="否",工时测量记录表!Z297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98" s="214"/>
      <c r="P298" s="213"/>
    </row>
    <row r="299" spans="1:17" ht="15.6">
      <c r="A299" s="232"/>
      <c r="B299" s="229"/>
      <c r="C299" s="148" t="str">
        <f>IF(工时测量记录表!D298="","",工时测量记录表!D298)</f>
        <v/>
      </c>
      <c r="D299" s="227"/>
      <c r="E299" s="227"/>
      <c r="F299" s="227"/>
      <c r="G299" s="227"/>
      <c r="H299" s="225"/>
      <c r="I299" s="225"/>
      <c r="J299" s="225"/>
      <c r="K299" s="225"/>
      <c r="L299" s="222"/>
      <c r="M299" s="217"/>
      <c r="N299" s="149" t="str">
        <f ca="1">IF(OR(C299="",INDIRECT("L"&amp;ROUNDUP((ROW()-6)/8,0)*8-1)=""),"",IF($P$3="否",工时测量记录表!Z298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299" s="214"/>
      <c r="P299" s="213"/>
      <c r="Q299" s="125"/>
    </row>
    <row r="300" spans="1:17" ht="15.6">
      <c r="A300" s="232"/>
      <c r="B300" s="229"/>
      <c r="C300" s="148" t="str">
        <f>IF(工时测量记录表!D299="","",工时测量记录表!D299)</f>
        <v/>
      </c>
      <c r="D300" s="227"/>
      <c r="E300" s="227"/>
      <c r="F300" s="227"/>
      <c r="G300" s="227"/>
      <c r="H300" s="225"/>
      <c r="I300" s="225"/>
      <c r="J300" s="225"/>
      <c r="K300" s="225"/>
      <c r="L300" s="222"/>
      <c r="M300" s="217"/>
      <c r="N300" s="149" t="str">
        <f ca="1">IF(OR(C300="",INDIRECT("L"&amp;ROUNDUP((ROW()-6)/8,0)*8-1)=""),"",IF($P$3="否",工时测量记录表!Z299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299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00" s="214"/>
      <c r="P300" s="213"/>
    </row>
    <row r="301" spans="1:17" ht="15.6">
      <c r="A301" s="232"/>
      <c r="B301" s="229"/>
      <c r="C301" s="148" t="str">
        <f>IF(工时测量记录表!D300="","",工时测量记录表!D300)</f>
        <v/>
      </c>
      <c r="D301" s="227"/>
      <c r="E301" s="227"/>
      <c r="F301" s="227"/>
      <c r="G301" s="227"/>
      <c r="H301" s="225"/>
      <c r="I301" s="225"/>
      <c r="J301" s="225"/>
      <c r="K301" s="225"/>
      <c r="L301" s="222"/>
      <c r="M301" s="217"/>
      <c r="N301" s="149" t="str">
        <f ca="1">IF(OR(C301="",INDIRECT("L"&amp;ROUNDUP((ROW()-6)/8,0)*8-1)=""),"",IF($P$3="否",工时测量记录表!Z300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01" s="214"/>
      <c r="P301" s="213"/>
    </row>
    <row r="302" spans="1:17" ht="15.6">
      <c r="A302" s="232"/>
      <c r="B302" s="229"/>
      <c r="C302" s="148" t="str">
        <f>IF(工时测量记录表!D301="","",工时测量记录表!D301)</f>
        <v/>
      </c>
      <c r="D302" s="227"/>
      <c r="E302" s="227"/>
      <c r="F302" s="227"/>
      <c r="G302" s="227"/>
      <c r="H302" s="225"/>
      <c r="I302" s="225"/>
      <c r="J302" s="225"/>
      <c r="K302" s="225"/>
      <c r="L302" s="222"/>
      <c r="M302" s="217"/>
      <c r="N302" s="149" t="str">
        <f ca="1">IF(OR(C302="",INDIRECT("L"&amp;ROUNDUP((ROW()-6)/8,0)*8-1)=""),"",IF($P$3="否",工时测量记录表!Z301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02" s="214"/>
      <c r="P302" s="213"/>
    </row>
    <row r="303" spans="1:17" ht="15.6">
      <c r="A303" s="232">
        <f>IF(工时测量记录表!A302="","",工时测量记录表!A302)</f>
        <v>38</v>
      </c>
      <c r="B303" s="229" t="str">
        <f>IF(工时测量记录表!B302="","",工时测量记录表!B302)</f>
        <v/>
      </c>
      <c r="C303" s="148" t="str">
        <f>IF(工时测量记录表!D302="","",工时测量记录表!D302)</f>
        <v/>
      </c>
      <c r="D303" s="227">
        <f t="shared" ref="D303:K303" si="36">IF($A303="","",D$7)</f>
        <v>0</v>
      </c>
      <c r="E303" s="227">
        <f t="shared" si="36"/>
        <v>0</v>
      </c>
      <c r="F303" s="227">
        <f t="shared" si="36"/>
        <v>0</v>
      </c>
      <c r="G303" s="227">
        <f t="shared" si="36"/>
        <v>0</v>
      </c>
      <c r="H303" s="225">
        <f t="shared" si="36"/>
        <v>0</v>
      </c>
      <c r="I303" s="225">
        <f t="shared" si="36"/>
        <v>0</v>
      </c>
      <c r="J303" s="225">
        <f t="shared" si="36"/>
        <v>0</v>
      </c>
      <c r="K303" s="225">
        <f t="shared" si="36"/>
        <v>0</v>
      </c>
      <c r="L303" s="222" t="str">
        <f>IF(工时测量记录表!C302="","",工时测量记录表!C302)</f>
        <v/>
      </c>
      <c r="M303" s="217">
        <v>1</v>
      </c>
      <c r="N303" s="149" t="str">
        <f ca="1">IF(OR(C303="",INDIRECT("L"&amp;ROUNDUP((ROW()-6)/8,0)*8-1)=""),"",IF($P$3="否",工时测量记录表!Z302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03" s="214" t="str">
        <f ca="1">IF(COUNT(N303:N310)=0,"",SUM(N303:N310))</f>
        <v/>
      </c>
      <c r="P303" s="213"/>
    </row>
    <row r="304" spans="1:17" ht="15.6">
      <c r="A304" s="232"/>
      <c r="B304" s="229"/>
      <c r="C304" s="148" t="str">
        <f>IF(工时测量记录表!D303="","",工时测量记录表!D303)</f>
        <v/>
      </c>
      <c r="D304" s="227"/>
      <c r="E304" s="227"/>
      <c r="F304" s="227"/>
      <c r="G304" s="227"/>
      <c r="H304" s="225"/>
      <c r="I304" s="225"/>
      <c r="J304" s="225"/>
      <c r="K304" s="225"/>
      <c r="L304" s="222"/>
      <c r="M304" s="217"/>
      <c r="N304" s="149" t="str">
        <f ca="1">IF(OR(C304="",INDIRECT("L"&amp;ROUNDUP((ROW()-6)/8,0)*8-1)=""),"",IF($P$3="否",工时测量记录表!Z303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04" s="214"/>
      <c r="P304" s="213"/>
    </row>
    <row r="305" spans="1:17" ht="15.6">
      <c r="A305" s="232"/>
      <c r="B305" s="229"/>
      <c r="C305" s="148" t="str">
        <f>IF(工时测量记录表!D304="","",工时测量记录表!D304)</f>
        <v/>
      </c>
      <c r="D305" s="227"/>
      <c r="E305" s="227"/>
      <c r="F305" s="227"/>
      <c r="G305" s="227"/>
      <c r="H305" s="225"/>
      <c r="I305" s="225"/>
      <c r="J305" s="225"/>
      <c r="K305" s="225"/>
      <c r="L305" s="222"/>
      <c r="M305" s="217"/>
      <c r="N305" s="149" t="str">
        <f ca="1">IF(OR(C305="",INDIRECT("L"&amp;ROUNDUP((ROW()-6)/8,0)*8-1)=""),"",IF($P$3="否",工时测量记录表!Z304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05" s="214"/>
      <c r="P305" s="213"/>
    </row>
    <row r="306" spans="1:17" ht="15.6">
      <c r="A306" s="232"/>
      <c r="B306" s="229"/>
      <c r="C306" s="148" t="str">
        <f>IF(工时测量记录表!D305="","",工时测量记录表!D305)</f>
        <v/>
      </c>
      <c r="D306" s="227"/>
      <c r="E306" s="227"/>
      <c r="F306" s="227"/>
      <c r="G306" s="227"/>
      <c r="H306" s="225"/>
      <c r="I306" s="225"/>
      <c r="J306" s="225"/>
      <c r="K306" s="225"/>
      <c r="L306" s="222"/>
      <c r="M306" s="217"/>
      <c r="N306" s="149" t="str">
        <f ca="1">IF(OR(C306="",INDIRECT("L"&amp;ROUNDUP((ROW()-6)/8,0)*8-1)=""),"",IF($P$3="否",工时测量记录表!Z305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06" s="214"/>
      <c r="P306" s="213"/>
    </row>
    <row r="307" spans="1:17" ht="15.6">
      <c r="A307" s="232"/>
      <c r="B307" s="229"/>
      <c r="C307" s="148" t="str">
        <f>IF(工时测量记录表!D306="","",工时测量记录表!D306)</f>
        <v/>
      </c>
      <c r="D307" s="227"/>
      <c r="E307" s="227"/>
      <c r="F307" s="227"/>
      <c r="G307" s="227"/>
      <c r="H307" s="225"/>
      <c r="I307" s="225"/>
      <c r="J307" s="225"/>
      <c r="K307" s="225"/>
      <c r="L307" s="222"/>
      <c r="M307" s="217"/>
      <c r="N307" s="149" t="str">
        <f ca="1">IF(OR(C307="",INDIRECT("L"&amp;ROUNDUP((ROW()-6)/8,0)*8-1)=""),"",IF($P$3="否",工时测量记录表!Z306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07" s="214"/>
      <c r="P307" s="213"/>
      <c r="Q307" s="125"/>
    </row>
    <row r="308" spans="1:17" ht="15.6">
      <c r="A308" s="232"/>
      <c r="B308" s="229"/>
      <c r="C308" s="148" t="str">
        <f>IF(工时测量记录表!D307="","",工时测量记录表!D307)</f>
        <v/>
      </c>
      <c r="D308" s="227"/>
      <c r="E308" s="227"/>
      <c r="F308" s="227"/>
      <c r="G308" s="227"/>
      <c r="H308" s="225"/>
      <c r="I308" s="225"/>
      <c r="J308" s="225"/>
      <c r="K308" s="225"/>
      <c r="L308" s="222"/>
      <c r="M308" s="217"/>
      <c r="N308" s="149" t="str">
        <f ca="1">IF(OR(C308="",INDIRECT("L"&amp;ROUNDUP((ROW()-6)/8,0)*8-1)=""),"",IF($P$3="否",工时测量记录表!Z307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08" s="214"/>
      <c r="P308" s="213"/>
    </row>
    <row r="309" spans="1:17" ht="15.6">
      <c r="A309" s="232"/>
      <c r="B309" s="229"/>
      <c r="C309" s="148" t="str">
        <f>IF(工时测量记录表!D308="","",工时测量记录表!D308)</f>
        <v/>
      </c>
      <c r="D309" s="227"/>
      <c r="E309" s="227"/>
      <c r="F309" s="227"/>
      <c r="G309" s="227"/>
      <c r="H309" s="225"/>
      <c r="I309" s="225"/>
      <c r="J309" s="225"/>
      <c r="K309" s="225"/>
      <c r="L309" s="222"/>
      <c r="M309" s="217"/>
      <c r="N309" s="149" t="str">
        <f ca="1">IF(OR(C309="",INDIRECT("L"&amp;ROUNDUP((ROW()-6)/8,0)*8-1)=""),"",IF($P$3="否",工时测量记录表!Z308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09" s="214"/>
      <c r="P309" s="213"/>
    </row>
    <row r="310" spans="1:17" ht="15.6">
      <c r="A310" s="232"/>
      <c r="B310" s="229"/>
      <c r="C310" s="148" t="str">
        <f>IF(工时测量记录表!D309="","",工时测量记录表!D309)</f>
        <v/>
      </c>
      <c r="D310" s="227"/>
      <c r="E310" s="227"/>
      <c r="F310" s="227"/>
      <c r="G310" s="227"/>
      <c r="H310" s="225"/>
      <c r="I310" s="225"/>
      <c r="J310" s="225"/>
      <c r="K310" s="225"/>
      <c r="L310" s="222"/>
      <c r="M310" s="217"/>
      <c r="N310" s="149" t="str">
        <f ca="1">IF(OR(C310="",INDIRECT("L"&amp;ROUNDUP((ROW()-6)/8,0)*8-1)=""),"",IF($P$3="否",工时测量记录表!Z309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309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10" s="214"/>
      <c r="P310" s="213"/>
    </row>
    <row r="311" spans="1:17" ht="15.6">
      <c r="A311" s="232">
        <f>IF(工时测量记录表!A310="","",工时测量记录表!A310)</f>
        <v>39</v>
      </c>
      <c r="B311" s="229" t="str">
        <f>IF(工时测量记录表!B310="","",工时测量记录表!B310)</f>
        <v/>
      </c>
      <c r="C311" s="148" t="str">
        <f>IF(工时测量记录表!D310="","",工时测量记录表!D310)</f>
        <v/>
      </c>
      <c r="D311" s="227">
        <f t="shared" ref="D311:K311" si="37">IF($A311="","",D$7)</f>
        <v>0</v>
      </c>
      <c r="E311" s="227">
        <f t="shared" si="37"/>
        <v>0</v>
      </c>
      <c r="F311" s="227">
        <f t="shared" si="37"/>
        <v>0</v>
      </c>
      <c r="G311" s="227">
        <f t="shared" si="37"/>
        <v>0</v>
      </c>
      <c r="H311" s="225">
        <f t="shared" si="37"/>
        <v>0</v>
      </c>
      <c r="I311" s="225">
        <f t="shared" si="37"/>
        <v>0</v>
      </c>
      <c r="J311" s="225">
        <f t="shared" si="37"/>
        <v>0</v>
      </c>
      <c r="K311" s="225">
        <f t="shared" si="37"/>
        <v>0</v>
      </c>
      <c r="L311" s="222" t="str">
        <f>IF(工时测量记录表!C310="","",工时测量记录表!C310)</f>
        <v/>
      </c>
      <c r="M311" s="217">
        <v>1</v>
      </c>
      <c r="N311" s="149" t="str">
        <f ca="1">IF(OR(C311="",INDIRECT("L"&amp;ROUNDUP((ROW()-6)/8,0)*8-1)=""),"",IF($P$3="否",工时测量记录表!Z310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11" s="214" t="str">
        <f ca="1">IF(COUNT(N311:N318)=0,"",SUM(N311:N318))</f>
        <v/>
      </c>
      <c r="P311" s="213"/>
    </row>
    <row r="312" spans="1:17" ht="15.6">
      <c r="A312" s="232"/>
      <c r="B312" s="229"/>
      <c r="C312" s="148" t="str">
        <f>IF(工时测量记录表!D311="","",工时测量记录表!D311)</f>
        <v/>
      </c>
      <c r="D312" s="227"/>
      <c r="E312" s="227"/>
      <c r="F312" s="227"/>
      <c r="G312" s="227"/>
      <c r="H312" s="225"/>
      <c r="I312" s="225"/>
      <c r="J312" s="225"/>
      <c r="K312" s="225"/>
      <c r="L312" s="222"/>
      <c r="M312" s="217"/>
      <c r="N312" s="149" t="str">
        <f ca="1">IF(OR(C312="",INDIRECT("L"&amp;ROUNDUP((ROW()-6)/8,0)*8-1)=""),"",IF($P$3="否",工时测量记录表!Z311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12" s="214"/>
      <c r="P312" s="213"/>
    </row>
    <row r="313" spans="1:17" ht="15.6">
      <c r="A313" s="232"/>
      <c r="B313" s="229"/>
      <c r="C313" s="148" t="str">
        <f>IF(工时测量记录表!D312="","",工时测量记录表!D312)</f>
        <v/>
      </c>
      <c r="D313" s="227"/>
      <c r="E313" s="227"/>
      <c r="F313" s="227"/>
      <c r="G313" s="227"/>
      <c r="H313" s="225"/>
      <c r="I313" s="225"/>
      <c r="J313" s="225"/>
      <c r="K313" s="225"/>
      <c r="L313" s="222"/>
      <c r="M313" s="217"/>
      <c r="N313" s="149" t="str">
        <f ca="1">IF(OR(C313="",INDIRECT("L"&amp;ROUNDUP((ROW()-6)/8,0)*8-1)=""),"",IF($P$3="否",工时测量记录表!Z312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13" s="214"/>
      <c r="P313" s="213"/>
    </row>
    <row r="314" spans="1:17" ht="15.6">
      <c r="A314" s="232"/>
      <c r="B314" s="229"/>
      <c r="C314" s="148" t="str">
        <f>IF(工时测量记录表!D313="","",工时测量记录表!D313)</f>
        <v/>
      </c>
      <c r="D314" s="227"/>
      <c r="E314" s="227"/>
      <c r="F314" s="227"/>
      <c r="G314" s="227"/>
      <c r="H314" s="225"/>
      <c r="I314" s="225"/>
      <c r="J314" s="225"/>
      <c r="K314" s="225"/>
      <c r="L314" s="222"/>
      <c r="M314" s="217"/>
      <c r="N314" s="149" t="str">
        <f ca="1">IF(OR(C314="",INDIRECT("L"&amp;ROUNDUP((ROW()-6)/8,0)*8-1)=""),"",IF($P$3="否",工时测量记录表!Z313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14" s="214"/>
      <c r="P314" s="213"/>
    </row>
    <row r="315" spans="1:17" ht="15.6">
      <c r="A315" s="232"/>
      <c r="B315" s="229"/>
      <c r="C315" s="148" t="str">
        <f>IF(工时测量记录表!D314="","",工时测量记录表!D314)</f>
        <v/>
      </c>
      <c r="D315" s="227"/>
      <c r="E315" s="227"/>
      <c r="F315" s="227"/>
      <c r="G315" s="227"/>
      <c r="H315" s="225"/>
      <c r="I315" s="225"/>
      <c r="J315" s="225"/>
      <c r="K315" s="225"/>
      <c r="L315" s="222"/>
      <c r="M315" s="217"/>
      <c r="N315" s="149" t="str">
        <f ca="1">IF(OR(C315="",INDIRECT("L"&amp;ROUNDUP((ROW()-6)/8,0)*8-1)=""),"",IF($P$3="否",工时测量记录表!Z314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15" s="214"/>
      <c r="P315" s="213"/>
      <c r="Q315" s="125"/>
    </row>
    <row r="316" spans="1:17" ht="15.6">
      <c r="A316" s="232"/>
      <c r="B316" s="229"/>
      <c r="C316" s="148" t="str">
        <f>IF(工时测量记录表!D315="","",工时测量记录表!D315)</f>
        <v/>
      </c>
      <c r="D316" s="227"/>
      <c r="E316" s="227"/>
      <c r="F316" s="227"/>
      <c r="G316" s="227"/>
      <c r="H316" s="225"/>
      <c r="I316" s="225"/>
      <c r="J316" s="225"/>
      <c r="K316" s="225"/>
      <c r="L316" s="222"/>
      <c r="M316" s="217"/>
      <c r="N316" s="149" t="str">
        <f ca="1">IF(OR(C316="",INDIRECT("L"&amp;ROUNDUP((ROW()-6)/8,0)*8-1)=""),"",IF($P$3="否",工时测量记录表!Z315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16" s="214"/>
      <c r="P316" s="213"/>
    </row>
    <row r="317" spans="1:17" ht="15.6">
      <c r="A317" s="232"/>
      <c r="B317" s="229"/>
      <c r="C317" s="148" t="str">
        <f>IF(工时测量记录表!D316="","",工时测量记录表!D316)</f>
        <v/>
      </c>
      <c r="D317" s="227"/>
      <c r="E317" s="227"/>
      <c r="F317" s="227"/>
      <c r="G317" s="227"/>
      <c r="H317" s="225"/>
      <c r="I317" s="225"/>
      <c r="J317" s="225"/>
      <c r="K317" s="225"/>
      <c r="L317" s="222"/>
      <c r="M317" s="217"/>
      <c r="N317" s="149" t="str">
        <f ca="1">IF(OR(C317="",INDIRECT("L"&amp;ROUNDUP((ROW()-6)/8,0)*8-1)=""),"",IF($P$3="否",工时测量记录表!Z316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17" s="214"/>
      <c r="P317" s="213"/>
    </row>
    <row r="318" spans="1:17" ht="15.6">
      <c r="A318" s="232"/>
      <c r="B318" s="229"/>
      <c r="C318" s="148" t="str">
        <f>IF(工时测量记录表!D317="","",工时测量记录表!D317)</f>
        <v/>
      </c>
      <c r="D318" s="227"/>
      <c r="E318" s="227"/>
      <c r="F318" s="227"/>
      <c r="G318" s="227"/>
      <c r="H318" s="225"/>
      <c r="I318" s="225"/>
      <c r="J318" s="225"/>
      <c r="K318" s="225"/>
      <c r="L318" s="222"/>
      <c r="M318" s="217"/>
      <c r="N318" s="149" t="str">
        <f ca="1">IF(OR(C318="",INDIRECT("L"&amp;ROUNDUP((ROW()-6)/8,0)*8-1)=""),"",IF($P$3="否",工时测量记录表!Z317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18" s="214"/>
      <c r="P318" s="213"/>
    </row>
    <row r="319" spans="1:17" ht="15.6">
      <c r="A319" s="232">
        <f>IF(工时测量记录表!A318="","",工时测量记录表!A318)</f>
        <v>40</v>
      </c>
      <c r="B319" s="229" t="str">
        <f>IF(工时测量记录表!B318="","",工时测量记录表!B318)</f>
        <v/>
      </c>
      <c r="C319" s="148" t="str">
        <f>IF(工时测量记录表!D318="","",工时测量记录表!D318)</f>
        <v/>
      </c>
      <c r="D319" s="227">
        <f t="shared" ref="D319:K319" si="38">IF($A319="","",D$7)</f>
        <v>0</v>
      </c>
      <c r="E319" s="227">
        <f t="shared" si="38"/>
        <v>0</v>
      </c>
      <c r="F319" s="227">
        <f t="shared" si="38"/>
        <v>0</v>
      </c>
      <c r="G319" s="227">
        <f t="shared" si="38"/>
        <v>0</v>
      </c>
      <c r="H319" s="225">
        <f t="shared" si="38"/>
        <v>0</v>
      </c>
      <c r="I319" s="225">
        <f t="shared" si="38"/>
        <v>0</v>
      </c>
      <c r="J319" s="225">
        <f t="shared" si="38"/>
        <v>0</v>
      </c>
      <c r="K319" s="225">
        <f t="shared" si="38"/>
        <v>0</v>
      </c>
      <c r="L319" s="222" t="str">
        <f>IF(工时测量记录表!C318="","",工时测量记录表!C318)</f>
        <v/>
      </c>
      <c r="M319" s="217">
        <v>1</v>
      </c>
      <c r="N319" s="149" t="str">
        <f ca="1">IF(OR(C319="",INDIRECT("L"&amp;ROUNDUP((ROW()-6)/8,0)*8-1)=""),"",IF($P$3="否",工时测量记录表!Z318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19" s="214" t="str">
        <f ca="1">IF(COUNT(N319:N326)=0,"",SUM(N319:N326))</f>
        <v/>
      </c>
      <c r="P319" s="213"/>
    </row>
    <row r="320" spans="1:17" ht="15.6">
      <c r="A320" s="232"/>
      <c r="B320" s="229"/>
      <c r="C320" s="148" t="str">
        <f>IF(工时测量记录表!D319="","",工时测量记录表!D319)</f>
        <v/>
      </c>
      <c r="D320" s="227"/>
      <c r="E320" s="227"/>
      <c r="F320" s="227"/>
      <c r="G320" s="227"/>
      <c r="H320" s="225"/>
      <c r="I320" s="225"/>
      <c r="J320" s="225"/>
      <c r="K320" s="225"/>
      <c r="L320" s="222"/>
      <c r="M320" s="217"/>
      <c r="N320" s="149" t="str">
        <f ca="1">IF(OR(C320="",INDIRECT("L"&amp;ROUNDUP((ROW()-6)/8,0)*8-1)=""),"",IF($P$3="否",工时测量记录表!Z319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319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20" s="214"/>
      <c r="P320" s="213"/>
    </row>
    <row r="321" spans="1:17" ht="15.6">
      <c r="A321" s="232"/>
      <c r="B321" s="229"/>
      <c r="C321" s="148" t="str">
        <f>IF(工时测量记录表!D320="","",工时测量记录表!D320)</f>
        <v/>
      </c>
      <c r="D321" s="227"/>
      <c r="E321" s="227"/>
      <c r="F321" s="227"/>
      <c r="G321" s="227"/>
      <c r="H321" s="225"/>
      <c r="I321" s="225"/>
      <c r="J321" s="225"/>
      <c r="K321" s="225"/>
      <c r="L321" s="222"/>
      <c r="M321" s="217"/>
      <c r="N321" s="149" t="str">
        <f ca="1">IF(OR(C321="",INDIRECT("L"&amp;ROUNDUP((ROW()-6)/8,0)*8-1)=""),"",IF($P$3="否",工时测量记录表!Z320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21" s="214"/>
      <c r="P321" s="213"/>
    </row>
    <row r="322" spans="1:17" ht="15.6">
      <c r="A322" s="232"/>
      <c r="B322" s="229"/>
      <c r="C322" s="148" t="str">
        <f>IF(工时测量记录表!D321="","",工时测量记录表!D321)</f>
        <v/>
      </c>
      <c r="D322" s="227"/>
      <c r="E322" s="227"/>
      <c r="F322" s="227"/>
      <c r="G322" s="227"/>
      <c r="H322" s="225"/>
      <c r="I322" s="225"/>
      <c r="J322" s="225"/>
      <c r="K322" s="225"/>
      <c r="L322" s="222"/>
      <c r="M322" s="217"/>
      <c r="N322" s="149" t="str">
        <f ca="1">IF(OR(C322="",INDIRECT("L"&amp;ROUNDUP((ROW()-6)/8,0)*8-1)=""),"",IF($P$3="否",工时测量记录表!Z321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22" s="214"/>
      <c r="P322" s="213"/>
    </row>
    <row r="323" spans="1:17" ht="15.6">
      <c r="A323" s="232"/>
      <c r="B323" s="229"/>
      <c r="C323" s="148" t="str">
        <f>IF(工时测量记录表!D322="","",工时测量记录表!D322)</f>
        <v/>
      </c>
      <c r="D323" s="227"/>
      <c r="E323" s="227"/>
      <c r="F323" s="227"/>
      <c r="G323" s="227"/>
      <c r="H323" s="225"/>
      <c r="I323" s="225"/>
      <c r="J323" s="225"/>
      <c r="K323" s="225"/>
      <c r="L323" s="222"/>
      <c r="M323" s="217"/>
      <c r="N323" s="149" t="str">
        <f ca="1">IF(OR(C323="",INDIRECT("L"&amp;ROUNDUP((ROW()-6)/8,0)*8-1)=""),"",IF($P$3="否",工时测量记录表!Z322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23" s="214"/>
      <c r="P323" s="213"/>
      <c r="Q323" s="125"/>
    </row>
    <row r="324" spans="1:17" ht="15.6">
      <c r="A324" s="232"/>
      <c r="B324" s="229"/>
      <c r="C324" s="148" t="str">
        <f>IF(工时测量记录表!D323="","",工时测量记录表!D323)</f>
        <v/>
      </c>
      <c r="D324" s="227"/>
      <c r="E324" s="227"/>
      <c r="F324" s="227"/>
      <c r="G324" s="227"/>
      <c r="H324" s="225"/>
      <c r="I324" s="225"/>
      <c r="J324" s="225"/>
      <c r="K324" s="225"/>
      <c r="L324" s="222"/>
      <c r="M324" s="217"/>
      <c r="N324" s="149" t="str">
        <f ca="1">IF(OR(C324="",INDIRECT("L"&amp;ROUNDUP((ROW()-6)/8,0)*8-1)=""),"",IF($P$3="否",工时测量记录表!Z323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24" s="214"/>
      <c r="P324" s="213"/>
    </row>
    <row r="325" spans="1:17" ht="15.6">
      <c r="A325" s="232"/>
      <c r="B325" s="229"/>
      <c r="C325" s="148" t="str">
        <f>IF(工时测量记录表!D324="","",工时测量记录表!D324)</f>
        <v/>
      </c>
      <c r="D325" s="227"/>
      <c r="E325" s="227"/>
      <c r="F325" s="227"/>
      <c r="G325" s="227"/>
      <c r="H325" s="225"/>
      <c r="I325" s="225"/>
      <c r="J325" s="225"/>
      <c r="K325" s="225"/>
      <c r="L325" s="222"/>
      <c r="M325" s="217"/>
      <c r="N325" s="149" t="str">
        <f ca="1">IF(OR(C325="",INDIRECT("L"&amp;ROUNDUP((ROW()-6)/8,0)*8-1)=""),"",IF($P$3="否",工时测量记录表!Z324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25" s="214"/>
      <c r="P325" s="213"/>
    </row>
    <row r="326" spans="1:17" ht="15.6">
      <c r="A326" s="232"/>
      <c r="B326" s="229"/>
      <c r="C326" s="148" t="str">
        <f>IF(工时测量记录表!D325="","",工时测量记录表!D325)</f>
        <v/>
      </c>
      <c r="D326" s="227"/>
      <c r="E326" s="227"/>
      <c r="F326" s="227"/>
      <c r="G326" s="227"/>
      <c r="H326" s="225"/>
      <c r="I326" s="225"/>
      <c r="J326" s="225"/>
      <c r="K326" s="225"/>
      <c r="L326" s="222"/>
      <c r="M326" s="217"/>
      <c r="N326" s="149" t="str">
        <f ca="1">IF(OR(C326="",INDIRECT("L"&amp;ROUNDUP((ROW()-6)/8,0)*8-1)=""),"",IF($P$3="否",工时测量记录表!Z325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26" s="214"/>
      <c r="P326" s="213"/>
    </row>
    <row r="327" spans="1:17" ht="15.6">
      <c r="A327" s="232">
        <f>IF(工时测量记录表!A326="","",工时测量记录表!A326)</f>
        <v>41</v>
      </c>
      <c r="B327" s="229" t="str">
        <f>IF(工时测量记录表!B326="","",工时测量记录表!B326)</f>
        <v/>
      </c>
      <c r="C327" s="148" t="str">
        <f>IF(工时测量记录表!D326="","",工时测量记录表!D326)</f>
        <v/>
      </c>
      <c r="D327" s="227">
        <f t="shared" ref="D327:K327" si="39">IF($A327="","",D$7)</f>
        <v>0</v>
      </c>
      <c r="E327" s="227">
        <f t="shared" si="39"/>
        <v>0</v>
      </c>
      <c r="F327" s="227">
        <f t="shared" si="39"/>
        <v>0</v>
      </c>
      <c r="G327" s="227">
        <f t="shared" si="39"/>
        <v>0</v>
      </c>
      <c r="H327" s="225">
        <f t="shared" si="39"/>
        <v>0</v>
      </c>
      <c r="I327" s="225">
        <f t="shared" si="39"/>
        <v>0</v>
      </c>
      <c r="J327" s="225">
        <f t="shared" si="39"/>
        <v>0</v>
      </c>
      <c r="K327" s="225">
        <f t="shared" si="39"/>
        <v>0</v>
      </c>
      <c r="L327" s="222" t="str">
        <f>IF(工时测量记录表!C326="","",工时测量记录表!C326)</f>
        <v/>
      </c>
      <c r="M327" s="217">
        <v>1</v>
      </c>
      <c r="N327" s="149" t="str">
        <f ca="1">IF(OR(C327="",INDIRECT("L"&amp;ROUNDUP((ROW()-6)/8,0)*8-1)=""),"",IF($P$3="否",工时测量记录表!Z326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27" s="214" t="str">
        <f ca="1">IF(COUNT(N327:N334)=0,"",SUM(N327:N334))</f>
        <v/>
      </c>
      <c r="P327" s="213"/>
    </row>
    <row r="328" spans="1:17" ht="15.6">
      <c r="A328" s="232"/>
      <c r="B328" s="229"/>
      <c r="C328" s="148" t="str">
        <f>IF(工时测量记录表!D327="","",工时测量记录表!D327)</f>
        <v/>
      </c>
      <c r="D328" s="227"/>
      <c r="E328" s="227"/>
      <c r="F328" s="227"/>
      <c r="G328" s="227"/>
      <c r="H328" s="225"/>
      <c r="I328" s="225"/>
      <c r="J328" s="225"/>
      <c r="K328" s="225"/>
      <c r="L328" s="222"/>
      <c r="M328" s="217"/>
      <c r="N328" s="149" t="str">
        <f ca="1">IF(OR(C328="",INDIRECT("L"&amp;ROUNDUP((ROW()-6)/8,0)*8-1)=""),"",IF($P$3="否",工时测量记录表!Z327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28" s="214"/>
      <c r="P328" s="213"/>
    </row>
    <row r="329" spans="1:17" ht="15.6">
      <c r="A329" s="232"/>
      <c r="B329" s="229"/>
      <c r="C329" s="148" t="str">
        <f>IF(工时测量记录表!D328="","",工时测量记录表!D328)</f>
        <v/>
      </c>
      <c r="D329" s="227"/>
      <c r="E329" s="227"/>
      <c r="F329" s="227"/>
      <c r="G329" s="227"/>
      <c r="H329" s="225"/>
      <c r="I329" s="225"/>
      <c r="J329" s="225"/>
      <c r="K329" s="225"/>
      <c r="L329" s="222"/>
      <c r="M329" s="217"/>
      <c r="N329" s="149" t="str">
        <f ca="1">IF(OR(C329="",INDIRECT("L"&amp;ROUNDUP((ROW()-6)/8,0)*8-1)=""),"",IF($P$3="否",工时测量记录表!Z328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29" s="214"/>
      <c r="P329" s="213"/>
    </row>
    <row r="330" spans="1:17" ht="15.6">
      <c r="A330" s="232"/>
      <c r="B330" s="229"/>
      <c r="C330" s="148" t="str">
        <f>IF(工时测量记录表!D329="","",工时测量记录表!D329)</f>
        <v/>
      </c>
      <c r="D330" s="227"/>
      <c r="E330" s="227"/>
      <c r="F330" s="227"/>
      <c r="G330" s="227"/>
      <c r="H330" s="225"/>
      <c r="I330" s="225"/>
      <c r="J330" s="225"/>
      <c r="K330" s="225"/>
      <c r="L330" s="222"/>
      <c r="M330" s="217"/>
      <c r="N330" s="149" t="str">
        <f ca="1">IF(OR(C330="",INDIRECT("L"&amp;ROUNDUP((ROW()-6)/8,0)*8-1)=""),"",IF($P$3="否",工时测量记录表!Z329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329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30" s="214"/>
      <c r="P330" s="213"/>
    </row>
    <row r="331" spans="1:17" ht="15.6">
      <c r="A331" s="232"/>
      <c r="B331" s="229"/>
      <c r="C331" s="148" t="str">
        <f>IF(工时测量记录表!D330="","",工时测量记录表!D330)</f>
        <v/>
      </c>
      <c r="D331" s="227"/>
      <c r="E331" s="227"/>
      <c r="F331" s="227"/>
      <c r="G331" s="227"/>
      <c r="H331" s="225"/>
      <c r="I331" s="225"/>
      <c r="J331" s="225"/>
      <c r="K331" s="225"/>
      <c r="L331" s="222"/>
      <c r="M331" s="217"/>
      <c r="N331" s="149" t="str">
        <f ca="1">IF(OR(C331="",INDIRECT("L"&amp;ROUNDUP((ROW()-6)/8,0)*8-1)=""),"",IF($P$3="否",工时测量记录表!Z330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31" s="214"/>
      <c r="P331" s="213"/>
      <c r="Q331" s="125"/>
    </row>
    <row r="332" spans="1:17" ht="15.6">
      <c r="A332" s="232"/>
      <c r="B332" s="229"/>
      <c r="C332" s="148" t="str">
        <f>IF(工时测量记录表!D331="","",工时测量记录表!D331)</f>
        <v/>
      </c>
      <c r="D332" s="227"/>
      <c r="E332" s="227"/>
      <c r="F332" s="227"/>
      <c r="G332" s="227"/>
      <c r="H332" s="225"/>
      <c r="I332" s="225"/>
      <c r="J332" s="225"/>
      <c r="K332" s="225"/>
      <c r="L332" s="222"/>
      <c r="M332" s="217"/>
      <c r="N332" s="149" t="str">
        <f ca="1">IF(OR(C332="",INDIRECT("L"&amp;ROUNDUP((ROW()-6)/8,0)*8-1)=""),"",IF($P$3="否",工时测量记录表!Z331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32" s="214"/>
      <c r="P332" s="213"/>
    </row>
    <row r="333" spans="1:17" ht="15.6">
      <c r="A333" s="232"/>
      <c r="B333" s="229"/>
      <c r="C333" s="148" t="str">
        <f>IF(工时测量记录表!D332="","",工时测量记录表!D332)</f>
        <v/>
      </c>
      <c r="D333" s="227"/>
      <c r="E333" s="227"/>
      <c r="F333" s="227"/>
      <c r="G333" s="227"/>
      <c r="H333" s="225"/>
      <c r="I333" s="225"/>
      <c r="J333" s="225"/>
      <c r="K333" s="225"/>
      <c r="L333" s="222"/>
      <c r="M333" s="217"/>
      <c r="N333" s="149" t="str">
        <f ca="1">IF(OR(C333="",INDIRECT("L"&amp;ROUNDUP((ROW()-6)/8,0)*8-1)=""),"",IF($P$3="否",工时测量记录表!Z332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33" s="214"/>
      <c r="P333" s="213"/>
    </row>
    <row r="334" spans="1:17" ht="15.6">
      <c r="A334" s="232"/>
      <c r="B334" s="229"/>
      <c r="C334" s="148" t="str">
        <f>IF(工时测量记录表!D333="","",工时测量记录表!D333)</f>
        <v/>
      </c>
      <c r="D334" s="227"/>
      <c r="E334" s="227"/>
      <c r="F334" s="227"/>
      <c r="G334" s="227"/>
      <c r="H334" s="225"/>
      <c r="I334" s="225"/>
      <c r="J334" s="225"/>
      <c r="K334" s="225"/>
      <c r="L334" s="222"/>
      <c r="M334" s="217"/>
      <c r="N334" s="149" t="str">
        <f ca="1">IF(OR(C334="",INDIRECT("L"&amp;ROUNDUP((ROW()-6)/8,0)*8-1)=""),"",IF($P$3="否",工时测量记录表!Z333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34" s="214"/>
      <c r="P334" s="213"/>
    </row>
    <row r="335" spans="1:17" ht="15.6">
      <c r="A335" s="232">
        <f>IF(工时测量记录表!A334="","",工时测量记录表!A334)</f>
        <v>42</v>
      </c>
      <c r="B335" s="229" t="str">
        <f>IF(工时测量记录表!B334="","",工时测量记录表!B334)</f>
        <v/>
      </c>
      <c r="C335" s="148" t="str">
        <f>IF(工时测量记录表!D334="","",工时测量记录表!D334)</f>
        <v/>
      </c>
      <c r="D335" s="227">
        <f t="shared" ref="D335:K335" si="40">IF($A335="","",D$7)</f>
        <v>0</v>
      </c>
      <c r="E335" s="227">
        <f t="shared" si="40"/>
        <v>0</v>
      </c>
      <c r="F335" s="227">
        <f t="shared" si="40"/>
        <v>0</v>
      </c>
      <c r="G335" s="227">
        <f t="shared" si="40"/>
        <v>0</v>
      </c>
      <c r="H335" s="225">
        <f t="shared" si="40"/>
        <v>0</v>
      </c>
      <c r="I335" s="225">
        <f t="shared" si="40"/>
        <v>0</v>
      </c>
      <c r="J335" s="225">
        <f t="shared" si="40"/>
        <v>0</v>
      </c>
      <c r="K335" s="225">
        <f t="shared" si="40"/>
        <v>0</v>
      </c>
      <c r="L335" s="222" t="str">
        <f>IF(工时测量记录表!C334="","",工时测量记录表!C334)</f>
        <v/>
      </c>
      <c r="M335" s="217">
        <v>1</v>
      </c>
      <c r="N335" s="149" t="str">
        <f ca="1">IF(OR(C335="",INDIRECT("L"&amp;ROUNDUP((ROW()-6)/8,0)*8-1)=""),"",IF($P$3="否",工时测量记录表!Z334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35" s="214" t="str">
        <f ca="1">IF(COUNT(N335:N342)=0,"",SUM(N335:N342))</f>
        <v/>
      </c>
      <c r="P335" s="213"/>
    </row>
    <row r="336" spans="1:17" ht="15.6">
      <c r="A336" s="232"/>
      <c r="B336" s="229"/>
      <c r="C336" s="148" t="str">
        <f>IF(工时测量记录表!D335="","",工时测量记录表!D335)</f>
        <v/>
      </c>
      <c r="D336" s="227"/>
      <c r="E336" s="227"/>
      <c r="F336" s="227"/>
      <c r="G336" s="227"/>
      <c r="H336" s="225"/>
      <c r="I336" s="225"/>
      <c r="J336" s="225"/>
      <c r="K336" s="225"/>
      <c r="L336" s="222"/>
      <c r="M336" s="217"/>
      <c r="N336" s="149" t="str">
        <f ca="1">IF(OR(C336="",INDIRECT("L"&amp;ROUNDUP((ROW()-6)/8,0)*8-1)=""),"",IF($P$3="否",工时测量记录表!Z335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36" s="214"/>
      <c r="P336" s="213"/>
    </row>
    <row r="337" spans="1:17" ht="15.6">
      <c r="A337" s="232"/>
      <c r="B337" s="229"/>
      <c r="C337" s="148" t="str">
        <f>IF(工时测量记录表!D336="","",工时测量记录表!D336)</f>
        <v/>
      </c>
      <c r="D337" s="227"/>
      <c r="E337" s="227"/>
      <c r="F337" s="227"/>
      <c r="G337" s="227"/>
      <c r="H337" s="225"/>
      <c r="I337" s="225"/>
      <c r="J337" s="225"/>
      <c r="K337" s="225"/>
      <c r="L337" s="222"/>
      <c r="M337" s="217"/>
      <c r="N337" s="149" t="str">
        <f ca="1">IF(OR(C337="",INDIRECT("L"&amp;ROUNDUP((ROW()-6)/8,0)*8-1)=""),"",IF($P$3="否",工时测量记录表!Z336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37" s="214"/>
      <c r="P337" s="213"/>
    </row>
    <row r="338" spans="1:17" ht="15.6">
      <c r="A338" s="232"/>
      <c r="B338" s="229"/>
      <c r="C338" s="148" t="str">
        <f>IF(工时测量记录表!D337="","",工时测量记录表!D337)</f>
        <v/>
      </c>
      <c r="D338" s="227"/>
      <c r="E338" s="227"/>
      <c r="F338" s="227"/>
      <c r="G338" s="227"/>
      <c r="H338" s="225"/>
      <c r="I338" s="225"/>
      <c r="J338" s="225"/>
      <c r="K338" s="225"/>
      <c r="L338" s="222"/>
      <c r="M338" s="217"/>
      <c r="N338" s="149" t="str">
        <f ca="1">IF(OR(C338="",INDIRECT("L"&amp;ROUNDUP((ROW()-6)/8,0)*8-1)=""),"",IF($P$3="否",工时测量记录表!Z337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38" s="214"/>
      <c r="P338" s="213"/>
    </row>
    <row r="339" spans="1:17" ht="15.6">
      <c r="A339" s="232"/>
      <c r="B339" s="229"/>
      <c r="C339" s="148" t="str">
        <f>IF(工时测量记录表!D338="","",工时测量记录表!D338)</f>
        <v/>
      </c>
      <c r="D339" s="227"/>
      <c r="E339" s="227"/>
      <c r="F339" s="227"/>
      <c r="G339" s="227"/>
      <c r="H339" s="225"/>
      <c r="I339" s="225"/>
      <c r="J339" s="225"/>
      <c r="K339" s="225"/>
      <c r="L339" s="222"/>
      <c r="M339" s="217"/>
      <c r="N339" s="149" t="str">
        <f ca="1">IF(OR(C339="",INDIRECT("L"&amp;ROUNDUP((ROW()-6)/8,0)*8-1)=""),"",IF($P$3="否",工时测量记录表!Z338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39" s="214"/>
      <c r="P339" s="213"/>
      <c r="Q339" s="125"/>
    </row>
    <row r="340" spans="1:17" ht="15.6">
      <c r="A340" s="232"/>
      <c r="B340" s="229"/>
      <c r="C340" s="148" t="str">
        <f>IF(工时测量记录表!D339="","",工时测量记录表!D339)</f>
        <v/>
      </c>
      <c r="D340" s="227"/>
      <c r="E340" s="227"/>
      <c r="F340" s="227"/>
      <c r="G340" s="227"/>
      <c r="H340" s="225"/>
      <c r="I340" s="225"/>
      <c r="J340" s="225"/>
      <c r="K340" s="225"/>
      <c r="L340" s="222"/>
      <c r="M340" s="217"/>
      <c r="N340" s="149" t="str">
        <f ca="1">IF(OR(C340="",INDIRECT("L"&amp;ROUNDUP((ROW()-6)/8,0)*8-1)=""),"",IF($P$3="否",工时测量记录表!Z339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339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40" s="214"/>
      <c r="P340" s="213"/>
    </row>
    <row r="341" spans="1:17" ht="15.6">
      <c r="A341" s="232"/>
      <c r="B341" s="229"/>
      <c r="C341" s="148" t="str">
        <f>IF(工时测量记录表!D340="","",工时测量记录表!D340)</f>
        <v/>
      </c>
      <c r="D341" s="227"/>
      <c r="E341" s="227"/>
      <c r="F341" s="227"/>
      <c r="G341" s="227"/>
      <c r="H341" s="225"/>
      <c r="I341" s="225"/>
      <c r="J341" s="225"/>
      <c r="K341" s="225"/>
      <c r="L341" s="222"/>
      <c r="M341" s="217"/>
      <c r="N341" s="149" t="str">
        <f ca="1">IF(OR(C341="",INDIRECT("L"&amp;ROUNDUP((ROW()-6)/8,0)*8-1)=""),"",IF($P$3="否",工时测量记录表!Z340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41" s="214"/>
      <c r="P341" s="213"/>
    </row>
    <row r="342" spans="1:17" ht="15.6">
      <c r="A342" s="232"/>
      <c r="B342" s="229"/>
      <c r="C342" s="148" t="str">
        <f>IF(工时测量记录表!D341="","",工时测量记录表!D341)</f>
        <v/>
      </c>
      <c r="D342" s="227"/>
      <c r="E342" s="227"/>
      <c r="F342" s="227"/>
      <c r="G342" s="227"/>
      <c r="H342" s="225"/>
      <c r="I342" s="225"/>
      <c r="J342" s="225"/>
      <c r="K342" s="225"/>
      <c r="L342" s="222"/>
      <c r="M342" s="217"/>
      <c r="N342" s="149" t="str">
        <f ca="1">IF(OR(C342="",INDIRECT("L"&amp;ROUNDUP((ROW()-6)/8,0)*8-1)=""),"",IF($P$3="否",工时测量记录表!Z341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42" s="214"/>
      <c r="P342" s="213"/>
    </row>
    <row r="343" spans="1:17" ht="15.6">
      <c r="A343" s="232">
        <f>IF(工时测量记录表!A342="","",工时测量记录表!A342)</f>
        <v>43</v>
      </c>
      <c r="B343" s="229" t="str">
        <f>IF(工时测量记录表!B342="","",工时测量记录表!B342)</f>
        <v/>
      </c>
      <c r="C343" s="148" t="str">
        <f>IF(工时测量记录表!D342="","",工时测量记录表!D343)</f>
        <v/>
      </c>
      <c r="D343" s="227">
        <f t="shared" ref="D343:K343" si="41">IF($A343="","",D$7)</f>
        <v>0</v>
      </c>
      <c r="E343" s="227">
        <f t="shared" si="41"/>
        <v>0</v>
      </c>
      <c r="F343" s="227">
        <f t="shared" si="41"/>
        <v>0</v>
      </c>
      <c r="G343" s="227">
        <f t="shared" si="41"/>
        <v>0</v>
      </c>
      <c r="H343" s="225">
        <f t="shared" si="41"/>
        <v>0</v>
      </c>
      <c r="I343" s="225">
        <f t="shared" si="41"/>
        <v>0</v>
      </c>
      <c r="J343" s="225">
        <f t="shared" si="41"/>
        <v>0</v>
      </c>
      <c r="K343" s="225">
        <f t="shared" si="41"/>
        <v>0</v>
      </c>
      <c r="L343" s="222" t="str">
        <f>IF(工时测量记录表!C342="","",工时测量记录表!C342)</f>
        <v/>
      </c>
      <c r="M343" s="217">
        <v>1</v>
      </c>
      <c r="N343" s="149" t="str">
        <f ca="1">IF(OR(C343="",INDIRECT("L"&amp;ROUNDUP((ROW()-6)/8,0)*8-1)=""),"",IF($P$3="否",工时测量记录表!Z342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43" s="214" t="str">
        <f ca="1">IF(COUNT(N343:N350)=0,"",SUM(N343:N350))</f>
        <v/>
      </c>
      <c r="P343" s="213"/>
    </row>
    <row r="344" spans="1:17" ht="15.6">
      <c r="A344" s="232"/>
      <c r="B344" s="229"/>
      <c r="C344" s="148" t="str">
        <f>IF(工时测量记录表!D343="","",工时测量记录表!D344)</f>
        <v/>
      </c>
      <c r="D344" s="227"/>
      <c r="E344" s="227"/>
      <c r="F344" s="227"/>
      <c r="G344" s="227"/>
      <c r="H344" s="225"/>
      <c r="I344" s="225"/>
      <c r="J344" s="225"/>
      <c r="K344" s="225"/>
      <c r="L344" s="222"/>
      <c r="M344" s="217"/>
      <c r="N344" s="149" t="str">
        <f ca="1">IF(OR(C344="",INDIRECT("L"&amp;ROUNDUP((ROW()-6)/8,0)*8-1)=""),"",IF($P$3="否",工时测量记录表!Z343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44" s="214"/>
      <c r="P344" s="213"/>
    </row>
    <row r="345" spans="1:17" ht="15.6">
      <c r="A345" s="232"/>
      <c r="B345" s="229"/>
      <c r="C345" s="148" t="str">
        <f>IF(工时测量记录表!D344="","",工时测量记录表!D345)</f>
        <v/>
      </c>
      <c r="D345" s="227"/>
      <c r="E345" s="227"/>
      <c r="F345" s="227"/>
      <c r="G345" s="227"/>
      <c r="H345" s="225"/>
      <c r="I345" s="225"/>
      <c r="J345" s="225"/>
      <c r="K345" s="225"/>
      <c r="L345" s="222"/>
      <c r="M345" s="217"/>
      <c r="N345" s="149" t="str">
        <f ca="1">IF(OR(C345="",INDIRECT("L"&amp;ROUNDUP((ROW()-6)/8,0)*8-1)=""),"",IF($P$3="否",工时测量记录表!Z344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45" s="214"/>
      <c r="P345" s="213"/>
    </row>
    <row r="346" spans="1:17" ht="15.6">
      <c r="A346" s="232"/>
      <c r="B346" s="229"/>
      <c r="C346" s="148" t="str">
        <f>IF(工时测量记录表!D345="","",工时测量记录表!D345)</f>
        <v/>
      </c>
      <c r="D346" s="227"/>
      <c r="E346" s="227"/>
      <c r="F346" s="227"/>
      <c r="G346" s="227"/>
      <c r="H346" s="225"/>
      <c r="I346" s="225"/>
      <c r="J346" s="225"/>
      <c r="K346" s="225"/>
      <c r="L346" s="222"/>
      <c r="M346" s="217"/>
      <c r="N346" s="149" t="str">
        <f ca="1">IF(OR(C346="",INDIRECT("L"&amp;ROUNDUP((ROW()-6)/8,0)*8-1)=""),"",IF($P$3="否",工时测量记录表!Z345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46" s="214"/>
      <c r="P346" s="213"/>
    </row>
    <row r="347" spans="1:17" ht="15.6">
      <c r="A347" s="232"/>
      <c r="B347" s="229"/>
      <c r="C347" s="148" t="str">
        <f>IF(工时测量记录表!D346="","",工时测量记录表!D346)</f>
        <v/>
      </c>
      <c r="D347" s="227"/>
      <c r="E347" s="227"/>
      <c r="F347" s="227"/>
      <c r="G347" s="227"/>
      <c r="H347" s="225"/>
      <c r="I347" s="225"/>
      <c r="J347" s="225"/>
      <c r="K347" s="225"/>
      <c r="L347" s="222"/>
      <c r="M347" s="217"/>
      <c r="N347" s="149" t="str">
        <f ca="1">IF(OR(C347="",INDIRECT("L"&amp;ROUNDUP((ROW()-6)/8,0)*8-1)=""),"",IF($P$3="否",工时测量记录表!Z346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47" s="214"/>
      <c r="P347" s="213"/>
      <c r="Q347" s="125"/>
    </row>
    <row r="348" spans="1:17" ht="15.6">
      <c r="A348" s="232"/>
      <c r="B348" s="229"/>
      <c r="C348" s="148" t="str">
        <f>IF(工时测量记录表!D347="","",工时测量记录表!D347)</f>
        <v/>
      </c>
      <c r="D348" s="227"/>
      <c r="E348" s="227"/>
      <c r="F348" s="227"/>
      <c r="G348" s="227"/>
      <c r="H348" s="225"/>
      <c r="I348" s="225"/>
      <c r="J348" s="225"/>
      <c r="K348" s="225"/>
      <c r="L348" s="222"/>
      <c r="M348" s="217"/>
      <c r="N348" s="149" t="str">
        <f ca="1">IF(OR(C348="",INDIRECT("L"&amp;ROUNDUP((ROW()-6)/8,0)*8-1)=""),"",IF($P$3="否",工时测量记录表!Z347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48" s="214"/>
      <c r="P348" s="213"/>
    </row>
    <row r="349" spans="1:17" ht="15.6">
      <c r="A349" s="232"/>
      <c r="B349" s="229"/>
      <c r="C349" s="148" t="str">
        <f>IF(工时测量记录表!D348="","",工时测量记录表!D348)</f>
        <v/>
      </c>
      <c r="D349" s="227"/>
      <c r="E349" s="227"/>
      <c r="F349" s="227"/>
      <c r="G349" s="227"/>
      <c r="H349" s="225"/>
      <c r="I349" s="225"/>
      <c r="J349" s="225"/>
      <c r="K349" s="225"/>
      <c r="L349" s="222"/>
      <c r="M349" s="217"/>
      <c r="N349" s="149" t="str">
        <f ca="1">IF(OR(C349="",INDIRECT("L"&amp;ROUNDUP((ROW()-6)/8,0)*8-1)=""),"",IF($P$3="否",工时测量记录表!Z348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49" s="214"/>
      <c r="P349" s="213"/>
    </row>
    <row r="350" spans="1:17" ht="15.6">
      <c r="A350" s="232"/>
      <c r="B350" s="229"/>
      <c r="C350" s="148" t="str">
        <f>IF(工时测量记录表!D349="","",工时测量记录表!D349)</f>
        <v/>
      </c>
      <c r="D350" s="227"/>
      <c r="E350" s="227"/>
      <c r="F350" s="227"/>
      <c r="G350" s="227"/>
      <c r="H350" s="225"/>
      <c r="I350" s="225"/>
      <c r="J350" s="225"/>
      <c r="K350" s="225"/>
      <c r="L350" s="222"/>
      <c r="M350" s="217"/>
      <c r="N350" s="149" t="str">
        <f ca="1">IF(OR(C350="",INDIRECT("L"&amp;ROUNDUP((ROW()-6)/8,0)*8-1)=""),"",IF($P$3="否",工时测量记录表!Z349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349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50" s="214"/>
      <c r="P350" s="213"/>
    </row>
    <row r="351" spans="1:17" ht="15.6">
      <c r="A351" s="232">
        <f>IF(工时测量记录表!A350="","",工时测量记录表!A350)</f>
        <v>44</v>
      </c>
      <c r="B351" s="229" t="str">
        <f>IF(工时测量记录表!B350="","",工时测量记录表!B350)</f>
        <v/>
      </c>
      <c r="C351" s="148" t="str">
        <f>IF(工时测量记录表!D350="","",工时测量记录表!D350)</f>
        <v/>
      </c>
      <c r="D351" s="227">
        <f t="shared" ref="D351:K351" si="42">IF($A351="","",D$7)</f>
        <v>0</v>
      </c>
      <c r="E351" s="227">
        <f t="shared" si="42"/>
        <v>0</v>
      </c>
      <c r="F351" s="227">
        <f t="shared" si="42"/>
        <v>0</v>
      </c>
      <c r="G351" s="227">
        <f t="shared" si="42"/>
        <v>0</v>
      </c>
      <c r="H351" s="225">
        <f t="shared" si="42"/>
        <v>0</v>
      </c>
      <c r="I351" s="225">
        <f t="shared" si="42"/>
        <v>0</v>
      </c>
      <c r="J351" s="225">
        <f t="shared" si="42"/>
        <v>0</v>
      </c>
      <c r="K351" s="225">
        <f t="shared" si="42"/>
        <v>0</v>
      </c>
      <c r="L351" s="222" t="str">
        <f>IF(工时测量记录表!C350="","",工时测量记录表!C350)</f>
        <v/>
      </c>
      <c r="M351" s="217">
        <v>1</v>
      </c>
      <c r="N351" s="149" t="str">
        <f ca="1">IF(OR(C351="",INDIRECT("L"&amp;ROUNDUP((ROW()-6)/8,0)*8-1)=""),"",IF($P$3="否",工时测量记录表!Z350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51" s="214" t="str">
        <f ca="1">IF(COUNT(N351:N358)=0,"",SUM(N351:N358))</f>
        <v/>
      </c>
      <c r="P351" s="213"/>
    </row>
    <row r="352" spans="1:17" ht="15.6">
      <c r="A352" s="232"/>
      <c r="B352" s="229"/>
      <c r="C352" s="148" t="str">
        <f>IF(工时测量记录表!D351="","",工时测量记录表!D351)</f>
        <v/>
      </c>
      <c r="D352" s="227"/>
      <c r="E352" s="227"/>
      <c r="F352" s="227"/>
      <c r="G352" s="227"/>
      <c r="H352" s="225"/>
      <c r="I352" s="225"/>
      <c r="J352" s="225"/>
      <c r="K352" s="225"/>
      <c r="L352" s="222"/>
      <c r="M352" s="217"/>
      <c r="N352" s="149" t="str">
        <f ca="1">IF(OR(C352="",INDIRECT("L"&amp;ROUNDUP((ROW()-6)/8,0)*8-1)=""),"",IF($P$3="否",工时测量记录表!Z351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52" s="214"/>
      <c r="P352" s="213"/>
    </row>
    <row r="353" spans="1:17" ht="15.6">
      <c r="A353" s="232"/>
      <c r="B353" s="229"/>
      <c r="C353" s="148" t="str">
        <f>IF(工时测量记录表!D352="","",工时测量记录表!D352)</f>
        <v/>
      </c>
      <c r="D353" s="227"/>
      <c r="E353" s="227"/>
      <c r="F353" s="227"/>
      <c r="G353" s="227"/>
      <c r="H353" s="225"/>
      <c r="I353" s="225"/>
      <c r="J353" s="225"/>
      <c r="K353" s="225"/>
      <c r="L353" s="222"/>
      <c r="M353" s="217"/>
      <c r="N353" s="149" t="str">
        <f ca="1">IF(OR(C353="",INDIRECT("L"&amp;ROUNDUP((ROW()-6)/8,0)*8-1)=""),"",IF($P$3="否",工时测量记录表!Z352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53" s="214"/>
      <c r="P353" s="213"/>
    </row>
    <row r="354" spans="1:17" ht="15.6">
      <c r="A354" s="232"/>
      <c r="B354" s="229"/>
      <c r="C354" s="148" t="str">
        <f>IF(工时测量记录表!D353="","",工时测量记录表!D353)</f>
        <v/>
      </c>
      <c r="D354" s="227"/>
      <c r="E354" s="227"/>
      <c r="F354" s="227"/>
      <c r="G354" s="227"/>
      <c r="H354" s="225"/>
      <c r="I354" s="225"/>
      <c r="J354" s="225"/>
      <c r="K354" s="225"/>
      <c r="L354" s="222"/>
      <c r="M354" s="217"/>
      <c r="N354" s="149" t="str">
        <f ca="1">IF(OR(C354="",INDIRECT("L"&amp;ROUNDUP((ROW()-6)/8,0)*8-1)=""),"",IF($P$3="否",工时测量记录表!Z353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54" s="214"/>
      <c r="P354" s="213"/>
    </row>
    <row r="355" spans="1:17" ht="15.6">
      <c r="A355" s="232"/>
      <c r="B355" s="229"/>
      <c r="C355" s="148" t="str">
        <f>IF(工时测量记录表!D354="","",工时测量记录表!D354)</f>
        <v/>
      </c>
      <c r="D355" s="227"/>
      <c r="E355" s="227"/>
      <c r="F355" s="227"/>
      <c r="G355" s="227"/>
      <c r="H355" s="225"/>
      <c r="I355" s="225"/>
      <c r="J355" s="225"/>
      <c r="K355" s="225"/>
      <c r="L355" s="222"/>
      <c r="M355" s="217"/>
      <c r="N355" s="149" t="str">
        <f ca="1">IF(OR(C355="",INDIRECT("L"&amp;ROUNDUP((ROW()-6)/8,0)*8-1)=""),"",IF($P$3="否",工时测量记录表!Z354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55" s="214"/>
      <c r="P355" s="213"/>
      <c r="Q355" s="125"/>
    </row>
    <row r="356" spans="1:17" ht="15.6">
      <c r="A356" s="232"/>
      <c r="B356" s="229"/>
      <c r="C356" s="148" t="str">
        <f>IF(工时测量记录表!D355="","",工时测量记录表!D355)</f>
        <v/>
      </c>
      <c r="D356" s="227"/>
      <c r="E356" s="227"/>
      <c r="F356" s="227"/>
      <c r="G356" s="227"/>
      <c r="H356" s="225"/>
      <c r="I356" s="225"/>
      <c r="J356" s="225"/>
      <c r="K356" s="225"/>
      <c r="L356" s="222"/>
      <c r="M356" s="217"/>
      <c r="N356" s="149" t="str">
        <f ca="1">IF(OR(C356="",INDIRECT("L"&amp;ROUNDUP((ROW()-6)/8,0)*8-1)=""),"",IF($P$3="否",工时测量记录表!Z355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56" s="214"/>
      <c r="P356" s="213"/>
    </row>
    <row r="357" spans="1:17" ht="15.6">
      <c r="A357" s="232"/>
      <c r="B357" s="229"/>
      <c r="C357" s="148" t="str">
        <f>IF(工时测量记录表!D356="","",工时测量记录表!D356)</f>
        <v/>
      </c>
      <c r="D357" s="227"/>
      <c r="E357" s="227"/>
      <c r="F357" s="227"/>
      <c r="G357" s="227"/>
      <c r="H357" s="225"/>
      <c r="I357" s="225"/>
      <c r="J357" s="225"/>
      <c r="K357" s="225"/>
      <c r="L357" s="222"/>
      <c r="M357" s="217"/>
      <c r="N357" s="149" t="str">
        <f ca="1">IF(OR(C357="",INDIRECT("L"&amp;ROUNDUP((ROW()-6)/8,0)*8-1)=""),"",IF($P$3="否",工时测量记录表!Z356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57" s="214"/>
      <c r="P357" s="213"/>
    </row>
    <row r="358" spans="1:17" ht="15.6">
      <c r="A358" s="232"/>
      <c r="B358" s="229"/>
      <c r="C358" s="148" t="str">
        <f>IF(工时测量记录表!D357="","",工时测量记录表!D357)</f>
        <v/>
      </c>
      <c r="D358" s="227"/>
      <c r="E358" s="227"/>
      <c r="F358" s="227"/>
      <c r="G358" s="227"/>
      <c r="H358" s="225"/>
      <c r="I358" s="225"/>
      <c r="J358" s="225"/>
      <c r="K358" s="225"/>
      <c r="L358" s="222"/>
      <c r="M358" s="217"/>
      <c r="N358" s="149" t="str">
        <f ca="1">IF(OR(C358="",INDIRECT("L"&amp;ROUNDUP((ROW()-6)/8,0)*8-1)=""),"",IF($P$3="否",工时测量记录表!Z357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58" s="214"/>
      <c r="P358" s="213"/>
    </row>
    <row r="359" spans="1:17" ht="15.6">
      <c r="A359" s="232">
        <f>IF(工时测量记录表!A358="","",工时测量记录表!A358)</f>
        <v>45</v>
      </c>
      <c r="B359" s="229" t="str">
        <f>IF(工时测量记录表!B358="","",工时测量记录表!B358)</f>
        <v/>
      </c>
      <c r="C359" s="148" t="str">
        <f>IF(工时测量记录表!D358="","",工时测量记录表!D358)</f>
        <v/>
      </c>
      <c r="D359" s="227">
        <f t="shared" ref="D359:K359" si="43">IF($A359="","",D$7)</f>
        <v>0</v>
      </c>
      <c r="E359" s="227">
        <f t="shared" si="43"/>
        <v>0</v>
      </c>
      <c r="F359" s="227">
        <f t="shared" si="43"/>
        <v>0</v>
      </c>
      <c r="G359" s="227">
        <f t="shared" si="43"/>
        <v>0</v>
      </c>
      <c r="H359" s="225">
        <f t="shared" si="43"/>
        <v>0</v>
      </c>
      <c r="I359" s="225">
        <f t="shared" si="43"/>
        <v>0</v>
      </c>
      <c r="J359" s="225">
        <f t="shared" si="43"/>
        <v>0</v>
      </c>
      <c r="K359" s="225">
        <f t="shared" si="43"/>
        <v>0</v>
      </c>
      <c r="L359" s="222" t="str">
        <f>IF(工时测量记录表!C358="","",工时测量记录表!C358)</f>
        <v/>
      </c>
      <c r="M359" s="217">
        <v>1</v>
      </c>
      <c r="N359" s="149" t="str">
        <f ca="1">IF(OR(C359="",INDIRECT("L"&amp;ROUNDUP((ROW()-6)/8,0)*8-1)=""),"",IF($P$3="否",工时测量记录表!Z358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59" s="214" t="str">
        <f ca="1">IF(COUNT(N359:N366)=0,"",SUM(N359:N366))</f>
        <v/>
      </c>
      <c r="P359" s="213"/>
    </row>
    <row r="360" spans="1:17" ht="15.6">
      <c r="A360" s="232"/>
      <c r="B360" s="229"/>
      <c r="C360" s="148" t="str">
        <f>IF(工时测量记录表!D359="","",工时测量记录表!D359)</f>
        <v/>
      </c>
      <c r="D360" s="227"/>
      <c r="E360" s="227"/>
      <c r="F360" s="227"/>
      <c r="G360" s="227"/>
      <c r="H360" s="225"/>
      <c r="I360" s="225"/>
      <c r="J360" s="225"/>
      <c r="K360" s="225"/>
      <c r="L360" s="222"/>
      <c r="M360" s="217"/>
      <c r="N360" s="149" t="str">
        <f ca="1">IF(OR(C360="",INDIRECT("L"&amp;ROUNDUP((ROW()-6)/8,0)*8-1)=""),"",IF($P$3="否",工时测量记录表!Z359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359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60" s="214"/>
      <c r="P360" s="213"/>
    </row>
    <row r="361" spans="1:17" ht="15.6">
      <c r="A361" s="232"/>
      <c r="B361" s="229"/>
      <c r="C361" s="148" t="str">
        <f>IF(工时测量记录表!D360="","",工时测量记录表!D360)</f>
        <v/>
      </c>
      <c r="D361" s="227"/>
      <c r="E361" s="227"/>
      <c r="F361" s="227"/>
      <c r="G361" s="227"/>
      <c r="H361" s="225"/>
      <c r="I361" s="225"/>
      <c r="J361" s="225"/>
      <c r="K361" s="225"/>
      <c r="L361" s="222"/>
      <c r="M361" s="217"/>
      <c r="N361" s="149" t="str">
        <f ca="1">IF(OR(C361="",INDIRECT("L"&amp;ROUNDUP((ROW()-6)/8,0)*8-1)=""),"",IF($P$3="否",工时测量记录表!Z360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61" s="214"/>
      <c r="P361" s="213"/>
    </row>
    <row r="362" spans="1:17" ht="15.6">
      <c r="A362" s="232"/>
      <c r="B362" s="229"/>
      <c r="C362" s="148" t="str">
        <f>IF(工时测量记录表!D361="","",工时测量记录表!D361)</f>
        <v/>
      </c>
      <c r="D362" s="227"/>
      <c r="E362" s="227"/>
      <c r="F362" s="227"/>
      <c r="G362" s="227"/>
      <c r="H362" s="225"/>
      <c r="I362" s="225"/>
      <c r="J362" s="225"/>
      <c r="K362" s="225"/>
      <c r="L362" s="222"/>
      <c r="M362" s="217"/>
      <c r="N362" s="149" t="str">
        <f ca="1">IF(OR(C362="",INDIRECT("L"&amp;ROUNDUP((ROW()-6)/8,0)*8-1)=""),"",IF($P$3="否",工时测量记录表!Z361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62" s="214"/>
      <c r="P362" s="213"/>
    </row>
    <row r="363" spans="1:17" ht="15.6">
      <c r="A363" s="232"/>
      <c r="B363" s="229"/>
      <c r="C363" s="148" t="str">
        <f>IF(工时测量记录表!D362="","",工时测量记录表!D362)</f>
        <v/>
      </c>
      <c r="D363" s="227"/>
      <c r="E363" s="227"/>
      <c r="F363" s="227"/>
      <c r="G363" s="227"/>
      <c r="H363" s="225"/>
      <c r="I363" s="225"/>
      <c r="J363" s="225"/>
      <c r="K363" s="225"/>
      <c r="L363" s="222"/>
      <c r="M363" s="217"/>
      <c r="N363" s="149" t="str">
        <f ca="1">IF(OR(C363="",INDIRECT("L"&amp;ROUNDUP((ROW()-6)/8,0)*8-1)=""),"",IF($P$3="否",工时测量记录表!Z362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63" s="214"/>
      <c r="P363" s="213"/>
      <c r="Q363" s="125"/>
    </row>
    <row r="364" spans="1:17" ht="15.6">
      <c r="A364" s="232"/>
      <c r="B364" s="229"/>
      <c r="C364" s="148" t="str">
        <f>IF(工时测量记录表!D363="","",工时测量记录表!D363)</f>
        <v/>
      </c>
      <c r="D364" s="227"/>
      <c r="E364" s="227"/>
      <c r="F364" s="227"/>
      <c r="G364" s="227"/>
      <c r="H364" s="225"/>
      <c r="I364" s="225"/>
      <c r="J364" s="225"/>
      <c r="K364" s="225"/>
      <c r="L364" s="222"/>
      <c r="M364" s="217"/>
      <c r="N364" s="149" t="str">
        <f ca="1">IF(OR(C364="",INDIRECT("L"&amp;ROUNDUP((ROW()-6)/8,0)*8-1)=""),"",IF($P$3="否",工时测量记录表!Z363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64" s="214"/>
      <c r="P364" s="213"/>
    </row>
    <row r="365" spans="1:17" ht="15.6">
      <c r="A365" s="232"/>
      <c r="B365" s="229"/>
      <c r="C365" s="148" t="str">
        <f>IF(工时测量记录表!D364="","",工时测量记录表!D364)</f>
        <v/>
      </c>
      <c r="D365" s="227"/>
      <c r="E365" s="227"/>
      <c r="F365" s="227"/>
      <c r="G365" s="227"/>
      <c r="H365" s="225"/>
      <c r="I365" s="225"/>
      <c r="J365" s="225"/>
      <c r="K365" s="225"/>
      <c r="L365" s="222"/>
      <c r="M365" s="217"/>
      <c r="N365" s="149" t="str">
        <f ca="1">IF(OR(C365="",INDIRECT("L"&amp;ROUNDUP((ROW()-6)/8,0)*8-1)=""),"",IF($P$3="否",工时测量记录表!Z364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65" s="214"/>
      <c r="P365" s="213"/>
    </row>
    <row r="366" spans="1:17" ht="15.6">
      <c r="A366" s="232"/>
      <c r="B366" s="229"/>
      <c r="C366" s="148" t="str">
        <f>IF(工时测量记录表!D365="","",工时测量记录表!D365)</f>
        <v/>
      </c>
      <c r="D366" s="227"/>
      <c r="E366" s="227"/>
      <c r="F366" s="227"/>
      <c r="G366" s="227"/>
      <c r="H366" s="225"/>
      <c r="I366" s="225"/>
      <c r="J366" s="225"/>
      <c r="K366" s="225"/>
      <c r="L366" s="222"/>
      <c r="M366" s="217"/>
      <c r="N366" s="149" t="str">
        <f ca="1">IF(OR(C366="",INDIRECT("L"&amp;ROUNDUP((ROW()-6)/8,0)*8-1)=""),"",IF($P$3="否",工时测量记录表!Z365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66" s="214"/>
      <c r="P366" s="213"/>
    </row>
    <row r="367" spans="1:17" ht="15.6">
      <c r="A367" s="232">
        <f>IF(工时测量记录表!A366="","",工时测量记录表!A366)</f>
        <v>46</v>
      </c>
      <c r="B367" s="229" t="str">
        <f>IF(工时测量记录表!B366="","",工时测量记录表!B366)</f>
        <v/>
      </c>
      <c r="C367" s="148" t="str">
        <f>IF(工时测量记录表!D366="","",工时测量记录表!D366)</f>
        <v/>
      </c>
      <c r="D367" s="227">
        <f t="shared" ref="D367:K367" si="44">IF($A367="","",D$7)</f>
        <v>0</v>
      </c>
      <c r="E367" s="227">
        <f t="shared" si="44"/>
        <v>0</v>
      </c>
      <c r="F367" s="227">
        <f t="shared" si="44"/>
        <v>0</v>
      </c>
      <c r="G367" s="227">
        <f t="shared" si="44"/>
        <v>0</v>
      </c>
      <c r="H367" s="225">
        <f t="shared" si="44"/>
        <v>0</v>
      </c>
      <c r="I367" s="225">
        <f t="shared" si="44"/>
        <v>0</v>
      </c>
      <c r="J367" s="225">
        <f t="shared" si="44"/>
        <v>0</v>
      </c>
      <c r="K367" s="225">
        <f t="shared" si="44"/>
        <v>0</v>
      </c>
      <c r="L367" s="222" t="str">
        <f>IF(工时测量记录表!C366="","",工时测量记录表!C366)</f>
        <v/>
      </c>
      <c r="M367" s="217">
        <v>1</v>
      </c>
      <c r="N367" s="149" t="str">
        <f ca="1">IF(OR(C367="",INDIRECT("L"&amp;ROUNDUP((ROW()-6)/8,0)*8-1)=""),"",IF($P$3="否",工时测量记录表!Z366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67" s="214" t="str">
        <f ca="1">IF(COUNT(N367:N374)=0,"",SUM(N367:N374))</f>
        <v/>
      </c>
      <c r="P367" s="213"/>
    </row>
    <row r="368" spans="1:17" ht="15.6">
      <c r="A368" s="232"/>
      <c r="B368" s="229"/>
      <c r="C368" s="148" t="str">
        <f>IF(工时测量记录表!D367="","",工时测量记录表!D367)</f>
        <v/>
      </c>
      <c r="D368" s="227"/>
      <c r="E368" s="227"/>
      <c r="F368" s="227"/>
      <c r="G368" s="227"/>
      <c r="H368" s="225"/>
      <c r="I368" s="225"/>
      <c r="J368" s="225"/>
      <c r="K368" s="225"/>
      <c r="L368" s="222"/>
      <c r="M368" s="217"/>
      <c r="N368" s="149" t="str">
        <f ca="1">IF(OR(C368="",INDIRECT("L"&amp;ROUNDUP((ROW()-6)/8,0)*8-1)=""),"",IF($P$3="否",工时测量记录表!Z367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68" s="214"/>
      <c r="P368" s="213"/>
    </row>
    <row r="369" spans="1:17" ht="15.6">
      <c r="A369" s="232"/>
      <c r="B369" s="229"/>
      <c r="C369" s="148" t="str">
        <f>IF(工时测量记录表!D368="","",工时测量记录表!D368)</f>
        <v/>
      </c>
      <c r="D369" s="227"/>
      <c r="E369" s="227"/>
      <c r="F369" s="227"/>
      <c r="G369" s="227"/>
      <c r="H369" s="225"/>
      <c r="I369" s="225"/>
      <c r="J369" s="225"/>
      <c r="K369" s="225"/>
      <c r="L369" s="222"/>
      <c r="M369" s="217"/>
      <c r="N369" s="149" t="str">
        <f ca="1">IF(OR(C369="",INDIRECT("L"&amp;ROUNDUP((ROW()-6)/8,0)*8-1)=""),"",IF($P$3="否",工时测量记录表!Z368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69" s="214"/>
      <c r="P369" s="213"/>
    </row>
    <row r="370" spans="1:17" ht="15.6">
      <c r="A370" s="232"/>
      <c r="B370" s="229"/>
      <c r="C370" s="148" t="str">
        <f>IF(工时测量记录表!D369="","",工时测量记录表!D369)</f>
        <v/>
      </c>
      <c r="D370" s="227"/>
      <c r="E370" s="227"/>
      <c r="F370" s="227"/>
      <c r="G370" s="227"/>
      <c r="H370" s="225"/>
      <c r="I370" s="225"/>
      <c r="J370" s="225"/>
      <c r="K370" s="225"/>
      <c r="L370" s="222"/>
      <c r="M370" s="217"/>
      <c r="N370" s="149" t="str">
        <f ca="1">IF(OR(C370="",INDIRECT("L"&amp;ROUNDUP((ROW()-6)/8,0)*8-1)=""),"",IF($P$3="否",工时测量记录表!Z369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369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70" s="214"/>
      <c r="P370" s="213"/>
    </row>
    <row r="371" spans="1:17" ht="15.6">
      <c r="A371" s="232"/>
      <c r="B371" s="229"/>
      <c r="C371" s="148" t="str">
        <f>IF(工时测量记录表!D370="","",工时测量记录表!D370)</f>
        <v/>
      </c>
      <c r="D371" s="227"/>
      <c r="E371" s="227"/>
      <c r="F371" s="227"/>
      <c r="G371" s="227"/>
      <c r="H371" s="225"/>
      <c r="I371" s="225"/>
      <c r="J371" s="225"/>
      <c r="K371" s="225"/>
      <c r="L371" s="222"/>
      <c r="M371" s="217"/>
      <c r="N371" s="149" t="str">
        <f ca="1">IF(OR(C371="",INDIRECT("L"&amp;ROUNDUP((ROW()-6)/8,0)*8-1)=""),"",IF($P$3="否",工时测量记录表!Z370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71" s="214"/>
      <c r="P371" s="213"/>
      <c r="Q371" s="125"/>
    </row>
    <row r="372" spans="1:17" ht="15.6">
      <c r="A372" s="232"/>
      <c r="B372" s="229"/>
      <c r="C372" s="148" t="str">
        <f>IF(工时测量记录表!D371="","",工时测量记录表!D371)</f>
        <v/>
      </c>
      <c r="D372" s="227"/>
      <c r="E372" s="227"/>
      <c r="F372" s="227"/>
      <c r="G372" s="227"/>
      <c r="H372" s="225"/>
      <c r="I372" s="225"/>
      <c r="J372" s="225"/>
      <c r="K372" s="225"/>
      <c r="L372" s="222"/>
      <c r="M372" s="217"/>
      <c r="N372" s="149" t="str">
        <f ca="1">IF(OR(C372="",INDIRECT("L"&amp;ROUNDUP((ROW()-6)/8,0)*8-1)=""),"",IF($P$3="否",工时测量记录表!Z371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72" s="214"/>
      <c r="P372" s="213"/>
    </row>
    <row r="373" spans="1:17" ht="15.6">
      <c r="A373" s="232"/>
      <c r="B373" s="229"/>
      <c r="C373" s="148" t="str">
        <f>IF(工时测量记录表!D372="","",工时测量记录表!D372)</f>
        <v/>
      </c>
      <c r="D373" s="227"/>
      <c r="E373" s="227"/>
      <c r="F373" s="227"/>
      <c r="G373" s="227"/>
      <c r="H373" s="225"/>
      <c r="I373" s="225"/>
      <c r="J373" s="225"/>
      <c r="K373" s="225"/>
      <c r="L373" s="222"/>
      <c r="M373" s="217"/>
      <c r="N373" s="149" t="str">
        <f ca="1">IF(OR(C373="",INDIRECT("L"&amp;ROUNDUP((ROW()-6)/8,0)*8-1)=""),"",IF($P$3="否",工时测量记录表!Z372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73" s="214"/>
      <c r="P373" s="213"/>
    </row>
    <row r="374" spans="1:17" ht="15.6">
      <c r="A374" s="232"/>
      <c r="B374" s="229"/>
      <c r="C374" s="148" t="str">
        <f>IF(工时测量记录表!D373="","",工时测量记录表!D373)</f>
        <v/>
      </c>
      <c r="D374" s="227"/>
      <c r="E374" s="227"/>
      <c r="F374" s="227"/>
      <c r="G374" s="227"/>
      <c r="H374" s="225"/>
      <c r="I374" s="225"/>
      <c r="J374" s="225"/>
      <c r="K374" s="225"/>
      <c r="L374" s="222"/>
      <c r="M374" s="217"/>
      <c r="N374" s="149" t="str">
        <f ca="1">IF(OR(C374="",INDIRECT("L"&amp;ROUNDUP((ROW()-6)/8,0)*8-1)=""),"",IF($P$3="否",工时测量记录表!Z373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74" s="214"/>
      <c r="P374" s="213"/>
    </row>
    <row r="375" spans="1:17" ht="15.6">
      <c r="A375" s="232">
        <f>IF(工时测量记录表!A374="","",工时测量记录表!A374)</f>
        <v>47</v>
      </c>
      <c r="B375" s="229" t="str">
        <f>IF(工时测量记录表!B374="","",工时测量记录表!B374)</f>
        <v/>
      </c>
      <c r="C375" s="148" t="str">
        <f>IF(工时测量记录表!D374="","",工时测量记录表!D374)</f>
        <v/>
      </c>
      <c r="D375" s="227">
        <f t="shared" ref="D375:K375" si="45">IF($A375="","",D$7)</f>
        <v>0</v>
      </c>
      <c r="E375" s="227">
        <f t="shared" si="45"/>
        <v>0</v>
      </c>
      <c r="F375" s="227">
        <f t="shared" si="45"/>
        <v>0</v>
      </c>
      <c r="G375" s="227">
        <f t="shared" si="45"/>
        <v>0</v>
      </c>
      <c r="H375" s="225">
        <f t="shared" si="45"/>
        <v>0</v>
      </c>
      <c r="I375" s="225">
        <f t="shared" si="45"/>
        <v>0</v>
      </c>
      <c r="J375" s="225">
        <f t="shared" si="45"/>
        <v>0</v>
      </c>
      <c r="K375" s="225">
        <f t="shared" si="45"/>
        <v>0</v>
      </c>
      <c r="L375" s="222" t="str">
        <f>IF(工时测量记录表!C374="","",工时测量记录表!C374)</f>
        <v/>
      </c>
      <c r="M375" s="217">
        <v>1</v>
      </c>
      <c r="N375" s="149" t="str">
        <f ca="1">IF(OR(C375="",INDIRECT("L"&amp;ROUNDUP((ROW()-6)/8,0)*8-1)=""),"",IF($P$3="否",工时测量记录表!Z374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75" s="214" t="str">
        <f ca="1">IF(COUNT(N375:N382)=0,"",SUM(N375:N382))</f>
        <v/>
      </c>
      <c r="P375" s="213"/>
    </row>
    <row r="376" spans="1:17" ht="15.6">
      <c r="A376" s="232"/>
      <c r="B376" s="229"/>
      <c r="C376" s="148" t="str">
        <f>IF(工时测量记录表!D375="","",工时测量记录表!D375)</f>
        <v/>
      </c>
      <c r="D376" s="227"/>
      <c r="E376" s="227"/>
      <c r="F376" s="227"/>
      <c r="G376" s="227"/>
      <c r="H376" s="225"/>
      <c r="I376" s="225"/>
      <c r="J376" s="225"/>
      <c r="K376" s="225"/>
      <c r="L376" s="222"/>
      <c r="M376" s="217"/>
      <c r="N376" s="149" t="str">
        <f ca="1">IF(OR(C376="",INDIRECT("L"&amp;ROUNDUP((ROW()-6)/8,0)*8-1)=""),"",IF($P$3="否",工时测量记录表!Z375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76" s="214"/>
      <c r="P376" s="213"/>
    </row>
    <row r="377" spans="1:17" ht="15.6">
      <c r="A377" s="232"/>
      <c r="B377" s="229"/>
      <c r="C377" s="148" t="str">
        <f>IF(工时测量记录表!D376="","",工时测量记录表!D376)</f>
        <v/>
      </c>
      <c r="D377" s="227"/>
      <c r="E377" s="227"/>
      <c r="F377" s="227"/>
      <c r="G377" s="227"/>
      <c r="H377" s="225"/>
      <c r="I377" s="225"/>
      <c r="J377" s="225"/>
      <c r="K377" s="225"/>
      <c r="L377" s="222"/>
      <c r="M377" s="217"/>
      <c r="N377" s="149" t="str">
        <f ca="1">IF(OR(C377="",INDIRECT("L"&amp;ROUNDUP((ROW()-6)/8,0)*8-1)=""),"",IF($P$3="否",工时测量记录表!Z376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77" s="214"/>
      <c r="P377" s="213"/>
    </row>
    <row r="378" spans="1:17" ht="15.6">
      <c r="A378" s="232"/>
      <c r="B378" s="229"/>
      <c r="C378" s="148" t="str">
        <f>IF(工时测量记录表!D377="","",工时测量记录表!D377)</f>
        <v/>
      </c>
      <c r="D378" s="227"/>
      <c r="E378" s="227"/>
      <c r="F378" s="227"/>
      <c r="G378" s="227"/>
      <c r="H378" s="225"/>
      <c r="I378" s="225"/>
      <c r="J378" s="225"/>
      <c r="K378" s="225"/>
      <c r="L378" s="222"/>
      <c r="M378" s="217"/>
      <c r="N378" s="149" t="str">
        <f ca="1">IF(OR(C378="",INDIRECT("L"&amp;ROUNDUP((ROW()-6)/8,0)*8-1)=""),"",IF($P$3="否",工时测量记录表!Z377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78" s="214"/>
      <c r="P378" s="213"/>
    </row>
    <row r="379" spans="1:17" ht="15.6">
      <c r="A379" s="232"/>
      <c r="B379" s="229"/>
      <c r="C379" s="148" t="str">
        <f>IF(工时测量记录表!D378="","",工时测量记录表!D378)</f>
        <v/>
      </c>
      <c r="D379" s="227"/>
      <c r="E379" s="227"/>
      <c r="F379" s="227"/>
      <c r="G379" s="227"/>
      <c r="H379" s="225"/>
      <c r="I379" s="225"/>
      <c r="J379" s="225"/>
      <c r="K379" s="225"/>
      <c r="L379" s="222"/>
      <c r="M379" s="217"/>
      <c r="N379" s="149" t="str">
        <f ca="1">IF(OR(C379="",INDIRECT("L"&amp;ROUNDUP((ROW()-6)/8,0)*8-1)=""),"",IF($P$3="否",工时测量记录表!Z378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79" s="214"/>
      <c r="P379" s="213"/>
      <c r="Q379" s="125"/>
    </row>
    <row r="380" spans="1:17" ht="15.6">
      <c r="A380" s="232"/>
      <c r="B380" s="229"/>
      <c r="C380" s="148" t="str">
        <f>IF(工时测量记录表!D379="","",工时测量记录表!D379)</f>
        <v/>
      </c>
      <c r="D380" s="227"/>
      <c r="E380" s="227"/>
      <c r="F380" s="227"/>
      <c r="G380" s="227"/>
      <c r="H380" s="225"/>
      <c r="I380" s="225"/>
      <c r="J380" s="225"/>
      <c r="K380" s="225"/>
      <c r="L380" s="222"/>
      <c r="M380" s="217"/>
      <c r="N380" s="149" t="str">
        <f ca="1">IF(OR(C380="",INDIRECT("L"&amp;ROUNDUP((ROW()-6)/8,0)*8-1)=""),"",IF($P$3="否",工时测量记录表!Z379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379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80" s="214"/>
      <c r="P380" s="213"/>
    </row>
    <row r="381" spans="1:17" ht="15.6">
      <c r="A381" s="232"/>
      <c r="B381" s="229"/>
      <c r="C381" s="148" t="str">
        <f>IF(工时测量记录表!D380="","",工时测量记录表!D380)</f>
        <v/>
      </c>
      <c r="D381" s="227"/>
      <c r="E381" s="227"/>
      <c r="F381" s="227"/>
      <c r="G381" s="227"/>
      <c r="H381" s="225"/>
      <c r="I381" s="225"/>
      <c r="J381" s="225"/>
      <c r="K381" s="225"/>
      <c r="L381" s="222"/>
      <c r="M381" s="217"/>
      <c r="N381" s="149" t="str">
        <f ca="1">IF(OR(C381="",INDIRECT("L"&amp;ROUNDUP((ROW()-6)/8,0)*8-1)=""),"",IF($P$3="否",工时测量记录表!Z380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81" s="214"/>
      <c r="P381" s="213"/>
    </row>
    <row r="382" spans="1:17" ht="15.6">
      <c r="A382" s="232"/>
      <c r="B382" s="229"/>
      <c r="C382" s="148" t="str">
        <f>IF(工时测量记录表!D381="","",工时测量记录表!D381)</f>
        <v/>
      </c>
      <c r="D382" s="227"/>
      <c r="E382" s="227"/>
      <c r="F382" s="227"/>
      <c r="G382" s="227"/>
      <c r="H382" s="225"/>
      <c r="I382" s="225"/>
      <c r="J382" s="225"/>
      <c r="K382" s="225"/>
      <c r="L382" s="222"/>
      <c r="M382" s="217"/>
      <c r="N382" s="149" t="str">
        <f ca="1">IF(OR(C382="",INDIRECT("L"&amp;ROUNDUP((ROW()-6)/8,0)*8-1)=""),"",IF($P$3="否",工时测量记录表!Z381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82" s="214"/>
      <c r="P382" s="213"/>
    </row>
    <row r="383" spans="1:17" ht="15.6">
      <c r="A383" s="232">
        <f>IF(工时测量记录表!A382="","",工时测量记录表!A382)</f>
        <v>48</v>
      </c>
      <c r="B383" s="229" t="str">
        <f>IF(工时测量记录表!B382="","",工时测量记录表!B382)</f>
        <v/>
      </c>
      <c r="C383" s="148" t="str">
        <f>IF(工时测量记录表!D382="","",工时测量记录表!D382)</f>
        <v/>
      </c>
      <c r="D383" s="227">
        <f t="shared" ref="D383:K383" si="46">IF($A383="","",D$7)</f>
        <v>0</v>
      </c>
      <c r="E383" s="227">
        <f t="shared" si="46"/>
        <v>0</v>
      </c>
      <c r="F383" s="227">
        <f t="shared" si="46"/>
        <v>0</v>
      </c>
      <c r="G383" s="227">
        <f t="shared" si="46"/>
        <v>0</v>
      </c>
      <c r="H383" s="225">
        <f t="shared" si="46"/>
        <v>0</v>
      </c>
      <c r="I383" s="225">
        <f t="shared" si="46"/>
        <v>0</v>
      </c>
      <c r="J383" s="225">
        <f t="shared" si="46"/>
        <v>0</v>
      </c>
      <c r="K383" s="225">
        <f t="shared" si="46"/>
        <v>0</v>
      </c>
      <c r="L383" s="222" t="str">
        <f>IF(工时测量记录表!C382="","",工时测量记录表!C382)</f>
        <v/>
      </c>
      <c r="M383" s="217">
        <v>1</v>
      </c>
      <c r="N383" s="149" t="str">
        <f ca="1">IF(OR(C383="",INDIRECT("L"&amp;ROUNDUP((ROW()-6)/8,0)*8-1)=""),"",IF($P$3="否",工时测量记录表!Z382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83" s="214" t="str">
        <f ca="1">IF(COUNT(N383:N390)=0,"",SUM(N383:N390))</f>
        <v/>
      </c>
      <c r="P383" s="213"/>
    </row>
    <row r="384" spans="1:17" ht="15.6">
      <c r="A384" s="232"/>
      <c r="B384" s="229"/>
      <c r="C384" s="148" t="str">
        <f>IF(工时测量记录表!D383="","",工时测量记录表!D383)</f>
        <v/>
      </c>
      <c r="D384" s="227"/>
      <c r="E384" s="227"/>
      <c r="F384" s="227"/>
      <c r="G384" s="227"/>
      <c r="H384" s="225"/>
      <c r="I384" s="225"/>
      <c r="J384" s="225"/>
      <c r="K384" s="225"/>
      <c r="L384" s="222"/>
      <c r="M384" s="217"/>
      <c r="N384" s="149" t="str">
        <f ca="1">IF(OR(C384="",INDIRECT("L"&amp;ROUNDUP((ROW()-6)/8,0)*8-1)=""),"",IF($P$3="否",工时测量记录表!Z383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84" s="214"/>
      <c r="P384" s="213"/>
    </row>
    <row r="385" spans="1:17" ht="15.6">
      <c r="A385" s="232"/>
      <c r="B385" s="229"/>
      <c r="C385" s="148" t="str">
        <f>IF(工时测量记录表!D384="","",工时测量记录表!D384)</f>
        <v/>
      </c>
      <c r="D385" s="227"/>
      <c r="E385" s="227"/>
      <c r="F385" s="227"/>
      <c r="G385" s="227"/>
      <c r="H385" s="225"/>
      <c r="I385" s="225"/>
      <c r="J385" s="225"/>
      <c r="K385" s="225"/>
      <c r="L385" s="222"/>
      <c r="M385" s="217"/>
      <c r="N385" s="149" t="str">
        <f ca="1">IF(OR(C385="",INDIRECT("L"&amp;ROUNDUP((ROW()-6)/8,0)*8-1)=""),"",IF($P$3="否",工时测量记录表!Z384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85" s="214"/>
      <c r="P385" s="213"/>
    </row>
    <row r="386" spans="1:17" ht="15.6">
      <c r="A386" s="232"/>
      <c r="B386" s="229"/>
      <c r="C386" s="148" t="str">
        <f>IF(工时测量记录表!D385="","",工时测量记录表!D385)</f>
        <v/>
      </c>
      <c r="D386" s="227"/>
      <c r="E386" s="227"/>
      <c r="F386" s="227"/>
      <c r="G386" s="227"/>
      <c r="H386" s="225"/>
      <c r="I386" s="225"/>
      <c r="J386" s="225"/>
      <c r="K386" s="225"/>
      <c r="L386" s="222"/>
      <c r="M386" s="217"/>
      <c r="N386" s="149" t="str">
        <f ca="1">IF(OR(C386="",INDIRECT("L"&amp;ROUNDUP((ROW()-6)/8,0)*8-1)=""),"",IF($P$3="否",工时测量记录表!Z385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86" s="214"/>
      <c r="P386" s="213"/>
    </row>
    <row r="387" spans="1:17" ht="15.6">
      <c r="A387" s="232"/>
      <c r="B387" s="229"/>
      <c r="C387" s="148" t="str">
        <f>IF(工时测量记录表!D386="","",工时测量记录表!D386)</f>
        <v/>
      </c>
      <c r="D387" s="227"/>
      <c r="E387" s="227"/>
      <c r="F387" s="227"/>
      <c r="G387" s="227"/>
      <c r="H387" s="225"/>
      <c r="I387" s="225"/>
      <c r="J387" s="225"/>
      <c r="K387" s="225"/>
      <c r="L387" s="222"/>
      <c r="M387" s="217"/>
      <c r="N387" s="149" t="str">
        <f ca="1">IF(OR(C387="",INDIRECT("L"&amp;ROUNDUP((ROW()-6)/8,0)*8-1)=""),"",IF($P$3="否",工时测量记录表!Z386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87" s="214"/>
      <c r="P387" s="213"/>
      <c r="Q387" s="125"/>
    </row>
    <row r="388" spans="1:17" ht="15.6">
      <c r="A388" s="232"/>
      <c r="B388" s="229"/>
      <c r="C388" s="148" t="str">
        <f>IF(工时测量记录表!D387="","",工时测量记录表!D387)</f>
        <v/>
      </c>
      <c r="D388" s="227"/>
      <c r="E388" s="227"/>
      <c r="F388" s="227"/>
      <c r="G388" s="227"/>
      <c r="H388" s="225"/>
      <c r="I388" s="225"/>
      <c r="J388" s="225"/>
      <c r="K388" s="225"/>
      <c r="L388" s="222"/>
      <c r="M388" s="217"/>
      <c r="N388" s="149" t="str">
        <f ca="1">IF(OR(C388="",INDIRECT("L"&amp;ROUNDUP((ROW()-6)/8,0)*8-1)=""),"",IF($P$3="否",工时测量记录表!Z387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88" s="214"/>
      <c r="P388" s="213"/>
    </row>
    <row r="389" spans="1:17" ht="15.6">
      <c r="A389" s="232"/>
      <c r="B389" s="229"/>
      <c r="C389" s="148" t="str">
        <f>IF(工时测量记录表!D388="","",工时测量记录表!D388)</f>
        <v/>
      </c>
      <c r="D389" s="227"/>
      <c r="E389" s="227"/>
      <c r="F389" s="227"/>
      <c r="G389" s="227"/>
      <c r="H389" s="225"/>
      <c r="I389" s="225"/>
      <c r="J389" s="225"/>
      <c r="K389" s="225"/>
      <c r="L389" s="222"/>
      <c r="M389" s="217"/>
      <c r="N389" s="149" t="str">
        <f ca="1">IF(OR(C389="",INDIRECT("L"&amp;ROUNDUP((ROW()-6)/8,0)*8-1)=""),"",IF($P$3="否",工时测量记录表!Z388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89" s="214"/>
      <c r="P389" s="213"/>
    </row>
    <row r="390" spans="1:17" ht="15.6">
      <c r="A390" s="232"/>
      <c r="B390" s="229"/>
      <c r="C390" s="148" t="str">
        <f>IF(工时测量记录表!D389="","",工时测量记录表!D389)</f>
        <v/>
      </c>
      <c r="D390" s="227"/>
      <c r="E390" s="227"/>
      <c r="F390" s="227"/>
      <c r="G390" s="227"/>
      <c r="H390" s="225"/>
      <c r="I390" s="225"/>
      <c r="J390" s="225"/>
      <c r="K390" s="225"/>
      <c r="L390" s="222"/>
      <c r="M390" s="217"/>
      <c r="N390" s="149" t="str">
        <f ca="1">IF(OR(C390="",INDIRECT("L"&amp;ROUNDUP((ROW()-6)/8,0)*8-1)=""),"",IF($P$3="否",工时测量记录表!Z389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389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90" s="214"/>
      <c r="P390" s="213"/>
    </row>
    <row r="391" spans="1:17" ht="15.6">
      <c r="A391" s="232">
        <f>IF(工时测量记录表!A390="","",工时测量记录表!A390)</f>
        <v>49</v>
      </c>
      <c r="B391" s="229" t="str">
        <f>IF(工时测量记录表!B390="","",工时测量记录表!B390)</f>
        <v/>
      </c>
      <c r="C391" s="148" t="str">
        <f>IF(工时测量记录表!D390="","",工时测量记录表!D390)</f>
        <v/>
      </c>
      <c r="D391" s="227">
        <f t="shared" ref="D391:K391" si="47">IF($A391="","",D$7)</f>
        <v>0</v>
      </c>
      <c r="E391" s="227">
        <f t="shared" si="47"/>
        <v>0</v>
      </c>
      <c r="F391" s="227">
        <f t="shared" si="47"/>
        <v>0</v>
      </c>
      <c r="G391" s="227">
        <f t="shared" si="47"/>
        <v>0</v>
      </c>
      <c r="H391" s="225">
        <f t="shared" si="47"/>
        <v>0</v>
      </c>
      <c r="I391" s="225">
        <f t="shared" si="47"/>
        <v>0</v>
      </c>
      <c r="J391" s="225">
        <f t="shared" si="47"/>
        <v>0</v>
      </c>
      <c r="K391" s="225">
        <f t="shared" si="47"/>
        <v>0</v>
      </c>
      <c r="L391" s="222" t="str">
        <f>IF(工时测量记录表!C390="","",工时测量记录表!C390)</f>
        <v/>
      </c>
      <c r="M391" s="217">
        <v>1</v>
      </c>
      <c r="N391" s="149" t="str">
        <f ca="1">IF(OR(C391="",INDIRECT("L"&amp;ROUNDUP((ROW()-6)/8,0)*8-1)=""),"",IF($P$3="否",工时测量记录表!Z390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91" s="214" t="str">
        <f ca="1">IF(COUNT(N391:N398)=0,"",SUM(N391:N398))</f>
        <v/>
      </c>
      <c r="P391" s="213"/>
    </row>
    <row r="392" spans="1:17" ht="15.6">
      <c r="A392" s="232"/>
      <c r="B392" s="229"/>
      <c r="C392" s="148" t="str">
        <f>IF(工时测量记录表!D391="","",工时测量记录表!D391)</f>
        <v/>
      </c>
      <c r="D392" s="227"/>
      <c r="E392" s="227"/>
      <c r="F392" s="227"/>
      <c r="G392" s="227"/>
      <c r="H392" s="225"/>
      <c r="I392" s="225"/>
      <c r="J392" s="225"/>
      <c r="K392" s="225"/>
      <c r="L392" s="222"/>
      <c r="M392" s="217"/>
      <c r="N392" s="149" t="str">
        <f ca="1">IF(OR(C392="",INDIRECT("L"&amp;ROUNDUP((ROW()-6)/8,0)*8-1)=""),"",IF($P$3="否",工时测量记录表!Z391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92" s="214"/>
      <c r="P392" s="213"/>
    </row>
    <row r="393" spans="1:17" ht="15.6">
      <c r="A393" s="232"/>
      <c r="B393" s="229"/>
      <c r="C393" s="148" t="str">
        <f>IF(工时测量记录表!D392="","",工时测量记录表!D392)</f>
        <v/>
      </c>
      <c r="D393" s="227"/>
      <c r="E393" s="227"/>
      <c r="F393" s="227"/>
      <c r="G393" s="227"/>
      <c r="H393" s="225"/>
      <c r="I393" s="225"/>
      <c r="J393" s="225"/>
      <c r="K393" s="225"/>
      <c r="L393" s="222"/>
      <c r="M393" s="217"/>
      <c r="N393" s="149" t="str">
        <f ca="1">IF(OR(C393="",INDIRECT("L"&amp;ROUNDUP((ROW()-6)/8,0)*8-1)=""),"",IF($P$3="否",工时测量记录表!Z392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93" s="214"/>
      <c r="P393" s="213"/>
    </row>
    <row r="394" spans="1:17" ht="15.6">
      <c r="A394" s="232"/>
      <c r="B394" s="229"/>
      <c r="C394" s="148" t="str">
        <f>IF(工时测量记录表!D393="","",工时测量记录表!D393)</f>
        <v/>
      </c>
      <c r="D394" s="227"/>
      <c r="E394" s="227"/>
      <c r="F394" s="227"/>
      <c r="G394" s="227"/>
      <c r="H394" s="225"/>
      <c r="I394" s="225"/>
      <c r="J394" s="225"/>
      <c r="K394" s="225"/>
      <c r="L394" s="222"/>
      <c r="M394" s="217"/>
      <c r="N394" s="149" t="str">
        <f ca="1">IF(OR(C394="",INDIRECT("L"&amp;ROUNDUP((ROW()-6)/8,0)*8-1)=""),"",IF($P$3="否",工时测量记录表!Z393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94" s="214"/>
      <c r="P394" s="213"/>
    </row>
    <row r="395" spans="1:17" ht="15.6">
      <c r="A395" s="232"/>
      <c r="B395" s="229"/>
      <c r="C395" s="148" t="str">
        <f>IF(工时测量记录表!D394="","",工时测量记录表!D394)</f>
        <v/>
      </c>
      <c r="D395" s="227"/>
      <c r="E395" s="227"/>
      <c r="F395" s="227"/>
      <c r="G395" s="227"/>
      <c r="H395" s="225"/>
      <c r="I395" s="225"/>
      <c r="J395" s="225"/>
      <c r="K395" s="225"/>
      <c r="L395" s="222"/>
      <c r="M395" s="217"/>
      <c r="N395" s="149" t="str">
        <f ca="1">IF(OR(C395="",INDIRECT("L"&amp;ROUNDUP((ROW()-6)/8,0)*8-1)=""),"",IF($P$3="否",工时测量记录表!Z394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95" s="214"/>
      <c r="P395" s="213"/>
      <c r="Q395" s="125"/>
    </row>
    <row r="396" spans="1:17" ht="15.6">
      <c r="A396" s="232"/>
      <c r="B396" s="229"/>
      <c r="C396" s="148" t="str">
        <f>IF(工时测量记录表!D395="","",工时测量记录表!D395)</f>
        <v/>
      </c>
      <c r="D396" s="227"/>
      <c r="E396" s="227"/>
      <c r="F396" s="227"/>
      <c r="G396" s="227"/>
      <c r="H396" s="225"/>
      <c r="I396" s="225"/>
      <c r="J396" s="225"/>
      <c r="K396" s="225"/>
      <c r="L396" s="222"/>
      <c r="M396" s="217"/>
      <c r="N396" s="149" t="str">
        <f ca="1">IF(OR(C396="",INDIRECT("L"&amp;ROUNDUP((ROW()-6)/8,0)*8-1)=""),"",IF($P$3="否",工时测量记录表!Z395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96" s="214"/>
      <c r="P396" s="213"/>
    </row>
    <row r="397" spans="1:17" ht="15.6">
      <c r="A397" s="232"/>
      <c r="B397" s="229"/>
      <c r="C397" s="148" t="str">
        <f>IF(工时测量记录表!D396="","",工时测量记录表!D396)</f>
        <v/>
      </c>
      <c r="D397" s="227"/>
      <c r="E397" s="227"/>
      <c r="F397" s="227"/>
      <c r="G397" s="227"/>
      <c r="H397" s="225"/>
      <c r="I397" s="225"/>
      <c r="J397" s="225"/>
      <c r="K397" s="225"/>
      <c r="L397" s="222"/>
      <c r="M397" s="217"/>
      <c r="N397" s="149" t="str">
        <f ca="1">IF(OR(C397="",INDIRECT("L"&amp;ROUNDUP((ROW()-6)/8,0)*8-1)=""),"",IF($P$3="否",工时测量记录表!Z396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97" s="214"/>
      <c r="P397" s="213"/>
    </row>
    <row r="398" spans="1:17" ht="15.6">
      <c r="A398" s="232"/>
      <c r="B398" s="229"/>
      <c r="C398" s="148" t="str">
        <f>IF(工时测量记录表!D397="","",工时测量记录表!D397)</f>
        <v/>
      </c>
      <c r="D398" s="227"/>
      <c r="E398" s="227"/>
      <c r="F398" s="227"/>
      <c r="G398" s="227"/>
      <c r="H398" s="225"/>
      <c r="I398" s="225"/>
      <c r="J398" s="225"/>
      <c r="K398" s="225"/>
      <c r="L398" s="222"/>
      <c r="M398" s="217"/>
      <c r="N398" s="149" t="str">
        <f ca="1">IF(OR(C398="",INDIRECT("L"&amp;ROUNDUP((ROW()-6)/8,0)*8-1)=""),"",IF($P$3="否",工时测量记录表!Z397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98" s="214"/>
      <c r="P398" s="213"/>
    </row>
    <row r="399" spans="1:17" ht="15.6">
      <c r="A399" s="232">
        <f>IF(工时测量记录表!A398="","",工时测量记录表!A398)</f>
        <v>50</v>
      </c>
      <c r="B399" s="229" t="str">
        <f>IF(工时测量记录表!B398="","",工时测量记录表!B398)</f>
        <v/>
      </c>
      <c r="C399" s="148" t="str">
        <f>IF(工时测量记录表!D398="","",工时测量记录表!D398)</f>
        <v/>
      </c>
      <c r="D399" s="227">
        <f t="shared" ref="D399:K399" si="48">IF($A399="","",D$7)</f>
        <v>0</v>
      </c>
      <c r="E399" s="227">
        <f t="shared" si="48"/>
        <v>0</v>
      </c>
      <c r="F399" s="227">
        <f t="shared" si="48"/>
        <v>0</v>
      </c>
      <c r="G399" s="227">
        <f t="shared" si="48"/>
        <v>0</v>
      </c>
      <c r="H399" s="225">
        <f t="shared" si="48"/>
        <v>0</v>
      </c>
      <c r="I399" s="225">
        <f t="shared" si="48"/>
        <v>0</v>
      </c>
      <c r="J399" s="225">
        <f t="shared" si="48"/>
        <v>0</v>
      </c>
      <c r="K399" s="225">
        <f t="shared" si="48"/>
        <v>0</v>
      </c>
      <c r="L399" s="222" t="str">
        <f>IF(工时测量记录表!C398="","",工时测量记录表!C398)</f>
        <v/>
      </c>
      <c r="M399" s="217">
        <v>1</v>
      </c>
      <c r="N399" s="149" t="str">
        <f ca="1">IF(OR(C399="",INDIRECT("L"&amp;ROUNDUP((ROW()-6)/8,0)*8-1)=""),"",IF($P$3="否",工时测量记录表!Z398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399" s="214" t="str">
        <f ca="1">IF(COUNT(N399:N406)=0,"",SUM(N399:N406))</f>
        <v/>
      </c>
      <c r="P399" s="213"/>
    </row>
    <row r="400" spans="1:17" ht="15.6">
      <c r="A400" s="232"/>
      <c r="B400" s="229"/>
      <c r="C400" s="148" t="str">
        <f>IF(工时测量记录表!D399="","",工时测量记录表!D399)</f>
        <v/>
      </c>
      <c r="D400" s="227"/>
      <c r="E400" s="227"/>
      <c r="F400" s="227"/>
      <c r="G400" s="227"/>
      <c r="H400" s="225"/>
      <c r="I400" s="225"/>
      <c r="J400" s="225"/>
      <c r="K400" s="225"/>
      <c r="L400" s="222"/>
      <c r="M400" s="217"/>
      <c r="N400" s="149" t="str">
        <f ca="1">IF(OR(C400="",INDIRECT("L"&amp;ROUNDUP((ROW()-6)/8,0)*8-1)=""),"",IF($P$3="否",工时测量记录表!Z399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399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00" s="214"/>
      <c r="P400" s="213"/>
    </row>
    <row r="401" spans="1:17" ht="15.6">
      <c r="A401" s="232"/>
      <c r="B401" s="229"/>
      <c r="C401" s="148" t="str">
        <f>IF(工时测量记录表!D400="","",工时测量记录表!D400)</f>
        <v/>
      </c>
      <c r="D401" s="227"/>
      <c r="E401" s="227"/>
      <c r="F401" s="227"/>
      <c r="G401" s="227"/>
      <c r="H401" s="225"/>
      <c r="I401" s="225"/>
      <c r="J401" s="225"/>
      <c r="K401" s="225"/>
      <c r="L401" s="222"/>
      <c r="M401" s="217"/>
      <c r="N401" s="149" t="str">
        <f ca="1">IF(OR(C401="",INDIRECT("L"&amp;ROUNDUP((ROW()-6)/8,0)*8-1)=""),"",IF($P$3="否",工时测量记录表!Z400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01" s="214"/>
      <c r="P401" s="213"/>
    </row>
    <row r="402" spans="1:17" ht="15.6">
      <c r="A402" s="232"/>
      <c r="B402" s="229"/>
      <c r="C402" s="148" t="str">
        <f>IF(工时测量记录表!D401="","",工时测量记录表!D401)</f>
        <v/>
      </c>
      <c r="D402" s="227"/>
      <c r="E402" s="227"/>
      <c r="F402" s="227"/>
      <c r="G402" s="227"/>
      <c r="H402" s="225"/>
      <c r="I402" s="225"/>
      <c r="J402" s="225"/>
      <c r="K402" s="225"/>
      <c r="L402" s="222"/>
      <c r="M402" s="217"/>
      <c r="N402" s="149" t="str">
        <f ca="1">IF(OR(C402="",INDIRECT("L"&amp;ROUNDUP((ROW()-6)/8,0)*8-1)=""),"",IF($P$3="否",工时测量记录表!Z401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02" s="214"/>
      <c r="P402" s="213"/>
    </row>
    <row r="403" spans="1:17" ht="15.6">
      <c r="A403" s="232"/>
      <c r="B403" s="229"/>
      <c r="C403" s="148" t="str">
        <f>IF(工时测量记录表!D402="","",工时测量记录表!D402)</f>
        <v/>
      </c>
      <c r="D403" s="227"/>
      <c r="E403" s="227"/>
      <c r="F403" s="227"/>
      <c r="G403" s="227"/>
      <c r="H403" s="225"/>
      <c r="I403" s="225"/>
      <c r="J403" s="225"/>
      <c r="K403" s="225"/>
      <c r="L403" s="222"/>
      <c r="M403" s="217"/>
      <c r="N403" s="149" t="str">
        <f ca="1">IF(OR(C403="",INDIRECT("L"&amp;ROUNDUP((ROW()-6)/8,0)*8-1)=""),"",IF($P$3="否",工时测量记录表!Z402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03" s="214"/>
      <c r="P403" s="213"/>
      <c r="Q403" s="125"/>
    </row>
    <row r="404" spans="1:17" ht="15.6">
      <c r="A404" s="232"/>
      <c r="B404" s="229"/>
      <c r="C404" s="148" t="str">
        <f>IF(工时测量记录表!D403="","",工时测量记录表!D403)</f>
        <v/>
      </c>
      <c r="D404" s="227"/>
      <c r="E404" s="227"/>
      <c r="F404" s="227"/>
      <c r="G404" s="227"/>
      <c r="H404" s="225"/>
      <c r="I404" s="225"/>
      <c r="J404" s="225"/>
      <c r="K404" s="225"/>
      <c r="L404" s="222"/>
      <c r="M404" s="217"/>
      <c r="N404" s="149" t="str">
        <f ca="1">IF(OR(C404="",INDIRECT("L"&amp;ROUNDUP((ROW()-6)/8,0)*8-1)=""),"",IF($P$3="否",工时测量记录表!Z403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04" s="214"/>
      <c r="P404" s="213"/>
    </row>
    <row r="405" spans="1:17" ht="15.6">
      <c r="A405" s="232"/>
      <c r="B405" s="229"/>
      <c r="C405" s="148" t="str">
        <f>IF(工时测量记录表!D404="","",工时测量记录表!D404)</f>
        <v/>
      </c>
      <c r="D405" s="227"/>
      <c r="E405" s="227"/>
      <c r="F405" s="227"/>
      <c r="G405" s="227"/>
      <c r="H405" s="225"/>
      <c r="I405" s="225"/>
      <c r="J405" s="225"/>
      <c r="K405" s="225"/>
      <c r="L405" s="222"/>
      <c r="M405" s="217"/>
      <c r="N405" s="149" t="str">
        <f ca="1">IF(OR(C405="",INDIRECT("L"&amp;ROUNDUP((ROW()-6)/8,0)*8-1)=""),"",IF($P$3="否",工时测量记录表!Z404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05" s="214"/>
      <c r="P405" s="213"/>
    </row>
    <row r="406" spans="1:17" ht="15.6">
      <c r="A406" s="232"/>
      <c r="B406" s="229"/>
      <c r="C406" s="148" t="str">
        <f>IF(工时测量记录表!D405="","",工时测量记录表!D405)</f>
        <v/>
      </c>
      <c r="D406" s="227"/>
      <c r="E406" s="227"/>
      <c r="F406" s="227"/>
      <c r="G406" s="227"/>
      <c r="H406" s="225"/>
      <c r="I406" s="225"/>
      <c r="J406" s="225"/>
      <c r="K406" s="225"/>
      <c r="L406" s="222"/>
      <c r="M406" s="217"/>
      <c r="N406" s="149" t="str">
        <f ca="1">IF(OR(C406="",INDIRECT("L"&amp;ROUNDUP((ROW()-6)/8,0)*8-1)=""),"",IF($P$3="否",工时测量记录表!Z405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06" s="214"/>
      <c r="P406" s="213"/>
    </row>
    <row r="407" spans="1:17" ht="15.6">
      <c r="A407" s="232">
        <f>IF(工时测量记录表!A406="","",工时测量记录表!A406)</f>
        <v>51</v>
      </c>
      <c r="B407" s="229" t="str">
        <f>IF(工时测量记录表!B406="","",工时测量记录表!B406)</f>
        <v/>
      </c>
      <c r="C407" s="148" t="str">
        <f>IF(工时测量记录表!D406="","",工时测量记录表!D406)</f>
        <v/>
      </c>
      <c r="D407" s="227">
        <f t="shared" ref="D407:K407" si="49">IF($A407="","",D$7)</f>
        <v>0</v>
      </c>
      <c r="E407" s="227">
        <f t="shared" si="49"/>
        <v>0</v>
      </c>
      <c r="F407" s="227">
        <f t="shared" si="49"/>
        <v>0</v>
      </c>
      <c r="G407" s="227">
        <f t="shared" si="49"/>
        <v>0</v>
      </c>
      <c r="H407" s="225">
        <f t="shared" si="49"/>
        <v>0</v>
      </c>
      <c r="I407" s="225">
        <f t="shared" si="49"/>
        <v>0</v>
      </c>
      <c r="J407" s="225">
        <f t="shared" si="49"/>
        <v>0</v>
      </c>
      <c r="K407" s="225">
        <f t="shared" si="49"/>
        <v>0</v>
      </c>
      <c r="L407" s="222" t="str">
        <f>IF(工时测量记录表!C406="","",工时测量记录表!C406)</f>
        <v/>
      </c>
      <c r="M407" s="217">
        <v>1</v>
      </c>
      <c r="N407" s="149" t="str">
        <f ca="1">IF(OR(C407="",INDIRECT("L"&amp;ROUNDUP((ROW()-6)/8,0)*8-1)=""),"",IF($P$3="否",工时测量记录表!Z406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07" s="214" t="str">
        <f ca="1">IF(COUNT(N407:N414)=0,"",SUM(N407:N414))</f>
        <v/>
      </c>
      <c r="P407" s="213"/>
    </row>
    <row r="408" spans="1:17" ht="15.6">
      <c r="A408" s="232"/>
      <c r="B408" s="229"/>
      <c r="C408" s="148" t="str">
        <f>IF(工时测量记录表!D407="","",工时测量记录表!D407)</f>
        <v/>
      </c>
      <c r="D408" s="227"/>
      <c r="E408" s="227"/>
      <c r="F408" s="227"/>
      <c r="G408" s="227"/>
      <c r="H408" s="225"/>
      <c r="I408" s="225"/>
      <c r="J408" s="225"/>
      <c r="K408" s="225"/>
      <c r="L408" s="222"/>
      <c r="M408" s="217"/>
      <c r="N408" s="149" t="str">
        <f ca="1">IF(OR(C408="",INDIRECT("L"&amp;ROUNDUP((ROW()-6)/8,0)*8-1)=""),"",IF($P$3="否",工时测量记录表!Z407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08" s="214"/>
      <c r="P408" s="213"/>
    </row>
    <row r="409" spans="1:17" ht="15.6">
      <c r="A409" s="232"/>
      <c r="B409" s="229"/>
      <c r="C409" s="148" t="str">
        <f>IF(工时测量记录表!D408="","",工时测量记录表!D408)</f>
        <v/>
      </c>
      <c r="D409" s="227"/>
      <c r="E409" s="227"/>
      <c r="F409" s="227"/>
      <c r="G409" s="227"/>
      <c r="H409" s="225"/>
      <c r="I409" s="225"/>
      <c r="J409" s="225"/>
      <c r="K409" s="225"/>
      <c r="L409" s="222"/>
      <c r="M409" s="217"/>
      <c r="N409" s="149" t="str">
        <f ca="1">IF(OR(C409="",INDIRECT("L"&amp;ROUNDUP((ROW()-6)/8,0)*8-1)=""),"",IF($P$3="否",工时测量记录表!Z408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09" s="214"/>
      <c r="P409" s="213"/>
    </row>
    <row r="410" spans="1:17" ht="15.6">
      <c r="A410" s="232"/>
      <c r="B410" s="229"/>
      <c r="C410" s="148" t="str">
        <f>IF(工时测量记录表!D409="","",工时测量记录表!D409)</f>
        <v/>
      </c>
      <c r="D410" s="227"/>
      <c r="E410" s="227"/>
      <c r="F410" s="227"/>
      <c r="G410" s="227"/>
      <c r="H410" s="225"/>
      <c r="I410" s="225"/>
      <c r="J410" s="225"/>
      <c r="K410" s="225"/>
      <c r="L410" s="222"/>
      <c r="M410" s="217"/>
      <c r="N410" s="149" t="str">
        <f ca="1">IF(OR(C410="",INDIRECT("L"&amp;ROUNDUP((ROW()-6)/8,0)*8-1)=""),"",IF($P$3="否",工时测量记录表!Z409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409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10" s="214"/>
      <c r="P410" s="213"/>
    </row>
    <row r="411" spans="1:17" ht="15.6">
      <c r="A411" s="232"/>
      <c r="B411" s="229"/>
      <c r="C411" s="148" t="str">
        <f>IF(工时测量记录表!D410="","",工时测量记录表!D410)</f>
        <v/>
      </c>
      <c r="D411" s="227"/>
      <c r="E411" s="227"/>
      <c r="F411" s="227"/>
      <c r="G411" s="227"/>
      <c r="H411" s="225"/>
      <c r="I411" s="225"/>
      <c r="J411" s="225"/>
      <c r="K411" s="225"/>
      <c r="L411" s="222"/>
      <c r="M411" s="217"/>
      <c r="N411" s="149" t="str">
        <f ca="1">IF(OR(C411="",INDIRECT("L"&amp;ROUNDUP((ROW()-6)/8,0)*8-1)=""),"",IF($P$3="否",工时测量记录表!Z410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11" s="214"/>
      <c r="P411" s="213"/>
      <c r="Q411" s="125"/>
    </row>
    <row r="412" spans="1:17" ht="15.6">
      <c r="A412" s="232"/>
      <c r="B412" s="229"/>
      <c r="C412" s="148" t="str">
        <f>IF(工时测量记录表!D411="","",工时测量记录表!D411)</f>
        <v/>
      </c>
      <c r="D412" s="227"/>
      <c r="E412" s="227"/>
      <c r="F412" s="227"/>
      <c r="G412" s="227"/>
      <c r="H412" s="225"/>
      <c r="I412" s="225"/>
      <c r="J412" s="225"/>
      <c r="K412" s="225"/>
      <c r="L412" s="222"/>
      <c r="M412" s="217"/>
      <c r="N412" s="149" t="str">
        <f ca="1">IF(OR(C412="",INDIRECT("L"&amp;ROUNDUP((ROW()-6)/8,0)*8-1)=""),"",IF($P$3="否",工时测量记录表!Z411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12" s="214"/>
      <c r="P412" s="213"/>
    </row>
    <row r="413" spans="1:17" ht="15.6">
      <c r="A413" s="232"/>
      <c r="B413" s="229"/>
      <c r="C413" s="148" t="str">
        <f>IF(工时测量记录表!D412="","",工时测量记录表!D412)</f>
        <v/>
      </c>
      <c r="D413" s="227"/>
      <c r="E413" s="227"/>
      <c r="F413" s="227"/>
      <c r="G413" s="227"/>
      <c r="H413" s="225"/>
      <c r="I413" s="225"/>
      <c r="J413" s="225"/>
      <c r="K413" s="225"/>
      <c r="L413" s="222"/>
      <c r="M413" s="217"/>
      <c r="N413" s="149" t="str">
        <f ca="1">IF(OR(C413="",INDIRECT("L"&amp;ROUNDUP((ROW()-6)/8,0)*8-1)=""),"",IF($P$3="否",工时测量记录表!Z412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13" s="214"/>
      <c r="P413" s="213"/>
    </row>
    <row r="414" spans="1:17" ht="15.6">
      <c r="A414" s="232"/>
      <c r="B414" s="229"/>
      <c r="C414" s="148" t="str">
        <f>IF(工时测量记录表!D413="","",工时测量记录表!D413)</f>
        <v/>
      </c>
      <c r="D414" s="227"/>
      <c r="E414" s="227"/>
      <c r="F414" s="227"/>
      <c r="G414" s="227"/>
      <c r="H414" s="225"/>
      <c r="I414" s="225"/>
      <c r="J414" s="225"/>
      <c r="K414" s="225"/>
      <c r="L414" s="222"/>
      <c r="M414" s="217"/>
      <c r="N414" s="149" t="str">
        <f ca="1">IF(OR(C414="",INDIRECT("L"&amp;ROUNDUP((ROW()-6)/8,0)*8-1)=""),"",IF($P$3="否",工时测量记录表!Z413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14" s="214"/>
      <c r="P414" s="213"/>
    </row>
    <row r="415" spans="1:17" ht="15.6">
      <c r="A415" s="232">
        <f>IF(工时测量记录表!A414="","",工时测量记录表!A414)</f>
        <v>52</v>
      </c>
      <c r="B415" s="229" t="str">
        <f>IF(工时测量记录表!B414="","",工时测量记录表!B414)</f>
        <v/>
      </c>
      <c r="C415" s="148" t="str">
        <f>IF(工时测量记录表!D414="","",工时测量记录表!D414)</f>
        <v/>
      </c>
      <c r="D415" s="227">
        <f t="shared" ref="D415:K415" si="50">IF($A415="","",D$7)</f>
        <v>0</v>
      </c>
      <c r="E415" s="227">
        <f t="shared" si="50"/>
        <v>0</v>
      </c>
      <c r="F415" s="227">
        <f t="shared" si="50"/>
        <v>0</v>
      </c>
      <c r="G415" s="227">
        <f t="shared" si="50"/>
        <v>0</v>
      </c>
      <c r="H415" s="225">
        <f t="shared" si="50"/>
        <v>0</v>
      </c>
      <c r="I415" s="225">
        <f t="shared" si="50"/>
        <v>0</v>
      </c>
      <c r="J415" s="225">
        <f t="shared" si="50"/>
        <v>0</v>
      </c>
      <c r="K415" s="225">
        <f t="shared" si="50"/>
        <v>0</v>
      </c>
      <c r="L415" s="222" t="str">
        <f>IF(工时测量记录表!C414="","",工时测量记录表!C414)</f>
        <v/>
      </c>
      <c r="M415" s="217">
        <v>1</v>
      </c>
      <c r="N415" s="149" t="str">
        <f ca="1">IF(OR(C415="",INDIRECT("L"&amp;ROUNDUP((ROW()-6)/8,0)*8-1)=""),"",IF($P$3="否",工时测量记录表!Z414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15" s="214" t="str">
        <f ca="1">IF(COUNT(N415:N422)=0,"",SUM(N415:N422))</f>
        <v/>
      </c>
      <c r="P415" s="213"/>
    </row>
    <row r="416" spans="1:17" ht="15.6">
      <c r="A416" s="232"/>
      <c r="B416" s="229"/>
      <c r="C416" s="148" t="str">
        <f>IF(工时测量记录表!D415="","",工时测量记录表!D415)</f>
        <v/>
      </c>
      <c r="D416" s="227"/>
      <c r="E416" s="227"/>
      <c r="F416" s="227"/>
      <c r="G416" s="227"/>
      <c r="H416" s="225"/>
      <c r="I416" s="225"/>
      <c r="J416" s="225"/>
      <c r="K416" s="225"/>
      <c r="L416" s="222"/>
      <c r="M416" s="217"/>
      <c r="N416" s="149" t="str">
        <f ca="1">IF(OR(C416="",INDIRECT("L"&amp;ROUNDUP((ROW()-6)/8,0)*8-1)=""),"",IF($P$3="否",工时测量记录表!Z415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16" s="214"/>
      <c r="P416" s="213"/>
    </row>
    <row r="417" spans="1:17" ht="15.6">
      <c r="A417" s="232"/>
      <c r="B417" s="229"/>
      <c r="C417" s="148" t="str">
        <f>IF(工时测量记录表!D416="","",工时测量记录表!D416)</f>
        <v/>
      </c>
      <c r="D417" s="227"/>
      <c r="E417" s="227"/>
      <c r="F417" s="227"/>
      <c r="G417" s="227"/>
      <c r="H417" s="225"/>
      <c r="I417" s="225"/>
      <c r="J417" s="225"/>
      <c r="K417" s="225"/>
      <c r="L417" s="222"/>
      <c r="M417" s="217"/>
      <c r="N417" s="149" t="str">
        <f ca="1">IF(OR(C417="",INDIRECT("L"&amp;ROUNDUP((ROW()-6)/8,0)*8-1)=""),"",IF($P$3="否",工时测量记录表!Z416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17" s="214"/>
      <c r="P417" s="213"/>
    </row>
    <row r="418" spans="1:17" ht="15.6">
      <c r="A418" s="232"/>
      <c r="B418" s="229"/>
      <c r="C418" s="148" t="str">
        <f>IF(工时测量记录表!D417="","",工时测量记录表!D417)</f>
        <v/>
      </c>
      <c r="D418" s="227"/>
      <c r="E418" s="227"/>
      <c r="F418" s="227"/>
      <c r="G418" s="227"/>
      <c r="H418" s="225"/>
      <c r="I418" s="225"/>
      <c r="J418" s="225"/>
      <c r="K418" s="225"/>
      <c r="L418" s="222"/>
      <c r="M418" s="217"/>
      <c r="N418" s="149" t="str">
        <f ca="1">IF(OR(C418="",INDIRECT("L"&amp;ROUNDUP((ROW()-6)/8,0)*8-1)=""),"",IF($P$3="否",工时测量记录表!Z417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18" s="214"/>
      <c r="P418" s="213"/>
    </row>
    <row r="419" spans="1:17" ht="15.6">
      <c r="A419" s="232"/>
      <c r="B419" s="229"/>
      <c r="C419" s="148" t="str">
        <f>IF(工时测量记录表!D418="","",工时测量记录表!D418)</f>
        <v/>
      </c>
      <c r="D419" s="227"/>
      <c r="E419" s="227"/>
      <c r="F419" s="227"/>
      <c r="G419" s="227"/>
      <c r="H419" s="225"/>
      <c r="I419" s="225"/>
      <c r="J419" s="225"/>
      <c r="K419" s="225"/>
      <c r="L419" s="222"/>
      <c r="M419" s="217"/>
      <c r="N419" s="149" t="str">
        <f ca="1">IF(OR(C419="",INDIRECT("L"&amp;ROUNDUP((ROW()-6)/8,0)*8-1)=""),"",IF($P$3="否",工时测量记录表!Z418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19" s="214"/>
      <c r="P419" s="213"/>
      <c r="Q419" s="125"/>
    </row>
    <row r="420" spans="1:17" ht="15.6">
      <c r="A420" s="232"/>
      <c r="B420" s="229"/>
      <c r="C420" s="148" t="str">
        <f>IF(工时测量记录表!D419="","",工时测量记录表!D419)</f>
        <v/>
      </c>
      <c r="D420" s="227"/>
      <c r="E420" s="227"/>
      <c r="F420" s="227"/>
      <c r="G420" s="227"/>
      <c r="H420" s="225"/>
      <c r="I420" s="225"/>
      <c r="J420" s="225"/>
      <c r="K420" s="225"/>
      <c r="L420" s="222"/>
      <c r="M420" s="217"/>
      <c r="N420" s="149" t="str">
        <f ca="1">IF(OR(C420="",INDIRECT("L"&amp;ROUNDUP((ROW()-6)/8,0)*8-1)=""),"",IF($P$3="否",工时测量记录表!Z419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419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20" s="214"/>
      <c r="P420" s="213"/>
    </row>
    <row r="421" spans="1:17" ht="15.6">
      <c r="A421" s="232"/>
      <c r="B421" s="229"/>
      <c r="C421" s="148" t="str">
        <f>IF(工时测量记录表!D420="","",工时测量记录表!D420)</f>
        <v/>
      </c>
      <c r="D421" s="227"/>
      <c r="E421" s="227"/>
      <c r="F421" s="227"/>
      <c r="G421" s="227"/>
      <c r="H421" s="225"/>
      <c r="I421" s="225"/>
      <c r="J421" s="225"/>
      <c r="K421" s="225"/>
      <c r="L421" s="222"/>
      <c r="M421" s="217"/>
      <c r="N421" s="149" t="str">
        <f ca="1">IF(OR(C421="",INDIRECT("L"&amp;ROUNDUP((ROW()-6)/8,0)*8-1)=""),"",IF($P$3="否",工时测量记录表!Z420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21" s="214"/>
      <c r="P421" s="213"/>
    </row>
    <row r="422" spans="1:17" ht="15.6">
      <c r="A422" s="232"/>
      <c r="B422" s="229"/>
      <c r="C422" s="148" t="str">
        <f>IF(工时测量记录表!D421="","",工时测量记录表!D421)</f>
        <v/>
      </c>
      <c r="D422" s="227"/>
      <c r="E422" s="227"/>
      <c r="F422" s="227"/>
      <c r="G422" s="227"/>
      <c r="H422" s="225"/>
      <c r="I422" s="225"/>
      <c r="J422" s="225"/>
      <c r="K422" s="225"/>
      <c r="L422" s="222"/>
      <c r="M422" s="217"/>
      <c r="N422" s="149" t="str">
        <f ca="1">IF(OR(C422="",INDIRECT("L"&amp;ROUNDUP((ROW()-6)/8,0)*8-1)=""),"",IF($P$3="否",工时测量记录表!Z421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22" s="214"/>
      <c r="P422" s="213"/>
    </row>
    <row r="423" spans="1:17" ht="15.6">
      <c r="A423" s="232">
        <f>IF(工时测量记录表!A422="","",工时测量记录表!A422)</f>
        <v>53</v>
      </c>
      <c r="B423" s="229" t="str">
        <f>IF(工时测量记录表!B422="","",工时测量记录表!B422)</f>
        <v/>
      </c>
      <c r="C423" s="148" t="str">
        <f>IF(工时测量记录表!D422="","",工时测量记录表!D422)</f>
        <v/>
      </c>
      <c r="D423" s="227">
        <f t="shared" ref="D423:K423" si="51">IF($A423="","",D$7)</f>
        <v>0</v>
      </c>
      <c r="E423" s="227">
        <f t="shared" si="51"/>
        <v>0</v>
      </c>
      <c r="F423" s="227">
        <f t="shared" si="51"/>
        <v>0</v>
      </c>
      <c r="G423" s="227">
        <f t="shared" si="51"/>
        <v>0</v>
      </c>
      <c r="H423" s="225">
        <f t="shared" si="51"/>
        <v>0</v>
      </c>
      <c r="I423" s="225">
        <f t="shared" si="51"/>
        <v>0</v>
      </c>
      <c r="J423" s="225">
        <f t="shared" si="51"/>
        <v>0</v>
      </c>
      <c r="K423" s="225">
        <f t="shared" si="51"/>
        <v>0</v>
      </c>
      <c r="L423" s="222" t="str">
        <f>IF(工时测量记录表!C422="","",工时测量记录表!C422)</f>
        <v/>
      </c>
      <c r="M423" s="217">
        <v>1</v>
      </c>
      <c r="N423" s="149" t="str">
        <f ca="1">IF(OR(C423="",INDIRECT("L"&amp;ROUNDUP((ROW()-6)/8,0)*8-1)=""),"",IF($P$3="否",工时测量记录表!Z422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23" s="214" t="str">
        <f ca="1">IF(COUNT(N423:N430)=0,"",SUM(N423:N430))</f>
        <v/>
      </c>
      <c r="P423" s="213"/>
    </row>
    <row r="424" spans="1:17" ht="15.6">
      <c r="A424" s="232"/>
      <c r="B424" s="229"/>
      <c r="C424" s="148" t="str">
        <f>IF(工时测量记录表!D423="","",工时测量记录表!D423)</f>
        <v/>
      </c>
      <c r="D424" s="227"/>
      <c r="E424" s="227"/>
      <c r="F424" s="227"/>
      <c r="G424" s="227"/>
      <c r="H424" s="225"/>
      <c r="I424" s="225"/>
      <c r="J424" s="225"/>
      <c r="K424" s="225"/>
      <c r="L424" s="222"/>
      <c r="M424" s="217"/>
      <c r="N424" s="149" t="str">
        <f ca="1">IF(OR(C424="",INDIRECT("L"&amp;ROUNDUP((ROW()-6)/8,0)*8-1)=""),"",IF($P$3="否",工时测量记录表!Z423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24" s="214"/>
      <c r="P424" s="213"/>
    </row>
    <row r="425" spans="1:17" ht="15.6">
      <c r="A425" s="232"/>
      <c r="B425" s="229"/>
      <c r="C425" s="148" t="str">
        <f>IF(工时测量记录表!D424="","",工时测量记录表!D424)</f>
        <v/>
      </c>
      <c r="D425" s="227"/>
      <c r="E425" s="227"/>
      <c r="F425" s="227"/>
      <c r="G425" s="227"/>
      <c r="H425" s="225"/>
      <c r="I425" s="225"/>
      <c r="J425" s="225"/>
      <c r="K425" s="225"/>
      <c r="L425" s="222"/>
      <c r="M425" s="217"/>
      <c r="N425" s="149" t="str">
        <f ca="1">IF(OR(C425="",INDIRECT("L"&amp;ROUNDUP((ROW()-6)/8,0)*8-1)=""),"",IF($P$3="否",工时测量记录表!Z424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25" s="214"/>
      <c r="P425" s="213"/>
    </row>
    <row r="426" spans="1:17" ht="15.6">
      <c r="A426" s="232"/>
      <c r="B426" s="229"/>
      <c r="C426" s="148" t="str">
        <f>IF(工时测量记录表!D425="","",工时测量记录表!D425)</f>
        <v/>
      </c>
      <c r="D426" s="227"/>
      <c r="E426" s="227"/>
      <c r="F426" s="227"/>
      <c r="G426" s="227"/>
      <c r="H426" s="225"/>
      <c r="I426" s="225"/>
      <c r="J426" s="225"/>
      <c r="K426" s="225"/>
      <c r="L426" s="222"/>
      <c r="M426" s="217"/>
      <c r="N426" s="149" t="str">
        <f ca="1">IF(OR(C426="",INDIRECT("L"&amp;ROUNDUP((ROW()-6)/8,0)*8-1)=""),"",IF($P$3="否",工时测量记录表!Z425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26" s="214"/>
      <c r="P426" s="213"/>
    </row>
    <row r="427" spans="1:17" ht="15.6">
      <c r="A427" s="232"/>
      <c r="B427" s="229"/>
      <c r="C427" s="148" t="str">
        <f>IF(工时测量记录表!D426="","",工时测量记录表!D426)</f>
        <v/>
      </c>
      <c r="D427" s="227"/>
      <c r="E427" s="227"/>
      <c r="F427" s="227"/>
      <c r="G427" s="227"/>
      <c r="H427" s="225"/>
      <c r="I427" s="225"/>
      <c r="J427" s="225"/>
      <c r="K427" s="225"/>
      <c r="L427" s="222"/>
      <c r="M427" s="217"/>
      <c r="N427" s="149" t="str">
        <f ca="1">IF(OR(C427="",INDIRECT("L"&amp;ROUNDUP((ROW()-6)/8,0)*8-1)=""),"",IF($P$3="否",工时测量记录表!Z426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27" s="214"/>
      <c r="P427" s="213"/>
      <c r="Q427" s="125"/>
    </row>
    <row r="428" spans="1:17" ht="15.6">
      <c r="A428" s="232"/>
      <c r="B428" s="229"/>
      <c r="C428" s="148" t="str">
        <f>IF(工时测量记录表!D427="","",工时测量记录表!D427)</f>
        <v/>
      </c>
      <c r="D428" s="227"/>
      <c r="E428" s="227"/>
      <c r="F428" s="227"/>
      <c r="G428" s="227"/>
      <c r="H428" s="225"/>
      <c r="I428" s="225"/>
      <c r="J428" s="225"/>
      <c r="K428" s="225"/>
      <c r="L428" s="222"/>
      <c r="M428" s="217"/>
      <c r="N428" s="149" t="str">
        <f ca="1">IF(OR(C428="",INDIRECT("L"&amp;ROUNDUP((ROW()-6)/8,0)*8-1)=""),"",IF($P$3="否",工时测量记录表!Z427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28" s="214"/>
      <c r="P428" s="213"/>
    </row>
    <row r="429" spans="1:17" ht="15.6">
      <c r="A429" s="232"/>
      <c r="B429" s="229"/>
      <c r="C429" s="148" t="str">
        <f>IF(工时测量记录表!D428="","",工时测量记录表!D428)</f>
        <v/>
      </c>
      <c r="D429" s="227"/>
      <c r="E429" s="227"/>
      <c r="F429" s="227"/>
      <c r="G429" s="227"/>
      <c r="H429" s="225"/>
      <c r="I429" s="225"/>
      <c r="J429" s="225"/>
      <c r="K429" s="225"/>
      <c r="L429" s="222"/>
      <c r="M429" s="217"/>
      <c r="N429" s="149" t="str">
        <f ca="1">IF(OR(C429="",INDIRECT("L"&amp;ROUNDUP((ROW()-6)/8,0)*8-1)=""),"",IF($P$3="否",工时测量记录表!Z428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29" s="214"/>
      <c r="P429" s="213"/>
    </row>
    <row r="430" spans="1:17" ht="15.6">
      <c r="A430" s="232"/>
      <c r="B430" s="229"/>
      <c r="C430" s="148" t="str">
        <f>IF(工时测量记录表!D429="","",工时测量记录表!D429)</f>
        <v/>
      </c>
      <c r="D430" s="227"/>
      <c r="E430" s="227"/>
      <c r="F430" s="227"/>
      <c r="G430" s="227"/>
      <c r="H430" s="225"/>
      <c r="I430" s="225"/>
      <c r="J430" s="225"/>
      <c r="K430" s="225"/>
      <c r="L430" s="222"/>
      <c r="M430" s="217"/>
      <c r="N430" s="149" t="str">
        <f ca="1">IF(OR(C430="",INDIRECT("L"&amp;ROUNDUP((ROW()-6)/8,0)*8-1)=""),"",IF($P$3="否",工时测量记录表!Z429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429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30" s="214"/>
      <c r="P430" s="213"/>
    </row>
    <row r="431" spans="1:17" ht="15.6">
      <c r="A431" s="232">
        <f>IF(工时测量记录表!A430="","",工时测量记录表!A430)</f>
        <v>54</v>
      </c>
      <c r="B431" s="229" t="str">
        <f>IF(工时测量记录表!B430="","",工时测量记录表!B430)</f>
        <v/>
      </c>
      <c r="C431" s="148" t="str">
        <f>IF(工时测量记录表!D430="","",工时测量记录表!D430)</f>
        <v/>
      </c>
      <c r="D431" s="227">
        <f t="shared" ref="D431:K431" si="52">IF($A431="","",D$7)</f>
        <v>0</v>
      </c>
      <c r="E431" s="227">
        <f t="shared" si="52"/>
        <v>0</v>
      </c>
      <c r="F431" s="227">
        <f t="shared" si="52"/>
        <v>0</v>
      </c>
      <c r="G431" s="227">
        <f t="shared" si="52"/>
        <v>0</v>
      </c>
      <c r="H431" s="225">
        <f t="shared" si="52"/>
        <v>0</v>
      </c>
      <c r="I431" s="225">
        <f t="shared" si="52"/>
        <v>0</v>
      </c>
      <c r="J431" s="225">
        <f t="shared" si="52"/>
        <v>0</v>
      </c>
      <c r="K431" s="225">
        <f t="shared" si="52"/>
        <v>0</v>
      </c>
      <c r="L431" s="222" t="str">
        <f>IF(工时测量记录表!C430="","",工时测量记录表!C430)</f>
        <v/>
      </c>
      <c r="M431" s="217">
        <v>1</v>
      </c>
      <c r="N431" s="149" t="str">
        <f ca="1">IF(OR(C431="",INDIRECT("L"&amp;ROUNDUP((ROW()-6)/8,0)*8-1)=""),"",IF($P$3="否",工时测量记录表!Z430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31" s="214" t="str">
        <f ca="1">IF(COUNT(N431:N438)=0,"",SUM(N431:N438))</f>
        <v/>
      </c>
      <c r="P431" s="213"/>
    </row>
    <row r="432" spans="1:17" ht="15.6">
      <c r="A432" s="232"/>
      <c r="B432" s="229"/>
      <c r="C432" s="148" t="str">
        <f>IF(工时测量记录表!D431="","",工时测量记录表!D431)</f>
        <v/>
      </c>
      <c r="D432" s="227"/>
      <c r="E432" s="227"/>
      <c r="F432" s="227"/>
      <c r="G432" s="227"/>
      <c r="H432" s="225"/>
      <c r="I432" s="225"/>
      <c r="J432" s="225"/>
      <c r="K432" s="225"/>
      <c r="L432" s="222"/>
      <c r="M432" s="217"/>
      <c r="N432" s="149" t="str">
        <f ca="1">IF(OR(C432="",INDIRECT("L"&amp;ROUNDUP((ROW()-6)/8,0)*8-1)=""),"",IF($P$3="否",工时测量记录表!Z431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32" s="214"/>
      <c r="P432" s="213"/>
    </row>
    <row r="433" spans="1:17" ht="15.6">
      <c r="A433" s="232"/>
      <c r="B433" s="229"/>
      <c r="C433" s="148" t="str">
        <f>IF(工时测量记录表!D432="","",工时测量记录表!D432)</f>
        <v/>
      </c>
      <c r="D433" s="227"/>
      <c r="E433" s="227"/>
      <c r="F433" s="227"/>
      <c r="G433" s="227"/>
      <c r="H433" s="225"/>
      <c r="I433" s="225"/>
      <c r="J433" s="225"/>
      <c r="K433" s="225"/>
      <c r="L433" s="222"/>
      <c r="M433" s="217"/>
      <c r="N433" s="149" t="str">
        <f ca="1">IF(OR(C433="",INDIRECT("L"&amp;ROUNDUP((ROW()-6)/8,0)*8-1)=""),"",IF($P$3="否",工时测量记录表!Z432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33" s="214"/>
      <c r="P433" s="213"/>
    </row>
    <row r="434" spans="1:17" ht="15.6">
      <c r="A434" s="232"/>
      <c r="B434" s="229"/>
      <c r="C434" s="148" t="str">
        <f>IF(工时测量记录表!D433="","",工时测量记录表!D433)</f>
        <v/>
      </c>
      <c r="D434" s="227"/>
      <c r="E434" s="227"/>
      <c r="F434" s="227"/>
      <c r="G434" s="227"/>
      <c r="H434" s="225"/>
      <c r="I434" s="225"/>
      <c r="J434" s="225"/>
      <c r="K434" s="225"/>
      <c r="L434" s="222"/>
      <c r="M434" s="217"/>
      <c r="N434" s="149" t="str">
        <f ca="1">IF(OR(C434="",INDIRECT("L"&amp;ROUNDUP((ROW()-6)/8,0)*8-1)=""),"",IF($P$3="否",工时测量记录表!Z433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34" s="214"/>
      <c r="P434" s="213"/>
    </row>
    <row r="435" spans="1:17" ht="15.6">
      <c r="A435" s="232"/>
      <c r="B435" s="229"/>
      <c r="C435" s="148" t="str">
        <f>IF(工时测量记录表!D434="","",工时测量记录表!D434)</f>
        <v/>
      </c>
      <c r="D435" s="227"/>
      <c r="E435" s="227"/>
      <c r="F435" s="227"/>
      <c r="G435" s="227"/>
      <c r="H435" s="225"/>
      <c r="I435" s="225"/>
      <c r="J435" s="225"/>
      <c r="K435" s="225"/>
      <c r="L435" s="222"/>
      <c r="M435" s="217"/>
      <c r="N435" s="149" t="str">
        <f ca="1">IF(OR(C435="",INDIRECT("L"&amp;ROUNDUP((ROW()-6)/8,0)*8-1)=""),"",IF($P$3="否",工时测量记录表!Z434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35" s="214"/>
      <c r="P435" s="213"/>
      <c r="Q435" s="125"/>
    </row>
    <row r="436" spans="1:17" ht="15.6">
      <c r="A436" s="232"/>
      <c r="B436" s="229"/>
      <c r="C436" s="148" t="str">
        <f>IF(工时测量记录表!D435="","",工时测量记录表!D435)</f>
        <v/>
      </c>
      <c r="D436" s="227"/>
      <c r="E436" s="227"/>
      <c r="F436" s="227"/>
      <c r="G436" s="227"/>
      <c r="H436" s="225"/>
      <c r="I436" s="225"/>
      <c r="J436" s="225"/>
      <c r="K436" s="225"/>
      <c r="L436" s="222"/>
      <c r="M436" s="217"/>
      <c r="N436" s="149" t="str">
        <f ca="1">IF(OR(C436="",INDIRECT("L"&amp;ROUNDUP((ROW()-6)/8,0)*8-1)=""),"",IF($P$3="否",工时测量记录表!Z435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36" s="214"/>
      <c r="P436" s="213"/>
    </row>
    <row r="437" spans="1:17" ht="15.6">
      <c r="A437" s="232"/>
      <c r="B437" s="229"/>
      <c r="C437" s="148" t="str">
        <f>IF(工时测量记录表!D436="","",工时测量记录表!D436)</f>
        <v/>
      </c>
      <c r="D437" s="227"/>
      <c r="E437" s="227"/>
      <c r="F437" s="227"/>
      <c r="G437" s="227"/>
      <c r="H437" s="225"/>
      <c r="I437" s="225"/>
      <c r="J437" s="225"/>
      <c r="K437" s="225"/>
      <c r="L437" s="222"/>
      <c r="M437" s="217"/>
      <c r="N437" s="149" t="str">
        <f ca="1">IF(OR(C437="",INDIRECT("L"&amp;ROUNDUP((ROW()-6)/8,0)*8-1)=""),"",IF($P$3="否",工时测量记录表!Z436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37" s="214"/>
      <c r="P437" s="213"/>
    </row>
    <row r="438" spans="1:17" ht="15.6">
      <c r="A438" s="232"/>
      <c r="B438" s="229"/>
      <c r="C438" s="148" t="str">
        <f>IF(工时测量记录表!D437="","",工时测量记录表!D437)</f>
        <v/>
      </c>
      <c r="D438" s="227"/>
      <c r="E438" s="227"/>
      <c r="F438" s="227"/>
      <c r="G438" s="227"/>
      <c r="H438" s="225"/>
      <c r="I438" s="225"/>
      <c r="J438" s="225"/>
      <c r="K438" s="225"/>
      <c r="L438" s="222"/>
      <c r="M438" s="217"/>
      <c r="N438" s="149" t="str">
        <f ca="1">IF(OR(C438="",INDIRECT("L"&amp;ROUNDUP((ROW()-6)/8,0)*8-1)=""),"",IF($P$3="否",工时测量记录表!Z437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38" s="214"/>
      <c r="P438" s="213"/>
    </row>
    <row r="439" spans="1:17" ht="15.6">
      <c r="A439" s="232">
        <f>IF(工时测量记录表!A438="","",工时测量记录表!A438)</f>
        <v>55</v>
      </c>
      <c r="B439" s="229" t="str">
        <f>IF(工时测量记录表!B438="","",工时测量记录表!B438)</f>
        <v/>
      </c>
      <c r="C439" s="148" t="str">
        <f>IF(工时测量记录表!D438="","",工时测量记录表!D438)</f>
        <v/>
      </c>
      <c r="D439" s="227">
        <f t="shared" ref="D439:K439" si="53">IF($A439="","",D$7)</f>
        <v>0</v>
      </c>
      <c r="E439" s="227">
        <f t="shared" si="53"/>
        <v>0</v>
      </c>
      <c r="F439" s="227">
        <f t="shared" si="53"/>
        <v>0</v>
      </c>
      <c r="G439" s="227">
        <f t="shared" si="53"/>
        <v>0</v>
      </c>
      <c r="H439" s="225">
        <f t="shared" si="53"/>
        <v>0</v>
      </c>
      <c r="I439" s="225">
        <f t="shared" si="53"/>
        <v>0</v>
      </c>
      <c r="J439" s="225">
        <f t="shared" si="53"/>
        <v>0</v>
      </c>
      <c r="K439" s="225">
        <f t="shared" si="53"/>
        <v>0</v>
      </c>
      <c r="L439" s="222" t="str">
        <f>IF(工时测量记录表!C438="","",工时测量记录表!C438)</f>
        <v/>
      </c>
      <c r="M439" s="217">
        <v>1</v>
      </c>
      <c r="N439" s="149" t="str">
        <f ca="1">IF(OR(C439="",INDIRECT("L"&amp;ROUNDUP((ROW()-6)/8,0)*8-1)=""),"",IF($P$3="否",工时测量记录表!Z438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39" s="214" t="str">
        <f ca="1">IF(COUNT(N439:N446)=0,"",SUM(N439:N446))</f>
        <v/>
      </c>
      <c r="P439" s="213"/>
    </row>
    <row r="440" spans="1:17" ht="15.6">
      <c r="A440" s="232"/>
      <c r="B440" s="229"/>
      <c r="C440" s="148" t="str">
        <f>IF(工时测量记录表!D439="","",工时测量记录表!D439)</f>
        <v/>
      </c>
      <c r="D440" s="227"/>
      <c r="E440" s="227"/>
      <c r="F440" s="227"/>
      <c r="G440" s="227"/>
      <c r="H440" s="225"/>
      <c r="I440" s="225"/>
      <c r="J440" s="225"/>
      <c r="K440" s="225"/>
      <c r="L440" s="222"/>
      <c r="M440" s="217"/>
      <c r="N440" s="149" t="str">
        <f ca="1">IF(OR(C440="",INDIRECT("L"&amp;ROUNDUP((ROW()-6)/8,0)*8-1)=""),"",IF($P$3="否",工时测量记录表!Z439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439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40" s="214"/>
      <c r="P440" s="213"/>
    </row>
    <row r="441" spans="1:17" ht="15.6">
      <c r="A441" s="232"/>
      <c r="B441" s="229"/>
      <c r="C441" s="148" t="str">
        <f>IF(工时测量记录表!D440="","",工时测量记录表!D440)</f>
        <v/>
      </c>
      <c r="D441" s="227"/>
      <c r="E441" s="227"/>
      <c r="F441" s="227"/>
      <c r="G441" s="227"/>
      <c r="H441" s="225"/>
      <c r="I441" s="225"/>
      <c r="J441" s="225"/>
      <c r="K441" s="225"/>
      <c r="L441" s="222"/>
      <c r="M441" s="217"/>
      <c r="N441" s="149" t="str">
        <f ca="1">IF(OR(C441="",INDIRECT("L"&amp;ROUNDUP((ROW()-6)/8,0)*8-1)=""),"",IF($P$3="否",工时测量记录表!Z440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41" s="214"/>
      <c r="P441" s="213"/>
    </row>
    <row r="442" spans="1:17" ht="15.6">
      <c r="A442" s="232"/>
      <c r="B442" s="229"/>
      <c r="C442" s="148" t="str">
        <f>IF(工时测量记录表!D441="","",工时测量记录表!D441)</f>
        <v/>
      </c>
      <c r="D442" s="227"/>
      <c r="E442" s="227"/>
      <c r="F442" s="227"/>
      <c r="G442" s="227"/>
      <c r="H442" s="225"/>
      <c r="I442" s="225"/>
      <c r="J442" s="225"/>
      <c r="K442" s="225"/>
      <c r="L442" s="222"/>
      <c r="M442" s="217"/>
      <c r="N442" s="149" t="str">
        <f ca="1">IF(OR(C442="",INDIRECT("L"&amp;ROUNDUP((ROW()-6)/8,0)*8-1)=""),"",IF($P$3="否",工时测量记录表!Z441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42" s="214"/>
      <c r="P442" s="213"/>
    </row>
    <row r="443" spans="1:17" ht="15.6">
      <c r="A443" s="232"/>
      <c r="B443" s="229"/>
      <c r="C443" s="148" t="str">
        <f>IF(工时测量记录表!D442="","",工时测量记录表!D442)</f>
        <v/>
      </c>
      <c r="D443" s="227"/>
      <c r="E443" s="227"/>
      <c r="F443" s="227"/>
      <c r="G443" s="227"/>
      <c r="H443" s="225"/>
      <c r="I443" s="225"/>
      <c r="J443" s="225"/>
      <c r="K443" s="225"/>
      <c r="L443" s="222"/>
      <c r="M443" s="217"/>
      <c r="N443" s="149" t="str">
        <f ca="1">IF(OR(C443="",INDIRECT("L"&amp;ROUNDUP((ROW()-6)/8,0)*8-1)=""),"",IF($P$3="否",工时测量记录表!Z442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43" s="214"/>
      <c r="P443" s="213"/>
      <c r="Q443" s="125"/>
    </row>
    <row r="444" spans="1:17" ht="15.6">
      <c r="A444" s="232"/>
      <c r="B444" s="229"/>
      <c r="C444" s="148" t="str">
        <f>IF(工时测量记录表!D443="","",工时测量记录表!D443)</f>
        <v/>
      </c>
      <c r="D444" s="227"/>
      <c r="E444" s="227"/>
      <c r="F444" s="227"/>
      <c r="G444" s="227"/>
      <c r="H444" s="225"/>
      <c r="I444" s="225"/>
      <c r="J444" s="225"/>
      <c r="K444" s="225"/>
      <c r="L444" s="222"/>
      <c r="M444" s="217"/>
      <c r="N444" s="149" t="str">
        <f ca="1">IF(OR(C444="",INDIRECT("L"&amp;ROUNDUP((ROW()-6)/8,0)*8-1)=""),"",IF($P$3="否",工时测量记录表!Z443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44" s="214"/>
      <c r="P444" s="213"/>
    </row>
    <row r="445" spans="1:17" ht="15.6">
      <c r="A445" s="232"/>
      <c r="B445" s="229"/>
      <c r="C445" s="148" t="str">
        <f>IF(工时测量记录表!D444="","",工时测量记录表!D444)</f>
        <v/>
      </c>
      <c r="D445" s="227"/>
      <c r="E445" s="227"/>
      <c r="F445" s="227"/>
      <c r="G445" s="227"/>
      <c r="H445" s="225"/>
      <c r="I445" s="225"/>
      <c r="J445" s="225"/>
      <c r="K445" s="225"/>
      <c r="L445" s="222"/>
      <c r="M445" s="217"/>
      <c r="N445" s="149" t="str">
        <f ca="1">IF(OR(C445="",INDIRECT("L"&amp;ROUNDUP((ROW()-6)/8,0)*8-1)=""),"",IF($P$3="否",工时测量记录表!Z444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45" s="214"/>
      <c r="P445" s="213"/>
    </row>
    <row r="446" spans="1:17" ht="15.6">
      <c r="A446" s="232"/>
      <c r="B446" s="229"/>
      <c r="C446" s="148" t="str">
        <f>IF(工时测量记录表!D445="","",工时测量记录表!D445)</f>
        <v/>
      </c>
      <c r="D446" s="227"/>
      <c r="E446" s="227"/>
      <c r="F446" s="227"/>
      <c r="G446" s="227"/>
      <c r="H446" s="225"/>
      <c r="I446" s="225"/>
      <c r="J446" s="225"/>
      <c r="K446" s="225"/>
      <c r="L446" s="222"/>
      <c r="M446" s="217"/>
      <c r="N446" s="149" t="str">
        <f ca="1">IF(OR(C446="",INDIRECT("L"&amp;ROUNDUP((ROW()-6)/8,0)*8-1)=""),"",IF($P$3="否",工时测量记录表!Z445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46" s="214"/>
      <c r="P446" s="213"/>
    </row>
    <row r="447" spans="1:17" ht="15.6">
      <c r="A447" s="232">
        <f>IF(工时测量记录表!A446="","",工时测量记录表!A446)</f>
        <v>56</v>
      </c>
      <c r="B447" s="229" t="str">
        <f>IF(工时测量记录表!B446="","",工时测量记录表!B446)</f>
        <v/>
      </c>
      <c r="C447" s="148" t="str">
        <f>IF(工时测量记录表!D446="","",工时测量记录表!D446)</f>
        <v/>
      </c>
      <c r="D447" s="227">
        <f t="shared" ref="D447:K447" si="54">IF($A447="","",D$7)</f>
        <v>0</v>
      </c>
      <c r="E447" s="227">
        <f t="shared" si="54"/>
        <v>0</v>
      </c>
      <c r="F447" s="227">
        <f t="shared" si="54"/>
        <v>0</v>
      </c>
      <c r="G447" s="227">
        <f t="shared" si="54"/>
        <v>0</v>
      </c>
      <c r="H447" s="225">
        <f t="shared" si="54"/>
        <v>0</v>
      </c>
      <c r="I447" s="225">
        <f t="shared" si="54"/>
        <v>0</v>
      </c>
      <c r="J447" s="225">
        <f t="shared" si="54"/>
        <v>0</v>
      </c>
      <c r="K447" s="225">
        <f t="shared" si="54"/>
        <v>0</v>
      </c>
      <c r="L447" s="222" t="str">
        <f>IF(工时测量记录表!C446="","",工时测量记录表!C446)</f>
        <v/>
      </c>
      <c r="M447" s="217">
        <v>1</v>
      </c>
      <c r="N447" s="149" t="str">
        <f ca="1">IF(OR(C447="",INDIRECT("L"&amp;ROUNDUP((ROW()-6)/8,0)*8-1)=""),"",IF($P$3="否",工时测量记录表!Z446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47" s="214" t="str">
        <f ca="1">IF(COUNT(N447:N454)=0,"",SUM(N447:N454))</f>
        <v/>
      </c>
      <c r="P447" s="213"/>
    </row>
    <row r="448" spans="1:17" ht="15.6">
      <c r="A448" s="232"/>
      <c r="B448" s="229"/>
      <c r="C448" s="148" t="str">
        <f>IF(工时测量记录表!D447="","",工时测量记录表!D447)</f>
        <v/>
      </c>
      <c r="D448" s="227"/>
      <c r="E448" s="227"/>
      <c r="F448" s="227"/>
      <c r="G448" s="227"/>
      <c r="H448" s="225"/>
      <c r="I448" s="225"/>
      <c r="J448" s="225"/>
      <c r="K448" s="225"/>
      <c r="L448" s="222"/>
      <c r="M448" s="217"/>
      <c r="N448" s="149" t="str">
        <f ca="1">IF(OR(C448="",INDIRECT("L"&amp;ROUNDUP((ROW()-6)/8,0)*8-1)=""),"",IF($P$3="否",工时测量记录表!Z447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48" s="214"/>
      <c r="P448" s="213"/>
    </row>
    <row r="449" spans="1:17" ht="15.6">
      <c r="A449" s="232"/>
      <c r="B449" s="229"/>
      <c r="C449" s="148" t="str">
        <f>IF(工时测量记录表!D448="","",工时测量记录表!D448)</f>
        <v/>
      </c>
      <c r="D449" s="227"/>
      <c r="E449" s="227"/>
      <c r="F449" s="227"/>
      <c r="G449" s="227"/>
      <c r="H449" s="225"/>
      <c r="I449" s="225"/>
      <c r="J449" s="225"/>
      <c r="K449" s="225"/>
      <c r="L449" s="222"/>
      <c r="M449" s="217"/>
      <c r="N449" s="149" t="str">
        <f ca="1">IF(OR(C449="",INDIRECT("L"&amp;ROUNDUP((ROW()-6)/8,0)*8-1)=""),"",IF($P$3="否",工时测量记录表!Z448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49" s="214"/>
      <c r="P449" s="213"/>
    </row>
    <row r="450" spans="1:17" ht="15.6">
      <c r="A450" s="232"/>
      <c r="B450" s="229"/>
      <c r="C450" s="148" t="str">
        <f>IF(工时测量记录表!D449="","",工时测量记录表!D449)</f>
        <v/>
      </c>
      <c r="D450" s="227"/>
      <c r="E450" s="227"/>
      <c r="F450" s="227"/>
      <c r="G450" s="227"/>
      <c r="H450" s="225"/>
      <c r="I450" s="225"/>
      <c r="J450" s="225"/>
      <c r="K450" s="225"/>
      <c r="L450" s="222"/>
      <c r="M450" s="217"/>
      <c r="N450" s="149" t="str">
        <f ca="1">IF(OR(C450="",INDIRECT("L"&amp;ROUNDUP((ROW()-6)/8,0)*8-1)=""),"",IF($P$3="否",工时测量记录表!Z449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449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50" s="214"/>
      <c r="P450" s="213"/>
    </row>
    <row r="451" spans="1:17" ht="15.6">
      <c r="A451" s="232"/>
      <c r="B451" s="229"/>
      <c r="C451" s="148" t="str">
        <f>IF(工时测量记录表!D450="","",工时测量记录表!D450)</f>
        <v/>
      </c>
      <c r="D451" s="227"/>
      <c r="E451" s="227"/>
      <c r="F451" s="227"/>
      <c r="G451" s="227"/>
      <c r="H451" s="225"/>
      <c r="I451" s="225"/>
      <c r="J451" s="225"/>
      <c r="K451" s="225"/>
      <c r="L451" s="222"/>
      <c r="M451" s="217"/>
      <c r="N451" s="149" t="str">
        <f ca="1">IF(OR(C451="",INDIRECT("L"&amp;ROUNDUP((ROW()-6)/8,0)*8-1)=""),"",IF($P$3="否",工时测量记录表!Z450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51" s="214"/>
      <c r="P451" s="213"/>
      <c r="Q451" s="125"/>
    </row>
    <row r="452" spans="1:17" ht="15.6">
      <c r="A452" s="232"/>
      <c r="B452" s="229"/>
      <c r="C452" s="148" t="str">
        <f>IF(工时测量记录表!D451="","",工时测量记录表!D451)</f>
        <v/>
      </c>
      <c r="D452" s="227"/>
      <c r="E452" s="227"/>
      <c r="F452" s="227"/>
      <c r="G452" s="227"/>
      <c r="H452" s="225"/>
      <c r="I452" s="225"/>
      <c r="J452" s="225"/>
      <c r="K452" s="225"/>
      <c r="L452" s="222"/>
      <c r="M452" s="217"/>
      <c r="N452" s="149" t="str">
        <f ca="1">IF(OR(C452="",INDIRECT("L"&amp;ROUNDUP((ROW()-6)/8,0)*8-1)=""),"",IF($P$3="否",工时测量记录表!Z451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52" s="214"/>
      <c r="P452" s="213"/>
    </row>
    <row r="453" spans="1:17" ht="15.6">
      <c r="A453" s="232"/>
      <c r="B453" s="229"/>
      <c r="C453" s="148" t="str">
        <f>IF(工时测量记录表!D452="","",工时测量记录表!D452)</f>
        <v/>
      </c>
      <c r="D453" s="227"/>
      <c r="E453" s="227"/>
      <c r="F453" s="227"/>
      <c r="G453" s="227"/>
      <c r="H453" s="225"/>
      <c r="I453" s="225"/>
      <c r="J453" s="225"/>
      <c r="K453" s="225"/>
      <c r="L453" s="222"/>
      <c r="M453" s="217"/>
      <c r="N453" s="149" t="str">
        <f ca="1">IF(OR(C453="",INDIRECT("L"&amp;ROUNDUP((ROW()-6)/8,0)*8-1)=""),"",IF($P$3="否",工时测量记录表!Z452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53" s="214"/>
      <c r="P453" s="213"/>
    </row>
    <row r="454" spans="1:17" ht="15.6">
      <c r="A454" s="232"/>
      <c r="B454" s="229"/>
      <c r="C454" s="148" t="str">
        <f>IF(工时测量记录表!D453="","",工时测量记录表!D453)</f>
        <v/>
      </c>
      <c r="D454" s="227"/>
      <c r="E454" s="227"/>
      <c r="F454" s="227"/>
      <c r="G454" s="227"/>
      <c r="H454" s="225"/>
      <c r="I454" s="225"/>
      <c r="J454" s="225"/>
      <c r="K454" s="225"/>
      <c r="L454" s="222"/>
      <c r="M454" s="217"/>
      <c r="N454" s="149" t="str">
        <f ca="1">IF(OR(C454="",INDIRECT("L"&amp;ROUNDUP((ROW()-6)/8,0)*8-1)=""),"",IF($P$3="否",工时测量记录表!Z453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54" s="214"/>
      <c r="P454" s="213"/>
    </row>
    <row r="455" spans="1:17" ht="15.6">
      <c r="A455" s="232">
        <f>IF(工时测量记录表!A454="","",工时测量记录表!A454)</f>
        <v>57</v>
      </c>
      <c r="B455" s="229" t="str">
        <f>IF(工时测量记录表!B454="","",工时测量记录表!B454)</f>
        <v/>
      </c>
      <c r="C455" s="148" t="str">
        <f>IF(工时测量记录表!D454="","",工时测量记录表!D454)</f>
        <v/>
      </c>
      <c r="D455" s="227">
        <f t="shared" ref="D455:K455" si="55">IF($A455="","",D$7)</f>
        <v>0</v>
      </c>
      <c r="E455" s="227">
        <f t="shared" si="55"/>
        <v>0</v>
      </c>
      <c r="F455" s="227">
        <f t="shared" si="55"/>
        <v>0</v>
      </c>
      <c r="G455" s="227">
        <f t="shared" si="55"/>
        <v>0</v>
      </c>
      <c r="H455" s="225">
        <f t="shared" si="55"/>
        <v>0</v>
      </c>
      <c r="I455" s="225">
        <f t="shared" si="55"/>
        <v>0</v>
      </c>
      <c r="J455" s="225">
        <f t="shared" si="55"/>
        <v>0</v>
      </c>
      <c r="K455" s="225">
        <f t="shared" si="55"/>
        <v>0</v>
      </c>
      <c r="L455" s="222" t="str">
        <f>IF(工时测量记录表!C454="","",工时测量记录表!C454)</f>
        <v/>
      </c>
      <c r="M455" s="217">
        <v>1</v>
      </c>
      <c r="N455" s="149" t="str">
        <f ca="1">IF(OR(C455="",INDIRECT("L"&amp;ROUNDUP((ROW()-6)/8,0)*8-1)=""),"",IF($P$3="否",工时测量记录表!Z454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55" s="214" t="str">
        <f ca="1">IF(COUNT(N455:N462)=0,"",SUM(N455:N462))</f>
        <v/>
      </c>
      <c r="P455" s="213"/>
    </row>
    <row r="456" spans="1:17" ht="15.6">
      <c r="A456" s="232"/>
      <c r="B456" s="229"/>
      <c r="C456" s="148" t="str">
        <f>IF(工时测量记录表!D455="","",工时测量记录表!D455)</f>
        <v/>
      </c>
      <c r="D456" s="227"/>
      <c r="E456" s="227"/>
      <c r="F456" s="227"/>
      <c r="G456" s="227"/>
      <c r="H456" s="225"/>
      <c r="I456" s="225"/>
      <c r="J456" s="225"/>
      <c r="K456" s="225"/>
      <c r="L456" s="222"/>
      <c r="M456" s="217"/>
      <c r="N456" s="149" t="str">
        <f ca="1">IF(OR(C456="",INDIRECT("L"&amp;ROUNDUP((ROW()-6)/8,0)*8-1)=""),"",IF($P$3="否",工时测量记录表!Z455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56" s="214"/>
      <c r="P456" s="213"/>
    </row>
    <row r="457" spans="1:17" ht="15.6">
      <c r="A457" s="232"/>
      <c r="B457" s="229"/>
      <c r="C457" s="148" t="str">
        <f>IF(工时测量记录表!D456="","",工时测量记录表!D456)</f>
        <v/>
      </c>
      <c r="D457" s="227"/>
      <c r="E457" s="227"/>
      <c r="F457" s="227"/>
      <c r="G457" s="227"/>
      <c r="H457" s="225"/>
      <c r="I457" s="225"/>
      <c r="J457" s="225"/>
      <c r="K457" s="225"/>
      <c r="L457" s="222"/>
      <c r="M457" s="217"/>
      <c r="N457" s="149" t="str">
        <f ca="1">IF(OR(C457="",INDIRECT("L"&amp;ROUNDUP((ROW()-6)/8,0)*8-1)=""),"",IF($P$3="否",工时测量记录表!Z456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57" s="214"/>
      <c r="P457" s="213"/>
    </row>
    <row r="458" spans="1:17" ht="15.6">
      <c r="A458" s="232"/>
      <c r="B458" s="229"/>
      <c r="C458" s="148" t="str">
        <f>IF(工时测量记录表!D457="","",工时测量记录表!D457)</f>
        <v/>
      </c>
      <c r="D458" s="227"/>
      <c r="E458" s="227"/>
      <c r="F458" s="227"/>
      <c r="G458" s="227"/>
      <c r="H458" s="225"/>
      <c r="I458" s="225"/>
      <c r="J458" s="225"/>
      <c r="K458" s="225"/>
      <c r="L458" s="222"/>
      <c r="M458" s="217"/>
      <c r="N458" s="149" t="str">
        <f ca="1">IF(OR(C458="",INDIRECT("L"&amp;ROUNDUP((ROW()-6)/8,0)*8-1)=""),"",IF($P$3="否",工时测量记录表!Z457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58" s="214"/>
      <c r="P458" s="213"/>
    </row>
    <row r="459" spans="1:17" ht="15.6">
      <c r="A459" s="232"/>
      <c r="B459" s="229"/>
      <c r="C459" s="148" t="str">
        <f>IF(工时测量记录表!D458="","",工时测量记录表!D458)</f>
        <v/>
      </c>
      <c r="D459" s="227"/>
      <c r="E459" s="227"/>
      <c r="F459" s="227"/>
      <c r="G459" s="227"/>
      <c r="H459" s="225"/>
      <c r="I459" s="225"/>
      <c r="J459" s="225"/>
      <c r="K459" s="225"/>
      <c r="L459" s="222"/>
      <c r="M459" s="217"/>
      <c r="N459" s="149" t="str">
        <f ca="1">IF(OR(C459="",INDIRECT("L"&amp;ROUNDUP((ROW()-6)/8,0)*8-1)=""),"",IF($P$3="否",工时测量记录表!Z458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59" s="214"/>
      <c r="P459" s="213"/>
      <c r="Q459" s="125"/>
    </row>
    <row r="460" spans="1:17" ht="15.6">
      <c r="A460" s="232"/>
      <c r="B460" s="229"/>
      <c r="C460" s="148" t="str">
        <f>IF(工时测量记录表!D459="","",工时测量记录表!D459)</f>
        <v/>
      </c>
      <c r="D460" s="227"/>
      <c r="E460" s="227"/>
      <c r="F460" s="227"/>
      <c r="G460" s="227"/>
      <c r="H460" s="225"/>
      <c r="I460" s="225"/>
      <c r="J460" s="225"/>
      <c r="K460" s="225"/>
      <c r="L460" s="222"/>
      <c r="M460" s="217"/>
      <c r="N460" s="149" t="str">
        <f ca="1">IF(OR(C460="",INDIRECT("L"&amp;ROUNDUP((ROW()-6)/8,0)*8-1)=""),"",IF($P$3="否",工时测量记录表!Z459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459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60" s="214"/>
      <c r="P460" s="213"/>
    </row>
    <row r="461" spans="1:17" ht="15.6">
      <c r="A461" s="232"/>
      <c r="B461" s="229"/>
      <c r="C461" s="148" t="str">
        <f>IF(工时测量记录表!D460="","",工时测量记录表!D460)</f>
        <v/>
      </c>
      <c r="D461" s="227"/>
      <c r="E461" s="227"/>
      <c r="F461" s="227"/>
      <c r="G461" s="227"/>
      <c r="H461" s="225"/>
      <c r="I461" s="225"/>
      <c r="J461" s="225"/>
      <c r="K461" s="225"/>
      <c r="L461" s="222"/>
      <c r="M461" s="217"/>
      <c r="N461" s="149" t="str">
        <f ca="1">IF(OR(C461="",INDIRECT("L"&amp;ROUNDUP((ROW()-6)/8,0)*8-1)=""),"",IF($P$3="否",工时测量记录表!Z460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61" s="214"/>
      <c r="P461" s="213"/>
    </row>
    <row r="462" spans="1:17" ht="15.6">
      <c r="A462" s="232"/>
      <c r="B462" s="229"/>
      <c r="C462" s="148" t="str">
        <f>IF(工时测量记录表!D461="","",工时测量记录表!D461)</f>
        <v/>
      </c>
      <c r="D462" s="227"/>
      <c r="E462" s="227"/>
      <c r="F462" s="227"/>
      <c r="G462" s="227"/>
      <c r="H462" s="225"/>
      <c r="I462" s="225"/>
      <c r="J462" s="225"/>
      <c r="K462" s="225"/>
      <c r="L462" s="222"/>
      <c r="M462" s="217"/>
      <c r="N462" s="149" t="str">
        <f ca="1">IF(OR(C462="",INDIRECT("L"&amp;ROUNDUP((ROW()-6)/8,0)*8-1)=""),"",IF($P$3="否",工时测量记录表!Z461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62" s="214"/>
      <c r="P462" s="213"/>
    </row>
    <row r="463" spans="1:17" ht="15.6">
      <c r="A463" s="232">
        <f>IF(工时测量记录表!A462="","",工时测量记录表!A462)</f>
        <v>58</v>
      </c>
      <c r="B463" s="229" t="str">
        <f>IF(工时测量记录表!B462="","",工时测量记录表!B462)</f>
        <v/>
      </c>
      <c r="C463" s="148" t="str">
        <f>IF(工时测量记录表!D462="","",工时测量记录表!D462)</f>
        <v/>
      </c>
      <c r="D463" s="227">
        <f t="shared" ref="D463:K463" si="56">IF($A463="","",D$7)</f>
        <v>0</v>
      </c>
      <c r="E463" s="227">
        <f t="shared" si="56"/>
        <v>0</v>
      </c>
      <c r="F463" s="227">
        <f t="shared" si="56"/>
        <v>0</v>
      </c>
      <c r="G463" s="227">
        <f t="shared" si="56"/>
        <v>0</v>
      </c>
      <c r="H463" s="225">
        <f t="shared" si="56"/>
        <v>0</v>
      </c>
      <c r="I463" s="225">
        <f t="shared" si="56"/>
        <v>0</v>
      </c>
      <c r="J463" s="225">
        <f t="shared" si="56"/>
        <v>0</v>
      </c>
      <c r="K463" s="225">
        <f t="shared" si="56"/>
        <v>0</v>
      </c>
      <c r="L463" s="222" t="str">
        <f>IF(工时测量记录表!C462="","",工时测量记录表!C462)</f>
        <v/>
      </c>
      <c r="M463" s="217">
        <v>1</v>
      </c>
      <c r="N463" s="149" t="str">
        <f ca="1">IF(OR(C463="",INDIRECT("L"&amp;ROUNDUP((ROW()-6)/8,0)*8-1)=""),"",IF($P$3="否",工时测量记录表!Z462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63" s="214" t="str">
        <f ca="1">IF(COUNT(N463:N470)=0,"",SUM(N463:N470))</f>
        <v/>
      </c>
      <c r="P463" s="213"/>
    </row>
    <row r="464" spans="1:17" ht="15.6">
      <c r="A464" s="232"/>
      <c r="B464" s="229"/>
      <c r="C464" s="148" t="str">
        <f>IF(工时测量记录表!D463="","",工时测量记录表!D463)</f>
        <v/>
      </c>
      <c r="D464" s="227"/>
      <c r="E464" s="227"/>
      <c r="F464" s="227"/>
      <c r="G464" s="227"/>
      <c r="H464" s="225"/>
      <c r="I464" s="225"/>
      <c r="J464" s="225"/>
      <c r="K464" s="225"/>
      <c r="L464" s="222"/>
      <c r="M464" s="217"/>
      <c r="N464" s="149" t="str">
        <f ca="1">IF(OR(C464="",INDIRECT("L"&amp;ROUNDUP((ROW()-6)/8,0)*8-1)=""),"",IF($P$3="否",工时测量记录表!Z463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64" s="214"/>
      <c r="P464" s="213"/>
    </row>
    <row r="465" spans="1:17" ht="15.6">
      <c r="A465" s="232"/>
      <c r="B465" s="229"/>
      <c r="C465" s="148" t="str">
        <f>IF(工时测量记录表!D464="","",工时测量记录表!D464)</f>
        <v/>
      </c>
      <c r="D465" s="227"/>
      <c r="E465" s="227"/>
      <c r="F465" s="227"/>
      <c r="G465" s="227"/>
      <c r="H465" s="225"/>
      <c r="I465" s="225"/>
      <c r="J465" s="225"/>
      <c r="K465" s="225"/>
      <c r="L465" s="222"/>
      <c r="M465" s="217"/>
      <c r="N465" s="149" t="str">
        <f ca="1">IF(OR(C465="",INDIRECT("L"&amp;ROUNDUP((ROW()-6)/8,0)*8-1)=""),"",IF($P$3="否",工时测量记录表!Z464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65" s="214"/>
      <c r="P465" s="213"/>
    </row>
    <row r="466" spans="1:17" ht="15.6">
      <c r="A466" s="232"/>
      <c r="B466" s="229"/>
      <c r="C466" s="148" t="str">
        <f>IF(工时测量记录表!D465="","",工时测量记录表!D465)</f>
        <v/>
      </c>
      <c r="D466" s="227"/>
      <c r="E466" s="227"/>
      <c r="F466" s="227"/>
      <c r="G466" s="227"/>
      <c r="H466" s="225"/>
      <c r="I466" s="225"/>
      <c r="J466" s="225"/>
      <c r="K466" s="225"/>
      <c r="L466" s="222"/>
      <c r="M466" s="217"/>
      <c r="N466" s="149" t="str">
        <f ca="1">IF(OR(C466="",INDIRECT("L"&amp;ROUNDUP((ROW()-6)/8,0)*8-1)=""),"",IF($P$3="否",工时测量记录表!Z465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66" s="214"/>
      <c r="P466" s="213"/>
    </row>
    <row r="467" spans="1:17" ht="15.6">
      <c r="A467" s="232"/>
      <c r="B467" s="229"/>
      <c r="C467" s="148" t="str">
        <f>IF(工时测量记录表!D466="","",工时测量记录表!D466)</f>
        <v/>
      </c>
      <c r="D467" s="227"/>
      <c r="E467" s="227"/>
      <c r="F467" s="227"/>
      <c r="G467" s="227"/>
      <c r="H467" s="225"/>
      <c r="I467" s="225"/>
      <c r="J467" s="225"/>
      <c r="K467" s="225"/>
      <c r="L467" s="222"/>
      <c r="M467" s="217"/>
      <c r="N467" s="149" t="str">
        <f ca="1">IF(OR(C467="",INDIRECT("L"&amp;ROUNDUP((ROW()-6)/8,0)*8-1)=""),"",IF($P$3="否",工时测量记录表!Z466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67" s="214"/>
      <c r="P467" s="213"/>
      <c r="Q467" s="125"/>
    </row>
    <row r="468" spans="1:17" ht="15.6">
      <c r="A468" s="232"/>
      <c r="B468" s="229"/>
      <c r="C468" s="148" t="str">
        <f>IF(工时测量记录表!D467="","",工时测量记录表!D467)</f>
        <v/>
      </c>
      <c r="D468" s="227"/>
      <c r="E468" s="227"/>
      <c r="F468" s="227"/>
      <c r="G468" s="227"/>
      <c r="H468" s="225"/>
      <c r="I468" s="225"/>
      <c r="J468" s="225"/>
      <c r="K468" s="225"/>
      <c r="L468" s="222"/>
      <c r="M468" s="217"/>
      <c r="N468" s="149" t="str">
        <f ca="1">IF(OR(C468="",INDIRECT("L"&amp;ROUNDUP((ROW()-6)/8,0)*8-1)=""),"",IF($P$3="否",工时测量记录表!Z467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68" s="214"/>
      <c r="P468" s="213"/>
    </row>
    <row r="469" spans="1:17" ht="15.6">
      <c r="A469" s="232"/>
      <c r="B469" s="229"/>
      <c r="C469" s="148" t="str">
        <f>IF(工时测量记录表!D468="","",工时测量记录表!D468)</f>
        <v/>
      </c>
      <c r="D469" s="227"/>
      <c r="E469" s="227"/>
      <c r="F469" s="227"/>
      <c r="G469" s="227"/>
      <c r="H469" s="225"/>
      <c r="I469" s="225"/>
      <c r="J469" s="225"/>
      <c r="K469" s="225"/>
      <c r="L469" s="222"/>
      <c r="M469" s="217"/>
      <c r="N469" s="149" t="str">
        <f ca="1">IF(OR(C469="",INDIRECT("L"&amp;ROUNDUP((ROW()-6)/8,0)*8-1)=""),"",IF($P$3="否",工时测量记录表!Z468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69" s="214"/>
      <c r="P469" s="213"/>
    </row>
    <row r="470" spans="1:17" ht="15.6">
      <c r="A470" s="232"/>
      <c r="B470" s="229"/>
      <c r="C470" s="148" t="str">
        <f>IF(工时测量记录表!D469="","",工时测量记录表!D469)</f>
        <v/>
      </c>
      <c r="D470" s="227"/>
      <c r="E470" s="227"/>
      <c r="F470" s="227"/>
      <c r="G470" s="227"/>
      <c r="H470" s="225"/>
      <c r="I470" s="225"/>
      <c r="J470" s="225"/>
      <c r="K470" s="225"/>
      <c r="L470" s="222"/>
      <c r="M470" s="217"/>
      <c r="N470" s="149" t="str">
        <f ca="1">IF(OR(C470="",INDIRECT("L"&amp;ROUNDUP((ROW()-6)/8,0)*8-1)=""),"",IF($P$3="否",工时测量记录表!Z469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469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70" s="214"/>
      <c r="P470" s="213"/>
    </row>
    <row r="471" spans="1:17" ht="15.6">
      <c r="A471" s="232">
        <f>IF(工时测量记录表!A470="","",工时测量记录表!A470)</f>
        <v>59</v>
      </c>
      <c r="B471" s="229" t="str">
        <f>IF(工时测量记录表!B470="","",工时测量记录表!B470)</f>
        <v/>
      </c>
      <c r="C471" s="148" t="str">
        <f>IF(工时测量记录表!D470="","",工时测量记录表!D470)</f>
        <v/>
      </c>
      <c r="D471" s="227">
        <f t="shared" ref="D471:K471" si="57">IF($A471="","",D$7)</f>
        <v>0</v>
      </c>
      <c r="E471" s="227">
        <f t="shared" si="57"/>
        <v>0</v>
      </c>
      <c r="F471" s="227">
        <f t="shared" si="57"/>
        <v>0</v>
      </c>
      <c r="G471" s="227">
        <f t="shared" si="57"/>
        <v>0</v>
      </c>
      <c r="H471" s="225">
        <f t="shared" si="57"/>
        <v>0</v>
      </c>
      <c r="I471" s="225">
        <f t="shared" si="57"/>
        <v>0</v>
      </c>
      <c r="J471" s="225">
        <f t="shared" si="57"/>
        <v>0</v>
      </c>
      <c r="K471" s="225">
        <f t="shared" si="57"/>
        <v>0</v>
      </c>
      <c r="L471" s="222" t="str">
        <f>IF(工时测量记录表!C470="","",工时测量记录表!C470)</f>
        <v/>
      </c>
      <c r="M471" s="217">
        <v>1</v>
      </c>
      <c r="N471" s="149" t="str">
        <f ca="1">IF(OR(C471="",INDIRECT("L"&amp;ROUNDUP((ROW()-6)/8,0)*8-1)=""),"",IF($P$3="否",工时测量记录表!Z470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71" s="214" t="str">
        <f ca="1">IF(COUNT(N471:N478)=0,"",SUM(N471:N478))</f>
        <v/>
      </c>
      <c r="P471" s="213"/>
    </row>
    <row r="472" spans="1:17" ht="15.6">
      <c r="A472" s="232"/>
      <c r="B472" s="229"/>
      <c r="C472" s="148" t="str">
        <f>IF(工时测量记录表!D471="","",工时测量记录表!D471)</f>
        <v/>
      </c>
      <c r="D472" s="227"/>
      <c r="E472" s="227"/>
      <c r="F472" s="227"/>
      <c r="G472" s="227"/>
      <c r="H472" s="225"/>
      <c r="I472" s="225"/>
      <c r="J472" s="225"/>
      <c r="K472" s="225"/>
      <c r="L472" s="222"/>
      <c r="M472" s="217"/>
      <c r="N472" s="149" t="str">
        <f ca="1">IF(OR(C472="",INDIRECT("L"&amp;ROUNDUP((ROW()-6)/8,0)*8-1)=""),"",IF($P$3="否",工时测量记录表!Z471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72" s="214"/>
      <c r="P472" s="213"/>
    </row>
    <row r="473" spans="1:17" ht="15.6">
      <c r="A473" s="232"/>
      <c r="B473" s="229"/>
      <c r="C473" s="148" t="str">
        <f>IF(工时测量记录表!D472="","",工时测量记录表!D472)</f>
        <v/>
      </c>
      <c r="D473" s="227"/>
      <c r="E473" s="227"/>
      <c r="F473" s="227"/>
      <c r="G473" s="227"/>
      <c r="H473" s="225"/>
      <c r="I473" s="225"/>
      <c r="J473" s="225"/>
      <c r="K473" s="225"/>
      <c r="L473" s="222"/>
      <c r="M473" s="217"/>
      <c r="N473" s="149" t="str">
        <f ca="1">IF(OR(C473="",INDIRECT("L"&amp;ROUNDUP((ROW()-6)/8,0)*8-1)=""),"",IF($P$3="否",工时测量记录表!Z472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73" s="214"/>
      <c r="P473" s="213"/>
    </row>
    <row r="474" spans="1:17" ht="15.6">
      <c r="A474" s="232"/>
      <c r="B474" s="229"/>
      <c r="C474" s="148" t="str">
        <f>IF(工时测量记录表!D473="","",工时测量记录表!D473)</f>
        <v/>
      </c>
      <c r="D474" s="227"/>
      <c r="E474" s="227"/>
      <c r="F474" s="227"/>
      <c r="G474" s="227"/>
      <c r="H474" s="225"/>
      <c r="I474" s="225"/>
      <c r="J474" s="225"/>
      <c r="K474" s="225"/>
      <c r="L474" s="222"/>
      <c r="M474" s="217"/>
      <c r="N474" s="149" t="str">
        <f ca="1">IF(OR(C474="",INDIRECT("L"&amp;ROUNDUP((ROW()-6)/8,0)*8-1)=""),"",IF($P$3="否",工时测量记录表!Z473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74" s="214"/>
      <c r="P474" s="213"/>
    </row>
    <row r="475" spans="1:17" ht="15.6">
      <c r="A475" s="232"/>
      <c r="B475" s="229"/>
      <c r="C475" s="148" t="str">
        <f>IF(工时测量记录表!D474="","",工时测量记录表!D474)</f>
        <v/>
      </c>
      <c r="D475" s="227"/>
      <c r="E475" s="227"/>
      <c r="F475" s="227"/>
      <c r="G475" s="227"/>
      <c r="H475" s="225"/>
      <c r="I475" s="225"/>
      <c r="J475" s="225"/>
      <c r="K475" s="225"/>
      <c r="L475" s="222"/>
      <c r="M475" s="217"/>
      <c r="N475" s="149" t="str">
        <f ca="1">IF(OR(C475="",INDIRECT("L"&amp;ROUNDUP((ROW()-6)/8,0)*8-1)=""),"",IF($P$3="否",工时测量记录表!Z474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75" s="214"/>
      <c r="P475" s="213"/>
      <c r="Q475" s="125"/>
    </row>
    <row r="476" spans="1:17" ht="15.6">
      <c r="A476" s="232"/>
      <c r="B476" s="229"/>
      <c r="C476" s="148" t="str">
        <f>IF(工时测量记录表!D475="","",工时测量记录表!D475)</f>
        <v/>
      </c>
      <c r="D476" s="227"/>
      <c r="E476" s="227"/>
      <c r="F476" s="227"/>
      <c r="G476" s="227"/>
      <c r="H476" s="225"/>
      <c r="I476" s="225"/>
      <c r="J476" s="225"/>
      <c r="K476" s="225"/>
      <c r="L476" s="222"/>
      <c r="M476" s="217"/>
      <c r="N476" s="149" t="str">
        <f ca="1">IF(OR(C476="",INDIRECT("L"&amp;ROUNDUP((ROW()-6)/8,0)*8-1)=""),"",IF($P$3="否",工时测量记录表!Z475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76" s="214"/>
      <c r="P476" s="213"/>
    </row>
    <row r="477" spans="1:17" ht="15.6">
      <c r="A477" s="232"/>
      <c r="B477" s="229"/>
      <c r="C477" s="148" t="str">
        <f>IF(工时测量记录表!D476="","",工时测量记录表!D476)</f>
        <v/>
      </c>
      <c r="D477" s="227"/>
      <c r="E477" s="227"/>
      <c r="F477" s="227"/>
      <c r="G477" s="227"/>
      <c r="H477" s="225"/>
      <c r="I477" s="225"/>
      <c r="J477" s="225"/>
      <c r="K477" s="225"/>
      <c r="L477" s="222"/>
      <c r="M477" s="217"/>
      <c r="N477" s="149" t="str">
        <f ca="1">IF(OR(C477="",INDIRECT("L"&amp;ROUNDUP((ROW()-6)/8,0)*8-1)=""),"",IF($P$3="否",工时测量记录表!Z476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77" s="214"/>
      <c r="P477" s="213"/>
    </row>
    <row r="478" spans="1:17" ht="15.6">
      <c r="A478" s="232"/>
      <c r="B478" s="229"/>
      <c r="C478" s="148" t="str">
        <f>IF(工时测量记录表!D477="","",工时测量记录表!D477)</f>
        <v/>
      </c>
      <c r="D478" s="227"/>
      <c r="E478" s="227"/>
      <c r="F478" s="227"/>
      <c r="G478" s="227"/>
      <c r="H478" s="225"/>
      <c r="I478" s="225"/>
      <c r="J478" s="225"/>
      <c r="K478" s="225"/>
      <c r="L478" s="222"/>
      <c r="M478" s="217"/>
      <c r="N478" s="149" t="str">
        <f ca="1">IF(OR(C478="",INDIRECT("L"&amp;ROUNDUP((ROW()-6)/8,0)*8-1)=""),"",IF($P$3="否",工时测量记录表!Z477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78" s="214"/>
      <c r="P478" s="213"/>
    </row>
    <row r="479" spans="1:17" ht="15.6">
      <c r="A479" s="232">
        <f>IF(工时测量记录表!A478="","",工时测量记录表!A478)</f>
        <v>60</v>
      </c>
      <c r="B479" s="229" t="str">
        <f>IF(工时测量记录表!B478="","",工时测量记录表!B478)</f>
        <v/>
      </c>
      <c r="C479" s="148" t="str">
        <f>IF(工时测量记录表!D478="","",工时测量记录表!D478)</f>
        <v/>
      </c>
      <c r="D479" s="227">
        <f t="shared" ref="D479:K479" si="58">IF($A479="","",D$7)</f>
        <v>0</v>
      </c>
      <c r="E479" s="227">
        <f t="shared" si="58"/>
        <v>0</v>
      </c>
      <c r="F479" s="227">
        <f t="shared" si="58"/>
        <v>0</v>
      </c>
      <c r="G479" s="227">
        <f t="shared" si="58"/>
        <v>0</v>
      </c>
      <c r="H479" s="225">
        <f t="shared" si="58"/>
        <v>0</v>
      </c>
      <c r="I479" s="225">
        <f t="shared" si="58"/>
        <v>0</v>
      </c>
      <c r="J479" s="225">
        <f t="shared" si="58"/>
        <v>0</v>
      </c>
      <c r="K479" s="225">
        <f t="shared" si="58"/>
        <v>0</v>
      </c>
      <c r="L479" s="222" t="str">
        <f>IF(工时测量记录表!C478="","",工时测量记录表!C478)</f>
        <v/>
      </c>
      <c r="M479" s="217">
        <v>1</v>
      </c>
      <c r="N479" s="149" t="str">
        <f ca="1">IF(OR(C479="",INDIRECT("L"&amp;ROUNDUP((ROW()-6)/8,0)*8-1)=""),"",IF($P$3="否",工时测量记录表!Z478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79" s="214" t="str">
        <f ca="1">IF(COUNT(N479:N486)=0,"",SUM(N479:N486))</f>
        <v/>
      </c>
      <c r="P479" s="213"/>
    </row>
    <row r="480" spans="1:17" ht="15.6">
      <c r="A480" s="232"/>
      <c r="B480" s="229"/>
      <c r="C480" s="148" t="str">
        <f>IF(工时测量记录表!D479="","",工时测量记录表!D479)</f>
        <v/>
      </c>
      <c r="D480" s="227"/>
      <c r="E480" s="227"/>
      <c r="F480" s="227"/>
      <c r="G480" s="227"/>
      <c r="H480" s="225"/>
      <c r="I480" s="225"/>
      <c r="J480" s="225"/>
      <c r="K480" s="225"/>
      <c r="L480" s="222"/>
      <c r="M480" s="217"/>
      <c r="N480" s="149" t="str">
        <f ca="1">IF(OR(C480="",INDIRECT("L"&amp;ROUNDUP((ROW()-6)/8,0)*8-1)=""),"",IF($P$3="否",工时测量记录表!Z479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479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80" s="214"/>
      <c r="P480" s="213"/>
    </row>
    <row r="481" spans="1:17" ht="15.6">
      <c r="A481" s="232"/>
      <c r="B481" s="229"/>
      <c r="C481" s="148" t="str">
        <f>IF(工时测量记录表!D480="","",工时测量记录表!D480)</f>
        <v/>
      </c>
      <c r="D481" s="227"/>
      <c r="E481" s="227"/>
      <c r="F481" s="227"/>
      <c r="G481" s="227"/>
      <c r="H481" s="225"/>
      <c r="I481" s="225"/>
      <c r="J481" s="225"/>
      <c r="K481" s="225"/>
      <c r="L481" s="222"/>
      <c r="M481" s="217"/>
      <c r="N481" s="149" t="str">
        <f ca="1">IF(OR(C481="",INDIRECT("L"&amp;ROUNDUP((ROW()-6)/8,0)*8-1)=""),"",IF($P$3="否",工时测量记录表!Z480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81" s="214"/>
      <c r="P481" s="213"/>
    </row>
    <row r="482" spans="1:17" ht="15.6">
      <c r="A482" s="232"/>
      <c r="B482" s="229"/>
      <c r="C482" s="148" t="str">
        <f>IF(工时测量记录表!D481="","",工时测量记录表!D481)</f>
        <v/>
      </c>
      <c r="D482" s="227"/>
      <c r="E482" s="227"/>
      <c r="F482" s="227"/>
      <c r="G482" s="227"/>
      <c r="H482" s="225"/>
      <c r="I482" s="225"/>
      <c r="J482" s="225"/>
      <c r="K482" s="225"/>
      <c r="L482" s="222"/>
      <c r="M482" s="217"/>
      <c r="N482" s="149" t="str">
        <f ca="1">IF(OR(C482="",INDIRECT("L"&amp;ROUNDUP((ROW()-6)/8,0)*8-1)=""),"",IF($P$3="否",工时测量记录表!Z481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82" s="214"/>
      <c r="P482" s="213"/>
    </row>
    <row r="483" spans="1:17" ht="15.6">
      <c r="A483" s="232"/>
      <c r="B483" s="229"/>
      <c r="C483" s="148" t="str">
        <f>IF(工时测量记录表!D482="","",工时测量记录表!D482)</f>
        <v/>
      </c>
      <c r="D483" s="227"/>
      <c r="E483" s="227"/>
      <c r="F483" s="227"/>
      <c r="G483" s="227"/>
      <c r="H483" s="225"/>
      <c r="I483" s="225"/>
      <c r="J483" s="225"/>
      <c r="K483" s="225"/>
      <c r="L483" s="222"/>
      <c r="M483" s="217"/>
      <c r="N483" s="149" t="str">
        <f ca="1">IF(OR(C483="",INDIRECT("L"&amp;ROUNDUP((ROW()-6)/8,0)*8-1)=""),"",IF($P$3="否",工时测量记录表!Z482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83" s="214"/>
      <c r="P483" s="213"/>
      <c r="Q483" s="125"/>
    </row>
    <row r="484" spans="1:17" ht="15.6">
      <c r="A484" s="232"/>
      <c r="B484" s="229"/>
      <c r="C484" s="148" t="str">
        <f>IF(工时测量记录表!D483="","",工时测量记录表!D483)</f>
        <v/>
      </c>
      <c r="D484" s="227"/>
      <c r="E484" s="227"/>
      <c r="F484" s="227"/>
      <c r="G484" s="227"/>
      <c r="H484" s="225"/>
      <c r="I484" s="225"/>
      <c r="J484" s="225"/>
      <c r="K484" s="225"/>
      <c r="L484" s="222"/>
      <c r="M484" s="217"/>
      <c r="N484" s="149" t="str">
        <f ca="1">IF(OR(C484="",INDIRECT("L"&amp;ROUNDUP((ROW()-6)/8,0)*8-1)=""),"",IF($P$3="否",工时测量记录表!Z483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84" s="214"/>
      <c r="P484" s="213"/>
    </row>
    <row r="485" spans="1:17" ht="15.6">
      <c r="A485" s="232"/>
      <c r="B485" s="229"/>
      <c r="C485" s="148" t="str">
        <f>IF(工时测量记录表!D484="","",工时测量记录表!D484)</f>
        <v/>
      </c>
      <c r="D485" s="227"/>
      <c r="E485" s="227"/>
      <c r="F485" s="227"/>
      <c r="G485" s="227"/>
      <c r="H485" s="225"/>
      <c r="I485" s="225"/>
      <c r="J485" s="225"/>
      <c r="K485" s="225"/>
      <c r="L485" s="222"/>
      <c r="M485" s="217"/>
      <c r="N485" s="149" t="str">
        <f ca="1">IF(OR(C485="",INDIRECT("L"&amp;ROUNDUP((ROW()-6)/8,0)*8-1)=""),"",IF($P$3="否",工时测量记录表!Z484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85" s="214"/>
      <c r="P485" s="213"/>
    </row>
    <row r="486" spans="1:17" ht="15.6">
      <c r="A486" s="232"/>
      <c r="B486" s="229"/>
      <c r="C486" s="148" t="str">
        <f>IF(工时测量记录表!D485="","",工时测量记录表!D485)</f>
        <v/>
      </c>
      <c r="D486" s="227"/>
      <c r="E486" s="227"/>
      <c r="F486" s="227"/>
      <c r="G486" s="227"/>
      <c r="H486" s="225"/>
      <c r="I486" s="225"/>
      <c r="J486" s="225"/>
      <c r="K486" s="225"/>
      <c r="L486" s="222"/>
      <c r="M486" s="217"/>
      <c r="N486" s="149" t="str">
        <f ca="1">IF(OR(C486="",INDIRECT("L"&amp;ROUNDUP((ROW()-6)/8,0)*8-1)=""),"",IF($P$3="否",工时测量记录表!Z485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86" s="214"/>
      <c r="P486" s="213"/>
    </row>
    <row r="487" spans="1:17" ht="15.6">
      <c r="A487" s="232">
        <f>IF(工时测量记录表!A486="","",工时测量记录表!A486)</f>
        <v>61</v>
      </c>
      <c r="B487" s="229" t="str">
        <f>IF(工时测量记录表!B486="","",工时测量记录表!B486)</f>
        <v/>
      </c>
      <c r="C487" s="148" t="str">
        <f>IF(工时测量记录表!D486="","",工时测量记录表!D486)</f>
        <v/>
      </c>
      <c r="D487" s="227">
        <f t="shared" ref="D487:K487" si="59">IF($A487="","",D$7)</f>
        <v>0</v>
      </c>
      <c r="E487" s="227">
        <f t="shared" si="59"/>
        <v>0</v>
      </c>
      <c r="F487" s="227">
        <f t="shared" si="59"/>
        <v>0</v>
      </c>
      <c r="G487" s="227">
        <f t="shared" si="59"/>
        <v>0</v>
      </c>
      <c r="H487" s="225">
        <f t="shared" si="59"/>
        <v>0</v>
      </c>
      <c r="I487" s="225">
        <f t="shared" si="59"/>
        <v>0</v>
      </c>
      <c r="J487" s="225">
        <f t="shared" si="59"/>
        <v>0</v>
      </c>
      <c r="K487" s="225">
        <f t="shared" si="59"/>
        <v>0</v>
      </c>
      <c r="L487" s="222" t="str">
        <f>IF(工时测量记录表!C486="","",工时测量记录表!C486)</f>
        <v/>
      </c>
      <c r="M487" s="217">
        <v>1</v>
      </c>
      <c r="N487" s="149" t="str">
        <f ca="1">IF(OR(C487="",INDIRECT("L"&amp;ROUNDUP((ROW()-6)/8,0)*8-1)=""),"",IF($P$3="否",工时测量记录表!Z486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87" s="214" t="str">
        <f ca="1">IF(COUNT(N487:N494)=0,"",SUM(N487:N494))</f>
        <v/>
      </c>
      <c r="P487" s="213"/>
    </row>
    <row r="488" spans="1:17" ht="15.6">
      <c r="A488" s="232"/>
      <c r="B488" s="229"/>
      <c r="C488" s="148" t="str">
        <f>IF(工时测量记录表!D487="","",工时测量记录表!D487)</f>
        <v/>
      </c>
      <c r="D488" s="227"/>
      <c r="E488" s="227"/>
      <c r="F488" s="227"/>
      <c r="G488" s="227"/>
      <c r="H488" s="225"/>
      <c r="I488" s="225"/>
      <c r="J488" s="225"/>
      <c r="K488" s="225"/>
      <c r="L488" s="222"/>
      <c r="M488" s="217"/>
      <c r="N488" s="149" t="str">
        <f ca="1">IF(OR(C488="",INDIRECT("L"&amp;ROUNDUP((ROW()-6)/8,0)*8-1)=""),"",IF($P$3="否",工时测量记录表!Z487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88" s="214"/>
      <c r="P488" s="213"/>
    </row>
    <row r="489" spans="1:17" ht="15.6">
      <c r="A489" s="232"/>
      <c r="B489" s="229"/>
      <c r="C489" s="148" t="str">
        <f>IF(工时测量记录表!D488="","",工时测量记录表!D488)</f>
        <v/>
      </c>
      <c r="D489" s="227"/>
      <c r="E489" s="227"/>
      <c r="F489" s="227"/>
      <c r="G489" s="227"/>
      <c r="H489" s="225"/>
      <c r="I489" s="225"/>
      <c r="J489" s="225"/>
      <c r="K489" s="225"/>
      <c r="L489" s="222"/>
      <c r="M489" s="217"/>
      <c r="N489" s="149" t="str">
        <f ca="1">IF(OR(C489="",INDIRECT("L"&amp;ROUNDUP((ROW()-6)/8,0)*8-1)=""),"",IF($P$3="否",工时测量记录表!Z488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89" s="214"/>
      <c r="P489" s="213"/>
    </row>
    <row r="490" spans="1:17" ht="15.6">
      <c r="A490" s="232"/>
      <c r="B490" s="229"/>
      <c r="C490" s="148" t="str">
        <f>IF(工时测量记录表!D489="","",工时测量记录表!D489)</f>
        <v/>
      </c>
      <c r="D490" s="227"/>
      <c r="E490" s="227"/>
      <c r="F490" s="227"/>
      <c r="G490" s="227"/>
      <c r="H490" s="225"/>
      <c r="I490" s="225"/>
      <c r="J490" s="225"/>
      <c r="K490" s="225"/>
      <c r="L490" s="222"/>
      <c r="M490" s="217"/>
      <c r="N490" s="149" t="str">
        <f ca="1">IF(OR(C490="",INDIRECT("L"&amp;ROUNDUP((ROW()-6)/8,0)*8-1)=""),"",IF($P$3="否",工时测量记录表!Z489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489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90" s="214"/>
      <c r="P490" s="213"/>
    </row>
    <row r="491" spans="1:17" ht="15.6">
      <c r="A491" s="232"/>
      <c r="B491" s="229"/>
      <c r="C491" s="148" t="str">
        <f>IF(工时测量记录表!D490="","",工时测量记录表!D490)</f>
        <v/>
      </c>
      <c r="D491" s="227"/>
      <c r="E491" s="227"/>
      <c r="F491" s="227"/>
      <c r="G491" s="227"/>
      <c r="H491" s="225"/>
      <c r="I491" s="225"/>
      <c r="J491" s="225"/>
      <c r="K491" s="225"/>
      <c r="L491" s="222"/>
      <c r="M491" s="217"/>
      <c r="N491" s="149" t="str">
        <f ca="1">IF(OR(C491="",INDIRECT("L"&amp;ROUNDUP((ROW()-6)/8,0)*8-1)=""),"",IF($P$3="否",工时测量记录表!Z490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91" s="214"/>
      <c r="P491" s="213"/>
      <c r="Q491" s="125"/>
    </row>
    <row r="492" spans="1:17" ht="15.6">
      <c r="A492" s="232"/>
      <c r="B492" s="229"/>
      <c r="C492" s="148" t="str">
        <f>IF(工时测量记录表!D491="","",工时测量记录表!D491)</f>
        <v/>
      </c>
      <c r="D492" s="227"/>
      <c r="E492" s="227"/>
      <c r="F492" s="227"/>
      <c r="G492" s="227"/>
      <c r="H492" s="225"/>
      <c r="I492" s="225"/>
      <c r="J492" s="225"/>
      <c r="K492" s="225"/>
      <c r="L492" s="222"/>
      <c r="M492" s="217"/>
      <c r="N492" s="149" t="str">
        <f ca="1">IF(OR(C492="",INDIRECT("L"&amp;ROUNDUP((ROW()-6)/8,0)*8-1)=""),"",IF($P$3="否",工时测量记录表!Z491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92" s="214"/>
      <c r="P492" s="213"/>
    </row>
    <row r="493" spans="1:17" ht="15.6">
      <c r="A493" s="232"/>
      <c r="B493" s="229"/>
      <c r="C493" s="148" t="str">
        <f>IF(工时测量记录表!D492="","",工时测量记录表!D492)</f>
        <v/>
      </c>
      <c r="D493" s="227"/>
      <c r="E493" s="227"/>
      <c r="F493" s="227"/>
      <c r="G493" s="227"/>
      <c r="H493" s="225"/>
      <c r="I493" s="225"/>
      <c r="J493" s="225"/>
      <c r="K493" s="225"/>
      <c r="L493" s="222"/>
      <c r="M493" s="217"/>
      <c r="N493" s="149" t="str">
        <f ca="1">IF(OR(C493="",INDIRECT("L"&amp;ROUNDUP((ROW()-6)/8,0)*8-1)=""),"",IF($P$3="否",工时测量记录表!Z492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93" s="214"/>
      <c r="P493" s="213"/>
    </row>
    <row r="494" spans="1:17" ht="15.6">
      <c r="A494" s="232"/>
      <c r="B494" s="229"/>
      <c r="C494" s="148" t="str">
        <f>IF(工时测量记录表!D493="","",工时测量记录表!D493)</f>
        <v/>
      </c>
      <c r="D494" s="227"/>
      <c r="E494" s="227"/>
      <c r="F494" s="227"/>
      <c r="G494" s="227"/>
      <c r="H494" s="225"/>
      <c r="I494" s="225"/>
      <c r="J494" s="225"/>
      <c r="K494" s="225"/>
      <c r="L494" s="222"/>
      <c r="M494" s="217"/>
      <c r="N494" s="149" t="str">
        <f ca="1">IF(OR(C494="",INDIRECT("L"&amp;ROUNDUP((ROW()-6)/8,0)*8-1)=""),"",IF($P$3="否",工时测量记录表!Z493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94" s="214"/>
      <c r="P494" s="213"/>
    </row>
    <row r="495" spans="1:17" ht="15.6">
      <c r="A495" s="232">
        <f>IF(工时测量记录表!A494="","",工时测量记录表!A494)</f>
        <v>62</v>
      </c>
      <c r="B495" s="229" t="str">
        <f>IF(工时测量记录表!B494="","",工时测量记录表!B494)</f>
        <v/>
      </c>
      <c r="C495" s="148" t="str">
        <f>IF(工时测量记录表!D494="","",工时测量记录表!D494)</f>
        <v/>
      </c>
      <c r="D495" s="227">
        <f t="shared" ref="D495:K495" si="60">IF($A495="","",D$7)</f>
        <v>0</v>
      </c>
      <c r="E495" s="227">
        <f t="shared" si="60"/>
        <v>0</v>
      </c>
      <c r="F495" s="227">
        <f t="shared" si="60"/>
        <v>0</v>
      </c>
      <c r="G495" s="227">
        <f t="shared" si="60"/>
        <v>0</v>
      </c>
      <c r="H495" s="225">
        <f t="shared" si="60"/>
        <v>0</v>
      </c>
      <c r="I495" s="225">
        <f t="shared" si="60"/>
        <v>0</v>
      </c>
      <c r="J495" s="225">
        <f t="shared" si="60"/>
        <v>0</v>
      </c>
      <c r="K495" s="225">
        <f t="shared" si="60"/>
        <v>0</v>
      </c>
      <c r="L495" s="222" t="str">
        <f>IF(工时测量记录表!C494="","",工时测量记录表!C494)</f>
        <v/>
      </c>
      <c r="M495" s="217">
        <v>1</v>
      </c>
      <c r="N495" s="149" t="str">
        <f ca="1">IF(OR(C495="",INDIRECT("L"&amp;ROUNDUP((ROW()-6)/8,0)*8-1)=""),"",IF($P$3="否",工时测量记录表!Z494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95" s="214" t="str">
        <f ca="1">IF(COUNT(N495:N502)=0,"",SUM(N495:N502))</f>
        <v/>
      </c>
      <c r="P495" s="213"/>
    </row>
    <row r="496" spans="1:17" ht="15.6">
      <c r="A496" s="232"/>
      <c r="B496" s="229"/>
      <c r="C496" s="148" t="str">
        <f>IF(工时测量记录表!D495="","",工时测量记录表!D495)</f>
        <v/>
      </c>
      <c r="D496" s="227"/>
      <c r="E496" s="227"/>
      <c r="F496" s="227"/>
      <c r="G496" s="227"/>
      <c r="H496" s="225"/>
      <c r="I496" s="225"/>
      <c r="J496" s="225"/>
      <c r="K496" s="225"/>
      <c r="L496" s="222"/>
      <c r="M496" s="217"/>
      <c r="N496" s="149" t="str">
        <f ca="1">IF(OR(C496="",INDIRECT("L"&amp;ROUNDUP((ROW()-6)/8,0)*8-1)=""),"",IF($P$3="否",工时测量记录表!Z495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96" s="214"/>
      <c r="P496" s="213"/>
    </row>
    <row r="497" spans="1:17" ht="15.6">
      <c r="A497" s="232"/>
      <c r="B497" s="229"/>
      <c r="C497" s="148" t="str">
        <f>IF(工时测量记录表!D496="","",工时测量记录表!D496)</f>
        <v/>
      </c>
      <c r="D497" s="227"/>
      <c r="E497" s="227"/>
      <c r="F497" s="227"/>
      <c r="G497" s="227"/>
      <c r="H497" s="225"/>
      <c r="I497" s="225"/>
      <c r="J497" s="225"/>
      <c r="K497" s="225"/>
      <c r="L497" s="222"/>
      <c r="M497" s="217"/>
      <c r="N497" s="149" t="str">
        <f ca="1">IF(OR(C497="",INDIRECT("L"&amp;ROUNDUP((ROW()-6)/8,0)*8-1)=""),"",IF($P$3="否",工时测量记录表!Z496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97" s="214"/>
      <c r="P497" s="213"/>
    </row>
    <row r="498" spans="1:17" ht="15.6">
      <c r="A498" s="232"/>
      <c r="B498" s="229"/>
      <c r="C498" s="148" t="str">
        <f>IF(工时测量记录表!D497="","",工时测量记录表!D497)</f>
        <v/>
      </c>
      <c r="D498" s="227"/>
      <c r="E498" s="227"/>
      <c r="F498" s="227"/>
      <c r="G498" s="227"/>
      <c r="H498" s="225"/>
      <c r="I498" s="225"/>
      <c r="J498" s="225"/>
      <c r="K498" s="225"/>
      <c r="L498" s="222"/>
      <c r="M498" s="217"/>
      <c r="N498" s="149" t="str">
        <f ca="1">IF(OR(C498="",INDIRECT("L"&amp;ROUNDUP((ROW()-6)/8,0)*8-1)=""),"",IF($P$3="否",工时测量记录表!Z497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98" s="214"/>
      <c r="P498" s="213"/>
    </row>
    <row r="499" spans="1:17" ht="15.6">
      <c r="A499" s="232"/>
      <c r="B499" s="229"/>
      <c r="C499" s="148" t="str">
        <f>IF(工时测量记录表!D498="","",工时测量记录表!D498)</f>
        <v/>
      </c>
      <c r="D499" s="227"/>
      <c r="E499" s="227"/>
      <c r="F499" s="227"/>
      <c r="G499" s="227"/>
      <c r="H499" s="225"/>
      <c r="I499" s="225"/>
      <c r="J499" s="225"/>
      <c r="K499" s="225"/>
      <c r="L499" s="222"/>
      <c r="M499" s="217"/>
      <c r="N499" s="149" t="str">
        <f ca="1">IF(OR(C499="",INDIRECT("L"&amp;ROUNDUP((ROW()-6)/8,0)*8-1)=""),"",IF($P$3="否",工时测量记录表!Z498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499" s="214"/>
      <c r="P499" s="213"/>
      <c r="Q499" s="125"/>
    </row>
    <row r="500" spans="1:17" ht="15.6">
      <c r="A500" s="232"/>
      <c r="B500" s="229"/>
      <c r="C500" s="148" t="str">
        <f>IF(工时测量记录表!D499="","",工时测量记录表!D499)</f>
        <v/>
      </c>
      <c r="D500" s="227"/>
      <c r="E500" s="227"/>
      <c r="F500" s="227"/>
      <c r="G500" s="227"/>
      <c r="H500" s="225"/>
      <c r="I500" s="225"/>
      <c r="J500" s="225"/>
      <c r="K500" s="225"/>
      <c r="L500" s="222"/>
      <c r="M500" s="217"/>
      <c r="N500" s="149" t="str">
        <f ca="1">IF(OR(C500="",INDIRECT("L"&amp;ROUNDUP((ROW()-6)/8,0)*8-1)=""),"",IF($P$3="否",工时测量记录表!Z499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499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00" s="214"/>
      <c r="P500" s="213"/>
    </row>
    <row r="501" spans="1:17" ht="15.6">
      <c r="A501" s="232"/>
      <c r="B501" s="229"/>
      <c r="C501" s="148" t="str">
        <f>IF(工时测量记录表!D500="","",工时测量记录表!D500)</f>
        <v/>
      </c>
      <c r="D501" s="227"/>
      <c r="E501" s="227"/>
      <c r="F501" s="227"/>
      <c r="G501" s="227"/>
      <c r="H501" s="225"/>
      <c r="I501" s="225"/>
      <c r="J501" s="225"/>
      <c r="K501" s="225"/>
      <c r="L501" s="222"/>
      <c r="M501" s="217"/>
      <c r="N501" s="149" t="str">
        <f ca="1">IF(OR(C501="",INDIRECT("L"&amp;ROUNDUP((ROW()-6)/8,0)*8-1)=""),"",IF($P$3="否",工时测量记录表!Z500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01" s="214"/>
      <c r="P501" s="213"/>
    </row>
    <row r="502" spans="1:17" ht="15.6">
      <c r="A502" s="232"/>
      <c r="B502" s="229"/>
      <c r="C502" s="148" t="str">
        <f>IF(工时测量记录表!D501="","",工时测量记录表!D501)</f>
        <v/>
      </c>
      <c r="D502" s="227"/>
      <c r="E502" s="227"/>
      <c r="F502" s="227"/>
      <c r="G502" s="227"/>
      <c r="H502" s="225"/>
      <c r="I502" s="225"/>
      <c r="J502" s="225"/>
      <c r="K502" s="225"/>
      <c r="L502" s="222"/>
      <c r="M502" s="217"/>
      <c r="N502" s="149" t="str">
        <f ca="1">IF(OR(C502="",INDIRECT("L"&amp;ROUNDUP((ROW()-6)/8,0)*8-1)=""),"",IF($P$3="否",工时测量记录表!Z501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02" s="214"/>
      <c r="P502" s="213"/>
    </row>
    <row r="503" spans="1:17" ht="15.6">
      <c r="A503" s="232">
        <f>IF(工时测量记录表!A502="","",工时测量记录表!A502)</f>
        <v>63</v>
      </c>
      <c r="B503" s="229" t="str">
        <f>IF(工时测量记录表!B502="","",工时测量记录表!B502)</f>
        <v/>
      </c>
      <c r="C503" s="148" t="str">
        <f>IF(工时测量记录表!D502="","",工时测量记录表!D502)</f>
        <v/>
      </c>
      <c r="D503" s="227">
        <f t="shared" ref="D503:K503" si="61">IF($A503="","",D$7)</f>
        <v>0</v>
      </c>
      <c r="E503" s="227">
        <f t="shared" si="61"/>
        <v>0</v>
      </c>
      <c r="F503" s="227">
        <f t="shared" si="61"/>
        <v>0</v>
      </c>
      <c r="G503" s="227">
        <f t="shared" si="61"/>
        <v>0</v>
      </c>
      <c r="H503" s="225">
        <f t="shared" si="61"/>
        <v>0</v>
      </c>
      <c r="I503" s="225">
        <f t="shared" si="61"/>
        <v>0</v>
      </c>
      <c r="J503" s="225">
        <f t="shared" si="61"/>
        <v>0</v>
      </c>
      <c r="K503" s="225">
        <f t="shared" si="61"/>
        <v>0</v>
      </c>
      <c r="L503" s="222" t="str">
        <f>IF(工时测量记录表!C502="","",工时测量记录表!C502)</f>
        <v/>
      </c>
      <c r="M503" s="217">
        <v>1</v>
      </c>
      <c r="N503" s="149" t="str">
        <f ca="1">IF(OR(C503="",INDIRECT("L"&amp;ROUNDUP((ROW()-6)/8,0)*8-1)=""),"",IF($P$3="否",工时测量记录表!Z502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03" s="214" t="str">
        <f ca="1">IF(COUNT(N503:N510)=0,"",SUM(N503:N510))</f>
        <v/>
      </c>
      <c r="P503" s="213"/>
    </row>
    <row r="504" spans="1:17" ht="15.6">
      <c r="A504" s="232"/>
      <c r="B504" s="229"/>
      <c r="C504" s="148" t="str">
        <f>IF(工时测量记录表!D503="","",工时测量记录表!D503)</f>
        <v/>
      </c>
      <c r="D504" s="227"/>
      <c r="E504" s="227"/>
      <c r="F504" s="227"/>
      <c r="G504" s="227"/>
      <c r="H504" s="225"/>
      <c r="I504" s="225"/>
      <c r="J504" s="225"/>
      <c r="K504" s="225"/>
      <c r="L504" s="222"/>
      <c r="M504" s="217"/>
      <c r="N504" s="149" t="str">
        <f ca="1">IF(OR(C504="",INDIRECT("L"&amp;ROUNDUP((ROW()-6)/8,0)*8-1)=""),"",IF($P$3="否",工时测量记录表!Z503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04" s="214"/>
      <c r="P504" s="213"/>
    </row>
    <row r="505" spans="1:17" ht="15.6">
      <c r="A505" s="232"/>
      <c r="B505" s="229"/>
      <c r="C505" s="148" t="str">
        <f>IF(工时测量记录表!D504="","",工时测量记录表!D504)</f>
        <v/>
      </c>
      <c r="D505" s="227"/>
      <c r="E505" s="227"/>
      <c r="F505" s="227"/>
      <c r="G505" s="227"/>
      <c r="H505" s="225"/>
      <c r="I505" s="225"/>
      <c r="J505" s="225"/>
      <c r="K505" s="225"/>
      <c r="L505" s="222"/>
      <c r="M505" s="217"/>
      <c r="N505" s="149" t="str">
        <f ca="1">IF(OR(C505="",INDIRECT("L"&amp;ROUNDUP((ROW()-6)/8,0)*8-1)=""),"",IF($P$3="否",工时测量记录表!Z504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05" s="214"/>
      <c r="P505" s="213"/>
    </row>
    <row r="506" spans="1:17" ht="15.6">
      <c r="A506" s="232"/>
      <c r="B506" s="229"/>
      <c r="C506" s="148" t="str">
        <f>IF(工时测量记录表!D505="","",工时测量记录表!D505)</f>
        <v/>
      </c>
      <c r="D506" s="227"/>
      <c r="E506" s="227"/>
      <c r="F506" s="227"/>
      <c r="G506" s="227"/>
      <c r="H506" s="225"/>
      <c r="I506" s="225"/>
      <c r="J506" s="225"/>
      <c r="K506" s="225"/>
      <c r="L506" s="222"/>
      <c r="M506" s="217"/>
      <c r="N506" s="149" t="str">
        <f ca="1">IF(OR(C506="",INDIRECT("L"&amp;ROUNDUP((ROW()-6)/8,0)*8-1)=""),"",IF($P$3="否",工时测量记录表!Z505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06" s="214"/>
      <c r="P506" s="213"/>
    </row>
    <row r="507" spans="1:17" ht="15.6">
      <c r="A507" s="232"/>
      <c r="B507" s="229"/>
      <c r="C507" s="148" t="str">
        <f>IF(工时测量记录表!D506="","",工时测量记录表!D506)</f>
        <v/>
      </c>
      <c r="D507" s="227"/>
      <c r="E507" s="227"/>
      <c r="F507" s="227"/>
      <c r="G507" s="227"/>
      <c r="H507" s="225"/>
      <c r="I507" s="225"/>
      <c r="J507" s="225"/>
      <c r="K507" s="225"/>
      <c r="L507" s="222"/>
      <c r="M507" s="217"/>
      <c r="N507" s="149" t="str">
        <f ca="1">IF(OR(C507="",INDIRECT("L"&amp;ROUNDUP((ROW()-6)/8,0)*8-1)=""),"",IF($P$3="否",工时测量记录表!Z506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07" s="214"/>
      <c r="P507" s="213"/>
      <c r="Q507" s="125"/>
    </row>
    <row r="508" spans="1:17" ht="15.6">
      <c r="A508" s="232"/>
      <c r="B508" s="229"/>
      <c r="C508" s="148" t="str">
        <f>IF(工时测量记录表!D507="","",工时测量记录表!D507)</f>
        <v/>
      </c>
      <c r="D508" s="227"/>
      <c r="E508" s="227"/>
      <c r="F508" s="227"/>
      <c r="G508" s="227"/>
      <c r="H508" s="225"/>
      <c r="I508" s="225"/>
      <c r="J508" s="225"/>
      <c r="K508" s="225"/>
      <c r="L508" s="222"/>
      <c r="M508" s="217"/>
      <c r="N508" s="149" t="str">
        <f ca="1">IF(OR(C508="",INDIRECT("L"&amp;ROUNDUP((ROW()-6)/8,0)*8-1)=""),"",IF($P$3="否",工时测量记录表!Z507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08" s="214"/>
      <c r="P508" s="213"/>
    </row>
    <row r="509" spans="1:17" ht="15.6">
      <c r="A509" s="232"/>
      <c r="B509" s="229"/>
      <c r="C509" s="148" t="str">
        <f>IF(工时测量记录表!D508="","",工时测量记录表!D508)</f>
        <v/>
      </c>
      <c r="D509" s="227"/>
      <c r="E509" s="227"/>
      <c r="F509" s="227"/>
      <c r="G509" s="227"/>
      <c r="H509" s="225"/>
      <c r="I509" s="225"/>
      <c r="J509" s="225"/>
      <c r="K509" s="225"/>
      <c r="L509" s="222"/>
      <c r="M509" s="217"/>
      <c r="N509" s="149" t="str">
        <f ca="1">IF(OR(C509="",INDIRECT("L"&amp;ROUNDUP((ROW()-6)/8,0)*8-1)=""),"",IF($P$3="否",工时测量记录表!Z508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09" s="214"/>
      <c r="P509" s="213"/>
    </row>
    <row r="510" spans="1:17" ht="15.6">
      <c r="A510" s="232"/>
      <c r="B510" s="229"/>
      <c r="C510" s="148" t="str">
        <f>IF(工时测量记录表!D509="","",工时测量记录表!D509)</f>
        <v/>
      </c>
      <c r="D510" s="227"/>
      <c r="E510" s="227"/>
      <c r="F510" s="227"/>
      <c r="G510" s="227"/>
      <c r="H510" s="225"/>
      <c r="I510" s="225"/>
      <c r="J510" s="225"/>
      <c r="K510" s="225"/>
      <c r="L510" s="222"/>
      <c r="M510" s="217"/>
      <c r="N510" s="149" t="str">
        <f ca="1">IF(OR(C510="",INDIRECT("L"&amp;ROUNDUP((ROW()-6)/8,0)*8-1)=""),"",IF($P$3="否",工时测量记录表!Z509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509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10" s="214"/>
      <c r="P510" s="213"/>
    </row>
    <row r="511" spans="1:17" ht="15.6">
      <c r="A511" s="232">
        <f>IF(工时测量记录表!A510="","",工时测量记录表!A510)</f>
        <v>64</v>
      </c>
      <c r="B511" s="229" t="str">
        <f>IF(工时测量记录表!B510="","",工时测量记录表!B510)</f>
        <v/>
      </c>
      <c r="C511" s="148" t="str">
        <f>IF(工时测量记录表!D510="","",工时测量记录表!D510)</f>
        <v/>
      </c>
      <c r="D511" s="227">
        <f t="shared" ref="D511:K511" si="62">IF($A511="","",D$7)</f>
        <v>0</v>
      </c>
      <c r="E511" s="227">
        <f t="shared" si="62"/>
        <v>0</v>
      </c>
      <c r="F511" s="227">
        <f t="shared" si="62"/>
        <v>0</v>
      </c>
      <c r="G511" s="227">
        <f t="shared" si="62"/>
        <v>0</v>
      </c>
      <c r="H511" s="225">
        <f t="shared" si="62"/>
        <v>0</v>
      </c>
      <c r="I511" s="225">
        <f t="shared" si="62"/>
        <v>0</v>
      </c>
      <c r="J511" s="225">
        <f t="shared" si="62"/>
        <v>0</v>
      </c>
      <c r="K511" s="225">
        <f t="shared" si="62"/>
        <v>0</v>
      </c>
      <c r="L511" s="222" t="str">
        <f>IF(工时测量记录表!C510="","",工时测量记录表!C510)</f>
        <v/>
      </c>
      <c r="M511" s="217">
        <v>1</v>
      </c>
      <c r="N511" s="149" t="str">
        <f ca="1">IF(OR(C511="",INDIRECT("L"&amp;ROUNDUP((ROW()-6)/8,0)*8-1)=""),"",IF($P$3="否",工时测量记录表!Z510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11" s="214" t="str">
        <f ca="1">IF(COUNT(N511:N518)=0,"",SUM(N511:N518))</f>
        <v/>
      </c>
      <c r="P511" s="213"/>
    </row>
    <row r="512" spans="1:17" ht="15.6">
      <c r="A512" s="232"/>
      <c r="B512" s="229"/>
      <c r="C512" s="148" t="str">
        <f>IF(工时测量记录表!D511="","",工时测量记录表!D511)</f>
        <v/>
      </c>
      <c r="D512" s="227"/>
      <c r="E512" s="227"/>
      <c r="F512" s="227"/>
      <c r="G512" s="227"/>
      <c r="H512" s="225"/>
      <c r="I512" s="225"/>
      <c r="J512" s="225"/>
      <c r="K512" s="225"/>
      <c r="L512" s="222"/>
      <c r="M512" s="217"/>
      <c r="N512" s="149" t="str">
        <f ca="1">IF(OR(C512="",INDIRECT("L"&amp;ROUNDUP((ROW()-6)/8,0)*8-1)=""),"",IF($P$3="否",工时测量记录表!Z511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12" s="214"/>
      <c r="P512" s="213"/>
    </row>
    <row r="513" spans="1:17" ht="15.6">
      <c r="A513" s="232"/>
      <c r="B513" s="229"/>
      <c r="C513" s="148" t="str">
        <f>IF(工时测量记录表!D512="","",工时测量记录表!D512)</f>
        <v/>
      </c>
      <c r="D513" s="227"/>
      <c r="E513" s="227"/>
      <c r="F513" s="227"/>
      <c r="G513" s="227"/>
      <c r="H513" s="225"/>
      <c r="I513" s="225"/>
      <c r="J513" s="225"/>
      <c r="K513" s="225"/>
      <c r="L513" s="222"/>
      <c r="M513" s="217"/>
      <c r="N513" s="149" t="str">
        <f ca="1">IF(OR(C513="",INDIRECT("L"&amp;ROUNDUP((ROW()-6)/8,0)*8-1)=""),"",IF($P$3="否",工时测量记录表!Z512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13" s="214"/>
      <c r="P513" s="213"/>
    </row>
    <row r="514" spans="1:17" ht="15.6">
      <c r="A514" s="232"/>
      <c r="B514" s="229"/>
      <c r="C514" s="148" t="str">
        <f>IF(工时测量记录表!D513="","",工时测量记录表!D513)</f>
        <v/>
      </c>
      <c r="D514" s="227"/>
      <c r="E514" s="227"/>
      <c r="F514" s="227"/>
      <c r="G514" s="227"/>
      <c r="H514" s="225"/>
      <c r="I514" s="225"/>
      <c r="J514" s="225"/>
      <c r="K514" s="225"/>
      <c r="L514" s="222"/>
      <c r="M514" s="217"/>
      <c r="N514" s="149" t="str">
        <f ca="1">IF(OR(C514="",INDIRECT("L"&amp;ROUNDUP((ROW()-6)/8,0)*8-1)=""),"",IF($P$3="否",工时测量记录表!Z513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14" s="214"/>
      <c r="P514" s="213"/>
    </row>
    <row r="515" spans="1:17" ht="15.6">
      <c r="A515" s="232"/>
      <c r="B515" s="229"/>
      <c r="C515" s="148" t="str">
        <f>IF(工时测量记录表!D514="","",工时测量记录表!D514)</f>
        <v/>
      </c>
      <c r="D515" s="227"/>
      <c r="E515" s="227"/>
      <c r="F515" s="227"/>
      <c r="G515" s="227"/>
      <c r="H515" s="225"/>
      <c r="I515" s="225"/>
      <c r="J515" s="225"/>
      <c r="K515" s="225"/>
      <c r="L515" s="222"/>
      <c r="M515" s="217"/>
      <c r="N515" s="149" t="str">
        <f ca="1">IF(OR(C515="",INDIRECT("L"&amp;ROUNDUP((ROW()-6)/8,0)*8-1)=""),"",IF($P$3="否",工时测量记录表!Z514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15" s="214"/>
      <c r="P515" s="213"/>
      <c r="Q515" s="125"/>
    </row>
    <row r="516" spans="1:17" ht="15.6">
      <c r="A516" s="232"/>
      <c r="B516" s="229"/>
      <c r="C516" s="148" t="str">
        <f>IF(工时测量记录表!D515="","",工时测量记录表!D515)</f>
        <v/>
      </c>
      <c r="D516" s="227"/>
      <c r="E516" s="227"/>
      <c r="F516" s="227"/>
      <c r="G516" s="227"/>
      <c r="H516" s="225"/>
      <c r="I516" s="225"/>
      <c r="J516" s="225"/>
      <c r="K516" s="225"/>
      <c r="L516" s="222"/>
      <c r="M516" s="217"/>
      <c r="N516" s="149" t="str">
        <f ca="1">IF(OR(C516="",INDIRECT("L"&amp;ROUNDUP((ROW()-6)/8,0)*8-1)=""),"",IF($P$3="否",工时测量记录表!Z515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16" s="214"/>
      <c r="P516" s="213"/>
    </row>
    <row r="517" spans="1:17" ht="15.6">
      <c r="A517" s="232"/>
      <c r="B517" s="229"/>
      <c r="C517" s="148" t="str">
        <f>IF(工时测量记录表!D516="","",工时测量记录表!D516)</f>
        <v/>
      </c>
      <c r="D517" s="227"/>
      <c r="E517" s="227"/>
      <c r="F517" s="227"/>
      <c r="G517" s="227"/>
      <c r="H517" s="225"/>
      <c r="I517" s="225"/>
      <c r="J517" s="225"/>
      <c r="K517" s="225"/>
      <c r="L517" s="222"/>
      <c r="M517" s="217"/>
      <c r="N517" s="149" t="str">
        <f ca="1">IF(OR(C517="",INDIRECT("L"&amp;ROUNDUP((ROW()-6)/8,0)*8-1)=""),"",IF($P$3="否",工时测量记录表!Z516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17" s="214"/>
      <c r="P517" s="213"/>
    </row>
    <row r="518" spans="1:17" ht="15.6">
      <c r="A518" s="232"/>
      <c r="B518" s="229"/>
      <c r="C518" s="148" t="str">
        <f>IF(工时测量记录表!D517="","",工时测量记录表!D517)</f>
        <v/>
      </c>
      <c r="D518" s="227"/>
      <c r="E518" s="227"/>
      <c r="F518" s="227"/>
      <c r="G518" s="227"/>
      <c r="H518" s="225"/>
      <c r="I518" s="225"/>
      <c r="J518" s="225"/>
      <c r="K518" s="225"/>
      <c r="L518" s="222"/>
      <c r="M518" s="217"/>
      <c r="N518" s="149" t="str">
        <f ca="1">IF(OR(C518="",INDIRECT("L"&amp;ROUNDUP((ROW()-6)/8,0)*8-1)=""),"",IF($P$3="否",工时测量记录表!Z517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18" s="214"/>
      <c r="P518" s="213"/>
    </row>
    <row r="519" spans="1:17" ht="15.6">
      <c r="A519" s="232">
        <f>IF(工时测量记录表!A518="","",工时测量记录表!A518)</f>
        <v>65</v>
      </c>
      <c r="B519" s="229" t="str">
        <f>IF(工时测量记录表!B518="","",工时测量记录表!B518)</f>
        <v/>
      </c>
      <c r="C519" s="148" t="str">
        <f>IF(工时测量记录表!D518="","",工时测量记录表!D518)</f>
        <v/>
      </c>
      <c r="D519" s="227">
        <f t="shared" ref="D519:K519" si="63">IF($A519="","",D$7)</f>
        <v>0</v>
      </c>
      <c r="E519" s="227">
        <f t="shared" si="63"/>
        <v>0</v>
      </c>
      <c r="F519" s="227">
        <f t="shared" si="63"/>
        <v>0</v>
      </c>
      <c r="G519" s="227">
        <f t="shared" si="63"/>
        <v>0</v>
      </c>
      <c r="H519" s="225">
        <f t="shared" si="63"/>
        <v>0</v>
      </c>
      <c r="I519" s="225">
        <f t="shared" si="63"/>
        <v>0</v>
      </c>
      <c r="J519" s="225">
        <f t="shared" si="63"/>
        <v>0</v>
      </c>
      <c r="K519" s="225">
        <f t="shared" si="63"/>
        <v>0</v>
      </c>
      <c r="L519" s="222" t="str">
        <f>IF(工时测量记录表!C518="","",工时测量记录表!C518)</f>
        <v/>
      </c>
      <c r="M519" s="217">
        <v>1</v>
      </c>
      <c r="N519" s="149" t="str">
        <f ca="1">IF(OR(C519="",INDIRECT("L"&amp;ROUNDUP((ROW()-6)/8,0)*8-1)=""),"",IF($P$3="否",工时测量记录表!Z518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19" s="214" t="str">
        <f ca="1">IF(COUNT(N519:N526)=0,"",SUM(N519:N526))</f>
        <v/>
      </c>
      <c r="P519" s="213"/>
    </row>
    <row r="520" spans="1:17" ht="15.6">
      <c r="A520" s="232"/>
      <c r="B520" s="229"/>
      <c r="C520" s="148" t="str">
        <f>IF(工时测量记录表!D519="","",工时测量记录表!D519)</f>
        <v/>
      </c>
      <c r="D520" s="227"/>
      <c r="E520" s="227"/>
      <c r="F520" s="227"/>
      <c r="G520" s="227"/>
      <c r="H520" s="225"/>
      <c r="I520" s="225"/>
      <c r="J520" s="225"/>
      <c r="K520" s="225"/>
      <c r="L520" s="222"/>
      <c r="M520" s="217"/>
      <c r="N520" s="149" t="str">
        <f ca="1">IF(OR(C520="",INDIRECT("L"&amp;ROUNDUP((ROW()-6)/8,0)*8-1)=""),"",IF($P$3="否",工时测量记录表!Z519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519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20" s="214"/>
      <c r="P520" s="213"/>
    </row>
    <row r="521" spans="1:17" ht="15.6">
      <c r="A521" s="232"/>
      <c r="B521" s="229"/>
      <c r="C521" s="148" t="str">
        <f>IF(工时测量记录表!D520="","",工时测量记录表!D520)</f>
        <v/>
      </c>
      <c r="D521" s="227"/>
      <c r="E521" s="227"/>
      <c r="F521" s="227"/>
      <c r="G521" s="227"/>
      <c r="H521" s="225"/>
      <c r="I521" s="225"/>
      <c r="J521" s="225"/>
      <c r="K521" s="225"/>
      <c r="L521" s="222"/>
      <c r="M521" s="217"/>
      <c r="N521" s="149" t="str">
        <f ca="1">IF(OR(C521="",INDIRECT("L"&amp;ROUNDUP((ROW()-6)/8,0)*8-1)=""),"",IF($P$3="否",工时测量记录表!Z520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21" s="214"/>
      <c r="P521" s="213"/>
    </row>
    <row r="522" spans="1:17" ht="15.6">
      <c r="A522" s="232"/>
      <c r="B522" s="229"/>
      <c r="C522" s="148" t="str">
        <f>IF(工时测量记录表!D521="","",工时测量记录表!D521)</f>
        <v/>
      </c>
      <c r="D522" s="227"/>
      <c r="E522" s="227"/>
      <c r="F522" s="227"/>
      <c r="G522" s="227"/>
      <c r="H522" s="225"/>
      <c r="I522" s="225"/>
      <c r="J522" s="225"/>
      <c r="K522" s="225"/>
      <c r="L522" s="222"/>
      <c r="M522" s="217"/>
      <c r="N522" s="149" t="str">
        <f ca="1">IF(OR(C522="",INDIRECT("L"&amp;ROUNDUP((ROW()-6)/8,0)*8-1)=""),"",IF($P$3="否",工时测量记录表!Z521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22" s="214"/>
      <c r="P522" s="213"/>
    </row>
    <row r="523" spans="1:17" ht="15.6">
      <c r="A523" s="232"/>
      <c r="B523" s="229"/>
      <c r="C523" s="148" t="str">
        <f>IF(工时测量记录表!D522="","",工时测量记录表!D522)</f>
        <v/>
      </c>
      <c r="D523" s="227"/>
      <c r="E523" s="227"/>
      <c r="F523" s="227"/>
      <c r="G523" s="227"/>
      <c r="H523" s="225"/>
      <c r="I523" s="225"/>
      <c r="J523" s="225"/>
      <c r="K523" s="225"/>
      <c r="L523" s="222"/>
      <c r="M523" s="217"/>
      <c r="N523" s="149" t="str">
        <f ca="1">IF(OR(C523="",INDIRECT("L"&amp;ROUNDUP((ROW()-6)/8,0)*8-1)=""),"",IF($P$3="否",工时测量记录表!Z522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23" s="214"/>
      <c r="P523" s="213"/>
      <c r="Q523" s="125"/>
    </row>
    <row r="524" spans="1:17" ht="15.6">
      <c r="A524" s="232"/>
      <c r="B524" s="229"/>
      <c r="C524" s="148" t="str">
        <f>IF(工时测量记录表!D523="","",工时测量记录表!D523)</f>
        <v/>
      </c>
      <c r="D524" s="227"/>
      <c r="E524" s="227"/>
      <c r="F524" s="227"/>
      <c r="G524" s="227"/>
      <c r="H524" s="225"/>
      <c r="I524" s="225"/>
      <c r="J524" s="225"/>
      <c r="K524" s="225"/>
      <c r="L524" s="222"/>
      <c r="M524" s="217"/>
      <c r="N524" s="149" t="str">
        <f ca="1">IF(OR(C524="",INDIRECT("L"&amp;ROUNDUP((ROW()-6)/8,0)*8-1)=""),"",IF($P$3="否",工时测量记录表!Z523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24" s="214"/>
      <c r="P524" s="213"/>
    </row>
    <row r="525" spans="1:17" ht="15.6">
      <c r="A525" s="232"/>
      <c r="B525" s="229"/>
      <c r="C525" s="148" t="str">
        <f>IF(工时测量记录表!D524="","",工时测量记录表!D524)</f>
        <v/>
      </c>
      <c r="D525" s="227"/>
      <c r="E525" s="227"/>
      <c r="F525" s="227"/>
      <c r="G525" s="227"/>
      <c r="H525" s="225"/>
      <c r="I525" s="225"/>
      <c r="J525" s="225"/>
      <c r="K525" s="225"/>
      <c r="L525" s="222"/>
      <c r="M525" s="217"/>
      <c r="N525" s="149" t="str">
        <f ca="1">IF(OR(C525="",INDIRECT("L"&amp;ROUNDUP((ROW()-6)/8,0)*8-1)=""),"",IF($P$3="否",工时测量记录表!Z524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25" s="214"/>
      <c r="P525" s="213"/>
    </row>
    <row r="526" spans="1:17" ht="15.6">
      <c r="A526" s="232"/>
      <c r="B526" s="229"/>
      <c r="C526" s="148" t="str">
        <f>IF(工时测量记录表!D525="","",工时测量记录表!D525)</f>
        <v/>
      </c>
      <c r="D526" s="227"/>
      <c r="E526" s="227"/>
      <c r="F526" s="227"/>
      <c r="G526" s="227"/>
      <c r="H526" s="225"/>
      <c r="I526" s="225"/>
      <c r="J526" s="225"/>
      <c r="K526" s="225"/>
      <c r="L526" s="222"/>
      <c r="M526" s="217"/>
      <c r="N526" s="149" t="str">
        <f ca="1">IF(OR(C526="",INDIRECT("L"&amp;ROUNDUP((ROW()-6)/8,0)*8-1)=""),"",IF($P$3="否",工时测量记录表!Z525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26" s="214"/>
      <c r="P526" s="213"/>
    </row>
    <row r="527" spans="1:17" ht="15.6">
      <c r="A527" s="232">
        <f>IF(工时测量记录表!A526="","",工时测量记录表!A526)</f>
        <v>66</v>
      </c>
      <c r="B527" s="229" t="str">
        <f>IF(工时测量记录表!B526="","",工时测量记录表!B526)</f>
        <v/>
      </c>
      <c r="C527" s="148" t="str">
        <f>IF(工时测量记录表!D526="","",工时测量记录表!D526)</f>
        <v/>
      </c>
      <c r="D527" s="227">
        <f t="shared" ref="D527:K527" si="64">IF($A527="","",D$7)</f>
        <v>0</v>
      </c>
      <c r="E527" s="227">
        <f t="shared" si="64"/>
        <v>0</v>
      </c>
      <c r="F527" s="227">
        <f t="shared" si="64"/>
        <v>0</v>
      </c>
      <c r="G527" s="227">
        <f t="shared" si="64"/>
        <v>0</v>
      </c>
      <c r="H527" s="225">
        <f t="shared" si="64"/>
        <v>0</v>
      </c>
      <c r="I527" s="225">
        <f t="shared" si="64"/>
        <v>0</v>
      </c>
      <c r="J527" s="225">
        <f t="shared" si="64"/>
        <v>0</v>
      </c>
      <c r="K527" s="225">
        <f t="shared" si="64"/>
        <v>0</v>
      </c>
      <c r="L527" s="222" t="str">
        <f>IF(工时测量记录表!C526="","",工时测量记录表!C526)</f>
        <v/>
      </c>
      <c r="M527" s="217">
        <v>1</v>
      </c>
      <c r="N527" s="149" t="str">
        <f ca="1">IF(OR(C527="",INDIRECT("L"&amp;ROUNDUP((ROW()-6)/8,0)*8-1)=""),"",IF($P$3="否",工时测量记录表!Z526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27" s="214" t="str">
        <f ca="1">IF(COUNT(N527:N534)=0,"",SUM(N527:N534))</f>
        <v/>
      </c>
      <c r="P527" s="213"/>
    </row>
    <row r="528" spans="1:17" ht="15.6">
      <c r="A528" s="232"/>
      <c r="B528" s="229"/>
      <c r="C528" s="148" t="str">
        <f>IF(工时测量记录表!D527="","",工时测量记录表!D527)</f>
        <v/>
      </c>
      <c r="D528" s="227"/>
      <c r="E528" s="227"/>
      <c r="F528" s="227"/>
      <c r="G528" s="227"/>
      <c r="H528" s="225"/>
      <c r="I528" s="225"/>
      <c r="J528" s="225"/>
      <c r="K528" s="225"/>
      <c r="L528" s="222"/>
      <c r="M528" s="217"/>
      <c r="N528" s="149" t="str">
        <f ca="1">IF(OR(C528="",INDIRECT("L"&amp;ROUNDUP((ROW()-6)/8,0)*8-1)=""),"",IF($P$3="否",工时测量记录表!Z527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28" s="214"/>
      <c r="P528" s="213"/>
    </row>
    <row r="529" spans="1:17" ht="15.6">
      <c r="A529" s="232"/>
      <c r="B529" s="229"/>
      <c r="C529" s="148" t="str">
        <f>IF(工时测量记录表!D528="","",工时测量记录表!D528)</f>
        <v/>
      </c>
      <c r="D529" s="227"/>
      <c r="E529" s="227"/>
      <c r="F529" s="227"/>
      <c r="G529" s="227"/>
      <c r="H529" s="225"/>
      <c r="I529" s="225"/>
      <c r="J529" s="225"/>
      <c r="K529" s="225"/>
      <c r="L529" s="222"/>
      <c r="M529" s="217"/>
      <c r="N529" s="149" t="str">
        <f ca="1">IF(OR(C529="",INDIRECT("L"&amp;ROUNDUP((ROW()-6)/8,0)*8-1)=""),"",IF($P$3="否",工时测量记录表!Z528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29" s="214"/>
      <c r="P529" s="213"/>
    </row>
    <row r="530" spans="1:17" ht="15.6">
      <c r="A530" s="232"/>
      <c r="B530" s="229"/>
      <c r="C530" s="148" t="str">
        <f>IF(工时测量记录表!D529="","",工时测量记录表!D529)</f>
        <v/>
      </c>
      <c r="D530" s="227"/>
      <c r="E530" s="227"/>
      <c r="F530" s="227"/>
      <c r="G530" s="227"/>
      <c r="H530" s="225"/>
      <c r="I530" s="225"/>
      <c r="J530" s="225"/>
      <c r="K530" s="225"/>
      <c r="L530" s="222"/>
      <c r="M530" s="217"/>
      <c r="N530" s="149" t="str">
        <f ca="1">IF(OR(C530="",INDIRECT("L"&amp;ROUNDUP((ROW()-6)/8,0)*8-1)=""),"",IF($P$3="否",工时测量记录表!Z529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529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30" s="214"/>
      <c r="P530" s="213"/>
    </row>
    <row r="531" spans="1:17" ht="15.6">
      <c r="A531" s="232"/>
      <c r="B531" s="229"/>
      <c r="C531" s="148" t="str">
        <f>IF(工时测量记录表!D530="","",工时测量记录表!D530)</f>
        <v/>
      </c>
      <c r="D531" s="227"/>
      <c r="E531" s="227"/>
      <c r="F531" s="227"/>
      <c r="G531" s="227"/>
      <c r="H531" s="225"/>
      <c r="I531" s="225"/>
      <c r="J531" s="225"/>
      <c r="K531" s="225"/>
      <c r="L531" s="222"/>
      <c r="M531" s="217"/>
      <c r="N531" s="149" t="str">
        <f ca="1">IF(OR(C531="",INDIRECT("L"&amp;ROUNDUP((ROW()-6)/8,0)*8-1)=""),"",IF($P$3="否",工时测量记录表!Z530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31" s="214"/>
      <c r="P531" s="213"/>
      <c r="Q531" s="125"/>
    </row>
    <row r="532" spans="1:17" ht="15.6">
      <c r="A532" s="232"/>
      <c r="B532" s="229"/>
      <c r="C532" s="148" t="str">
        <f>IF(工时测量记录表!D531="","",工时测量记录表!D531)</f>
        <v/>
      </c>
      <c r="D532" s="227"/>
      <c r="E532" s="227"/>
      <c r="F532" s="227"/>
      <c r="G532" s="227"/>
      <c r="H532" s="225"/>
      <c r="I532" s="225"/>
      <c r="J532" s="225"/>
      <c r="K532" s="225"/>
      <c r="L532" s="222"/>
      <c r="M532" s="217"/>
      <c r="N532" s="149" t="str">
        <f ca="1">IF(OR(C532="",INDIRECT("L"&amp;ROUNDUP((ROW()-6)/8,0)*8-1)=""),"",IF($P$3="否",工时测量记录表!Z531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32" s="214"/>
      <c r="P532" s="213"/>
    </row>
    <row r="533" spans="1:17" ht="15.6">
      <c r="A533" s="232"/>
      <c r="B533" s="229"/>
      <c r="C533" s="148" t="str">
        <f>IF(工时测量记录表!D532="","",工时测量记录表!D532)</f>
        <v/>
      </c>
      <c r="D533" s="227"/>
      <c r="E533" s="227"/>
      <c r="F533" s="227"/>
      <c r="G533" s="227"/>
      <c r="H533" s="225"/>
      <c r="I533" s="225"/>
      <c r="J533" s="225"/>
      <c r="K533" s="225"/>
      <c r="L533" s="222"/>
      <c r="M533" s="217"/>
      <c r="N533" s="149" t="str">
        <f ca="1">IF(OR(C533="",INDIRECT("L"&amp;ROUNDUP((ROW()-6)/8,0)*8-1)=""),"",IF($P$3="否",工时测量记录表!Z532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33" s="214"/>
      <c r="P533" s="213"/>
    </row>
    <row r="534" spans="1:17" ht="15.6">
      <c r="A534" s="232"/>
      <c r="B534" s="229"/>
      <c r="C534" s="148" t="str">
        <f>IF(工时测量记录表!D533="","",工时测量记录表!D533)</f>
        <v/>
      </c>
      <c r="D534" s="227"/>
      <c r="E534" s="227"/>
      <c r="F534" s="227"/>
      <c r="G534" s="227"/>
      <c r="H534" s="225"/>
      <c r="I534" s="225"/>
      <c r="J534" s="225"/>
      <c r="K534" s="225"/>
      <c r="L534" s="222"/>
      <c r="M534" s="217"/>
      <c r="N534" s="149" t="str">
        <f ca="1">IF(OR(C534="",INDIRECT("L"&amp;ROUNDUP((ROW()-6)/8,0)*8-1)=""),"",IF($P$3="否",工时测量记录表!Z533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34" s="214"/>
      <c r="P534" s="213"/>
    </row>
    <row r="535" spans="1:17" ht="15.6">
      <c r="A535" s="232">
        <f>IF(工时测量记录表!A534="","",工时测量记录表!A534)</f>
        <v>67</v>
      </c>
      <c r="B535" s="229" t="str">
        <f>IF(工时测量记录表!B534="","",工时测量记录表!B534)</f>
        <v/>
      </c>
      <c r="C535" s="148" t="str">
        <f>IF(工时测量记录表!D534="","",工时测量记录表!D534)</f>
        <v/>
      </c>
      <c r="D535" s="227">
        <f t="shared" ref="D535:K559" si="65">IF($A535="","",D$7)</f>
        <v>0</v>
      </c>
      <c r="E535" s="227">
        <f t="shared" si="65"/>
        <v>0</v>
      </c>
      <c r="F535" s="227">
        <f t="shared" si="65"/>
        <v>0</v>
      </c>
      <c r="G535" s="227">
        <f t="shared" si="65"/>
        <v>0</v>
      </c>
      <c r="H535" s="225">
        <f t="shared" si="65"/>
        <v>0</v>
      </c>
      <c r="I535" s="225">
        <f t="shared" si="65"/>
        <v>0</v>
      </c>
      <c r="J535" s="225">
        <f t="shared" si="65"/>
        <v>0</v>
      </c>
      <c r="K535" s="225">
        <f t="shared" si="65"/>
        <v>0</v>
      </c>
      <c r="L535" s="222" t="str">
        <f>IF(工时测量记录表!C534="","",工时测量记录表!C534)</f>
        <v/>
      </c>
      <c r="M535" s="217">
        <v>1</v>
      </c>
      <c r="N535" s="149" t="str">
        <f ca="1">IF(OR(C535="",INDIRECT("L"&amp;ROUNDUP((ROW()-6)/8,0)*8-1)=""),"",IF($P$3="否",工时测量记录表!Z534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35" s="214" t="str">
        <f t="shared" ref="O535" ca="1" si="66">IF(COUNT(N535:N542)=0,"",SUM(N535:N542))</f>
        <v/>
      </c>
      <c r="P535" s="213"/>
    </row>
    <row r="536" spans="1:17" ht="15.6">
      <c r="A536" s="232"/>
      <c r="B536" s="229"/>
      <c r="C536" s="148" t="str">
        <f>IF(工时测量记录表!D535="","",工时测量记录表!D535)</f>
        <v/>
      </c>
      <c r="D536" s="227"/>
      <c r="E536" s="227"/>
      <c r="F536" s="227"/>
      <c r="G536" s="227"/>
      <c r="H536" s="225"/>
      <c r="I536" s="225"/>
      <c r="J536" s="225"/>
      <c r="K536" s="225"/>
      <c r="L536" s="222"/>
      <c r="M536" s="217"/>
      <c r="N536" s="149" t="str">
        <f ca="1">IF(OR(C536="",INDIRECT("L"&amp;ROUNDUP((ROW()-6)/8,0)*8-1)=""),"",IF($P$3="否",工时测量记录表!Z535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36" s="214"/>
      <c r="P536" s="213"/>
    </row>
    <row r="537" spans="1:17" ht="15.6">
      <c r="A537" s="232"/>
      <c r="B537" s="229"/>
      <c r="C537" s="148" t="str">
        <f>IF(工时测量记录表!D536="","",工时测量记录表!D536)</f>
        <v/>
      </c>
      <c r="D537" s="227"/>
      <c r="E537" s="227"/>
      <c r="F537" s="227"/>
      <c r="G537" s="227"/>
      <c r="H537" s="225"/>
      <c r="I537" s="225"/>
      <c r="J537" s="225"/>
      <c r="K537" s="225"/>
      <c r="L537" s="222"/>
      <c r="M537" s="217"/>
      <c r="N537" s="149" t="str">
        <f ca="1">IF(OR(C537="",INDIRECT("L"&amp;ROUNDUP((ROW()-6)/8,0)*8-1)=""),"",IF($P$3="否",工时测量记录表!Z536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37" s="214"/>
      <c r="P537" s="213"/>
    </row>
    <row r="538" spans="1:17" ht="15.6">
      <c r="A538" s="232"/>
      <c r="B538" s="229"/>
      <c r="C538" s="148" t="str">
        <f>IF(工时测量记录表!D537="","",工时测量记录表!D537)</f>
        <v/>
      </c>
      <c r="D538" s="227"/>
      <c r="E538" s="227"/>
      <c r="F538" s="227"/>
      <c r="G538" s="227"/>
      <c r="H538" s="225"/>
      <c r="I538" s="225"/>
      <c r="J538" s="225"/>
      <c r="K538" s="225"/>
      <c r="L538" s="222"/>
      <c r="M538" s="217"/>
      <c r="N538" s="149" t="str">
        <f ca="1">IF(OR(C538="",INDIRECT("L"&amp;ROUNDUP((ROW()-6)/8,0)*8-1)=""),"",IF($P$3="否",工时测量记录表!Z537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38" s="214"/>
      <c r="P538" s="213"/>
    </row>
    <row r="539" spans="1:17" ht="15.6">
      <c r="A539" s="232"/>
      <c r="B539" s="229"/>
      <c r="C539" s="148" t="str">
        <f>IF(工时测量记录表!D538="","",工时测量记录表!D538)</f>
        <v/>
      </c>
      <c r="D539" s="227"/>
      <c r="E539" s="227"/>
      <c r="F539" s="227"/>
      <c r="G539" s="227"/>
      <c r="H539" s="225"/>
      <c r="I539" s="225"/>
      <c r="J539" s="225"/>
      <c r="K539" s="225"/>
      <c r="L539" s="222"/>
      <c r="M539" s="217"/>
      <c r="N539" s="149" t="str">
        <f ca="1">IF(OR(C539="",INDIRECT("L"&amp;ROUNDUP((ROW()-6)/8,0)*8-1)=""),"",IF($P$3="否",工时测量记录表!Z538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39" s="214"/>
      <c r="P539" s="213"/>
    </row>
    <row r="540" spans="1:17" ht="15.6">
      <c r="A540" s="232"/>
      <c r="B540" s="229"/>
      <c r="C540" s="148" t="str">
        <f>IF(工时测量记录表!D539="","",工时测量记录表!D539)</f>
        <v/>
      </c>
      <c r="D540" s="227"/>
      <c r="E540" s="227"/>
      <c r="F540" s="227"/>
      <c r="G540" s="227"/>
      <c r="H540" s="225"/>
      <c r="I540" s="225"/>
      <c r="J540" s="225"/>
      <c r="K540" s="225"/>
      <c r="L540" s="222"/>
      <c r="M540" s="217"/>
      <c r="N540" s="149" t="str">
        <f ca="1">IF(OR(C540="",INDIRECT("L"&amp;ROUNDUP((ROW()-6)/8,0)*8-1)=""),"",IF($P$3="否",工时测量记录表!Z539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539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40" s="214"/>
      <c r="P540" s="213"/>
    </row>
    <row r="541" spans="1:17" ht="15.6">
      <c r="A541" s="232"/>
      <c r="B541" s="229"/>
      <c r="C541" s="148" t="str">
        <f>IF(工时测量记录表!D540="","",工时测量记录表!D540)</f>
        <v/>
      </c>
      <c r="D541" s="227"/>
      <c r="E541" s="227"/>
      <c r="F541" s="227"/>
      <c r="G541" s="227"/>
      <c r="H541" s="225"/>
      <c r="I541" s="225"/>
      <c r="J541" s="225"/>
      <c r="K541" s="225"/>
      <c r="L541" s="222"/>
      <c r="M541" s="217"/>
      <c r="N541" s="149" t="str">
        <f ca="1">IF(OR(C541="",INDIRECT("L"&amp;ROUNDUP((ROW()-6)/8,0)*8-1)=""),"",IF($P$3="否",工时测量记录表!Z540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41" s="214"/>
      <c r="P541" s="213"/>
    </row>
    <row r="542" spans="1:17" ht="15.6">
      <c r="A542" s="232"/>
      <c r="B542" s="229"/>
      <c r="C542" s="148" t="str">
        <f>IF(工时测量记录表!D541="","",工时测量记录表!D541)</f>
        <v/>
      </c>
      <c r="D542" s="227"/>
      <c r="E542" s="227"/>
      <c r="F542" s="227"/>
      <c r="G542" s="227"/>
      <c r="H542" s="225"/>
      <c r="I542" s="225"/>
      <c r="J542" s="225"/>
      <c r="K542" s="225"/>
      <c r="L542" s="222"/>
      <c r="M542" s="217"/>
      <c r="N542" s="149" t="str">
        <f ca="1">IF(OR(C542="",INDIRECT("L"&amp;ROUNDUP((ROW()-6)/8,0)*8-1)=""),"",IF($P$3="否",工时测量记录表!Z541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42" s="214"/>
      <c r="P542" s="213"/>
    </row>
    <row r="543" spans="1:17" ht="15.6">
      <c r="A543" s="232">
        <f>IF(工时测量记录表!A542="","",工时测量记录表!A542)</f>
        <v>68</v>
      </c>
      <c r="B543" s="229" t="str">
        <f>IF(工时测量记录表!B542="","",工时测量记录表!B542)</f>
        <v/>
      </c>
      <c r="C543" s="148" t="str">
        <f>IF(工时测量记录表!D542="","",工时测量记录表!D542)</f>
        <v/>
      </c>
      <c r="D543" s="227">
        <f t="shared" si="65"/>
        <v>0</v>
      </c>
      <c r="E543" s="227">
        <f t="shared" si="65"/>
        <v>0</v>
      </c>
      <c r="F543" s="227">
        <f t="shared" si="65"/>
        <v>0</v>
      </c>
      <c r="G543" s="227">
        <f t="shared" si="65"/>
        <v>0</v>
      </c>
      <c r="H543" s="225">
        <f t="shared" si="65"/>
        <v>0</v>
      </c>
      <c r="I543" s="225">
        <f t="shared" si="65"/>
        <v>0</v>
      </c>
      <c r="J543" s="225">
        <f t="shared" si="65"/>
        <v>0</v>
      </c>
      <c r="K543" s="225">
        <f t="shared" si="65"/>
        <v>0</v>
      </c>
      <c r="L543" s="222" t="str">
        <f>IF(工时测量记录表!C542="","",工时测量记录表!C542)</f>
        <v/>
      </c>
      <c r="M543" s="217">
        <v>1</v>
      </c>
      <c r="N543" s="149" t="str">
        <f ca="1">IF(OR(C543="",INDIRECT("L"&amp;ROUNDUP((ROW()-6)/8,0)*8-1)=""),"",IF($P$3="否",工时测量记录表!Z542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43" s="214" t="str">
        <f t="shared" ref="O543" ca="1" si="67">IF(COUNT(N543:N550)=0,"",SUM(N543:N550))</f>
        <v/>
      </c>
      <c r="P543" s="213"/>
    </row>
    <row r="544" spans="1:17" ht="15.6">
      <c r="A544" s="232"/>
      <c r="B544" s="229"/>
      <c r="C544" s="148" t="str">
        <f>IF(工时测量记录表!D543="","",工时测量记录表!D543)</f>
        <v/>
      </c>
      <c r="D544" s="227"/>
      <c r="E544" s="227"/>
      <c r="F544" s="227"/>
      <c r="G544" s="227"/>
      <c r="H544" s="225"/>
      <c r="I544" s="225"/>
      <c r="J544" s="225"/>
      <c r="K544" s="225"/>
      <c r="L544" s="222"/>
      <c r="M544" s="217"/>
      <c r="N544" s="149" t="str">
        <f ca="1">IF(OR(C544="",INDIRECT("L"&amp;ROUNDUP((ROW()-6)/8,0)*8-1)=""),"",IF($P$3="否",工时测量记录表!Z543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44" s="214"/>
      <c r="P544" s="213"/>
    </row>
    <row r="545" spans="1:16" ht="15.6">
      <c r="A545" s="232"/>
      <c r="B545" s="229"/>
      <c r="C545" s="148" t="str">
        <f>IF(工时测量记录表!D544="","",工时测量记录表!D544)</f>
        <v/>
      </c>
      <c r="D545" s="227"/>
      <c r="E545" s="227"/>
      <c r="F545" s="227"/>
      <c r="G545" s="227"/>
      <c r="H545" s="225"/>
      <c r="I545" s="225"/>
      <c r="J545" s="225"/>
      <c r="K545" s="225"/>
      <c r="L545" s="222"/>
      <c r="M545" s="217"/>
      <c r="N545" s="149" t="str">
        <f ca="1">IF(OR(C545="",INDIRECT("L"&amp;ROUNDUP((ROW()-6)/8,0)*8-1)=""),"",IF($P$3="否",工时测量记录表!Z544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45" s="214"/>
      <c r="P545" s="213"/>
    </row>
    <row r="546" spans="1:16" ht="15.6">
      <c r="A546" s="232"/>
      <c r="B546" s="229"/>
      <c r="C546" s="148" t="str">
        <f>IF(工时测量记录表!D545="","",工时测量记录表!D545)</f>
        <v/>
      </c>
      <c r="D546" s="227"/>
      <c r="E546" s="227"/>
      <c r="F546" s="227"/>
      <c r="G546" s="227"/>
      <c r="H546" s="225"/>
      <c r="I546" s="225"/>
      <c r="J546" s="225"/>
      <c r="K546" s="225"/>
      <c r="L546" s="222"/>
      <c r="M546" s="217"/>
      <c r="N546" s="149" t="str">
        <f ca="1">IF(OR(C546="",INDIRECT("L"&amp;ROUNDUP((ROW()-6)/8,0)*8-1)=""),"",IF($P$3="否",工时测量记录表!Z545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46" s="214"/>
      <c r="P546" s="213"/>
    </row>
    <row r="547" spans="1:16" ht="15.6">
      <c r="A547" s="232"/>
      <c r="B547" s="229"/>
      <c r="C547" s="148" t="str">
        <f>IF(工时测量记录表!D546="","",工时测量记录表!D546)</f>
        <v/>
      </c>
      <c r="D547" s="227"/>
      <c r="E547" s="227"/>
      <c r="F547" s="227"/>
      <c r="G547" s="227"/>
      <c r="H547" s="225"/>
      <c r="I547" s="225"/>
      <c r="J547" s="225"/>
      <c r="K547" s="225"/>
      <c r="L547" s="222"/>
      <c r="M547" s="217"/>
      <c r="N547" s="149" t="str">
        <f ca="1">IF(OR(C547="",INDIRECT("L"&amp;ROUNDUP((ROW()-6)/8,0)*8-1)=""),"",IF($P$3="否",工时测量记录表!Z546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47" s="214"/>
      <c r="P547" s="213"/>
    </row>
    <row r="548" spans="1:16" ht="15.6">
      <c r="A548" s="232"/>
      <c r="B548" s="229"/>
      <c r="C548" s="148" t="str">
        <f>IF(工时测量记录表!D547="","",工时测量记录表!D547)</f>
        <v/>
      </c>
      <c r="D548" s="227"/>
      <c r="E548" s="227"/>
      <c r="F548" s="227"/>
      <c r="G548" s="227"/>
      <c r="H548" s="225"/>
      <c r="I548" s="225"/>
      <c r="J548" s="225"/>
      <c r="K548" s="225"/>
      <c r="L548" s="222"/>
      <c r="M548" s="217"/>
      <c r="N548" s="149" t="str">
        <f ca="1">IF(OR(C548="",INDIRECT("L"&amp;ROUNDUP((ROW()-6)/8,0)*8-1)=""),"",IF($P$3="否",工时测量记录表!Z547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48" s="214"/>
      <c r="P548" s="213"/>
    </row>
    <row r="549" spans="1:16" ht="15.6">
      <c r="A549" s="232"/>
      <c r="B549" s="229"/>
      <c r="C549" s="148" t="str">
        <f>IF(工时测量记录表!D548="","",工时测量记录表!D548)</f>
        <v/>
      </c>
      <c r="D549" s="227"/>
      <c r="E549" s="227"/>
      <c r="F549" s="227"/>
      <c r="G549" s="227"/>
      <c r="H549" s="225"/>
      <c r="I549" s="225"/>
      <c r="J549" s="225"/>
      <c r="K549" s="225"/>
      <c r="L549" s="222"/>
      <c r="M549" s="217"/>
      <c r="N549" s="149" t="str">
        <f ca="1">IF(OR(C549="",INDIRECT("L"&amp;ROUNDUP((ROW()-6)/8,0)*8-1)=""),"",IF($P$3="否",工时测量记录表!Z548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49" s="214"/>
      <c r="P549" s="213"/>
    </row>
    <row r="550" spans="1:16" ht="15.6">
      <c r="A550" s="232"/>
      <c r="B550" s="229"/>
      <c r="C550" s="148" t="str">
        <f>IF(工时测量记录表!D549="","",工时测量记录表!D549)</f>
        <v/>
      </c>
      <c r="D550" s="227"/>
      <c r="E550" s="227"/>
      <c r="F550" s="227"/>
      <c r="G550" s="227"/>
      <c r="H550" s="225"/>
      <c r="I550" s="225"/>
      <c r="J550" s="225"/>
      <c r="K550" s="225"/>
      <c r="L550" s="222"/>
      <c r="M550" s="217"/>
      <c r="N550" s="149" t="str">
        <f ca="1">IF(OR(C550="",INDIRECT("L"&amp;ROUNDUP((ROW()-6)/8,0)*8-1)=""),"",IF($P$3="否",工时测量记录表!Z549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549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50" s="214"/>
      <c r="P550" s="213"/>
    </row>
    <row r="551" spans="1:16" ht="15.6">
      <c r="A551" s="232">
        <f>IF(工时测量记录表!A550="","",工时测量记录表!A550)</f>
        <v>69</v>
      </c>
      <c r="B551" s="229" t="str">
        <f>IF(工时测量记录表!B550="","",工时测量记录表!B550)</f>
        <v/>
      </c>
      <c r="C551" s="148" t="str">
        <f>IF(工时测量记录表!D550="","",工时测量记录表!D550)</f>
        <v/>
      </c>
      <c r="D551" s="227">
        <f t="shared" si="65"/>
        <v>0</v>
      </c>
      <c r="E551" s="227">
        <f t="shared" si="65"/>
        <v>0</v>
      </c>
      <c r="F551" s="227">
        <f t="shared" si="65"/>
        <v>0</v>
      </c>
      <c r="G551" s="227">
        <f t="shared" si="65"/>
        <v>0</v>
      </c>
      <c r="H551" s="225">
        <f t="shared" si="65"/>
        <v>0</v>
      </c>
      <c r="I551" s="225">
        <f t="shared" si="65"/>
        <v>0</v>
      </c>
      <c r="J551" s="225">
        <f t="shared" si="65"/>
        <v>0</v>
      </c>
      <c r="K551" s="225">
        <f t="shared" si="65"/>
        <v>0</v>
      </c>
      <c r="L551" s="222" t="str">
        <f>IF(工时测量记录表!C550="","",工时测量记录表!C550)</f>
        <v/>
      </c>
      <c r="M551" s="217">
        <v>1</v>
      </c>
      <c r="N551" s="149" t="str">
        <f ca="1">IF(OR(C551="",INDIRECT("L"&amp;ROUNDUP((ROW()-6)/8,0)*8-1)=""),"",IF($P$3="否",工时测量记录表!Z550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51" s="214" t="str">
        <f t="shared" ref="O551" ca="1" si="68">IF(COUNT(N551:N558)=0,"",SUM(N551:N558))</f>
        <v/>
      </c>
      <c r="P551" s="213"/>
    </row>
    <row r="552" spans="1:16" ht="15.6">
      <c r="A552" s="232"/>
      <c r="B552" s="229"/>
      <c r="C552" s="148" t="str">
        <f>IF(工时测量记录表!D551="","",工时测量记录表!D551)</f>
        <v/>
      </c>
      <c r="D552" s="227"/>
      <c r="E552" s="227"/>
      <c r="F552" s="227"/>
      <c r="G552" s="227"/>
      <c r="H552" s="225"/>
      <c r="I552" s="225"/>
      <c r="J552" s="225"/>
      <c r="K552" s="225"/>
      <c r="L552" s="222"/>
      <c r="M552" s="217"/>
      <c r="N552" s="149" t="str">
        <f ca="1">IF(OR(C552="",INDIRECT("L"&amp;ROUNDUP((ROW()-6)/8,0)*8-1)=""),"",IF($P$3="否",工时测量记录表!Z551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52" s="214"/>
      <c r="P552" s="213"/>
    </row>
    <row r="553" spans="1:16" ht="15.6">
      <c r="A553" s="232"/>
      <c r="B553" s="229"/>
      <c r="C553" s="148" t="str">
        <f>IF(工时测量记录表!D552="","",工时测量记录表!D552)</f>
        <v/>
      </c>
      <c r="D553" s="227"/>
      <c r="E553" s="227"/>
      <c r="F553" s="227"/>
      <c r="G553" s="227"/>
      <c r="H553" s="225"/>
      <c r="I553" s="225"/>
      <c r="J553" s="225"/>
      <c r="K553" s="225"/>
      <c r="L553" s="222"/>
      <c r="M553" s="217"/>
      <c r="N553" s="149" t="str">
        <f ca="1">IF(OR(C553="",INDIRECT("L"&amp;ROUNDUP((ROW()-6)/8,0)*8-1)=""),"",IF($P$3="否",工时测量记录表!Z552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53" s="214"/>
      <c r="P553" s="213"/>
    </row>
    <row r="554" spans="1:16" ht="15.6">
      <c r="A554" s="232"/>
      <c r="B554" s="229"/>
      <c r="C554" s="148" t="str">
        <f>IF(工时测量记录表!D553="","",工时测量记录表!D553)</f>
        <v/>
      </c>
      <c r="D554" s="227"/>
      <c r="E554" s="227"/>
      <c r="F554" s="227"/>
      <c r="G554" s="227"/>
      <c r="H554" s="225"/>
      <c r="I554" s="225"/>
      <c r="J554" s="225"/>
      <c r="K554" s="225"/>
      <c r="L554" s="222"/>
      <c r="M554" s="217"/>
      <c r="N554" s="149" t="str">
        <f ca="1">IF(OR(C554="",INDIRECT("L"&amp;ROUNDUP((ROW()-6)/8,0)*8-1)=""),"",IF($P$3="否",工时测量记录表!Z553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54" s="214"/>
      <c r="P554" s="213"/>
    </row>
    <row r="555" spans="1:16" ht="15.6">
      <c r="A555" s="232"/>
      <c r="B555" s="229"/>
      <c r="C555" s="148" t="str">
        <f>IF(工时测量记录表!D554="","",工时测量记录表!D554)</f>
        <v/>
      </c>
      <c r="D555" s="227"/>
      <c r="E555" s="227"/>
      <c r="F555" s="227"/>
      <c r="G555" s="227"/>
      <c r="H555" s="225"/>
      <c r="I555" s="225"/>
      <c r="J555" s="225"/>
      <c r="K555" s="225"/>
      <c r="L555" s="222"/>
      <c r="M555" s="217"/>
      <c r="N555" s="149" t="str">
        <f ca="1">IF(OR(C555="",INDIRECT("L"&amp;ROUNDUP((ROW()-6)/8,0)*8-1)=""),"",IF($P$3="否",工时测量记录表!Z554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55" s="214"/>
      <c r="P555" s="213"/>
    </row>
    <row r="556" spans="1:16" ht="15.6">
      <c r="A556" s="232"/>
      <c r="B556" s="229"/>
      <c r="C556" s="148" t="str">
        <f>IF(工时测量记录表!D555="","",工时测量记录表!D555)</f>
        <v/>
      </c>
      <c r="D556" s="227"/>
      <c r="E556" s="227"/>
      <c r="F556" s="227"/>
      <c r="G556" s="227"/>
      <c r="H556" s="225"/>
      <c r="I556" s="225"/>
      <c r="J556" s="225"/>
      <c r="K556" s="225"/>
      <c r="L556" s="222"/>
      <c r="M556" s="217"/>
      <c r="N556" s="149" t="str">
        <f ca="1">IF(OR(C556="",INDIRECT("L"&amp;ROUNDUP((ROW()-6)/8,0)*8-1)=""),"",IF($P$3="否",工时测量记录表!Z555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56" s="214"/>
      <c r="P556" s="213"/>
    </row>
    <row r="557" spans="1:16" ht="15.6">
      <c r="A557" s="232"/>
      <c r="B557" s="229"/>
      <c r="C557" s="148" t="str">
        <f>IF(工时测量记录表!D556="","",工时测量记录表!D556)</f>
        <v/>
      </c>
      <c r="D557" s="227"/>
      <c r="E557" s="227"/>
      <c r="F557" s="227"/>
      <c r="G557" s="227"/>
      <c r="H557" s="225"/>
      <c r="I557" s="225"/>
      <c r="J557" s="225"/>
      <c r="K557" s="225"/>
      <c r="L557" s="222"/>
      <c r="M557" s="217"/>
      <c r="N557" s="149" t="str">
        <f ca="1">IF(OR(C557="",INDIRECT("L"&amp;ROUNDUP((ROW()-6)/8,0)*8-1)=""),"",IF($P$3="否",工时测量记录表!Z556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57" s="214"/>
      <c r="P557" s="213"/>
    </row>
    <row r="558" spans="1:16" ht="15.6">
      <c r="A558" s="232"/>
      <c r="B558" s="229"/>
      <c r="C558" s="148" t="str">
        <f>IF(工时测量记录表!D557="","",工时测量记录表!D557)</f>
        <v/>
      </c>
      <c r="D558" s="227"/>
      <c r="E558" s="227"/>
      <c r="F558" s="227"/>
      <c r="G558" s="227"/>
      <c r="H558" s="225"/>
      <c r="I558" s="225"/>
      <c r="J558" s="225"/>
      <c r="K558" s="225"/>
      <c r="L558" s="222"/>
      <c r="M558" s="217"/>
      <c r="N558" s="149" t="str">
        <f ca="1">IF(OR(C558="",INDIRECT("L"&amp;ROUNDUP((ROW()-6)/8,0)*8-1)=""),"",IF($P$3="否",工时测量记录表!Z557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58" s="214"/>
      <c r="P558" s="213"/>
    </row>
    <row r="559" spans="1:16" ht="15.6">
      <c r="A559" s="232">
        <f>IF(工时测量记录表!A558="","",工时测量记录表!A558)</f>
        <v>70</v>
      </c>
      <c r="B559" s="229" t="str">
        <f>IF(工时测量记录表!B558="","",工时测量记录表!B558)</f>
        <v/>
      </c>
      <c r="C559" s="148" t="str">
        <f>IF(工时测量记录表!D558="","",工时测量记录表!D558)</f>
        <v/>
      </c>
      <c r="D559" s="227">
        <f t="shared" si="65"/>
        <v>0</v>
      </c>
      <c r="E559" s="227">
        <f t="shared" si="65"/>
        <v>0</v>
      </c>
      <c r="F559" s="227">
        <f t="shared" si="65"/>
        <v>0</v>
      </c>
      <c r="G559" s="227">
        <f t="shared" si="65"/>
        <v>0</v>
      </c>
      <c r="H559" s="225">
        <f t="shared" si="65"/>
        <v>0</v>
      </c>
      <c r="I559" s="225">
        <f t="shared" si="65"/>
        <v>0</v>
      </c>
      <c r="J559" s="225">
        <f t="shared" si="65"/>
        <v>0</v>
      </c>
      <c r="K559" s="225">
        <f t="shared" si="65"/>
        <v>0</v>
      </c>
      <c r="L559" s="222" t="str">
        <f>IF(工时测量记录表!C558="","",工时测量记录表!C558)</f>
        <v/>
      </c>
      <c r="M559" s="217">
        <v>1</v>
      </c>
      <c r="N559" s="149" t="str">
        <f ca="1">IF(OR(C559="",INDIRECT("L"&amp;ROUNDUP((ROW()-6)/8,0)*8-1)=""),"",IF($P$3="否",工时测量记录表!Z558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59" s="214" t="str">
        <f t="shared" ref="O559:O583" ca="1" si="69">IF(COUNT(N559:N566)=0,"",SUM(N559:N566))</f>
        <v/>
      </c>
      <c r="P559" s="213"/>
    </row>
    <row r="560" spans="1:16" ht="15.75" customHeight="1">
      <c r="A560" s="232"/>
      <c r="B560" s="229"/>
      <c r="C560" s="148" t="str">
        <f>IF(工时测量记录表!D559="","",工时测量记录表!D559)</f>
        <v/>
      </c>
      <c r="D560" s="227"/>
      <c r="E560" s="227"/>
      <c r="F560" s="227"/>
      <c r="G560" s="227"/>
      <c r="H560" s="225"/>
      <c r="I560" s="225"/>
      <c r="J560" s="225"/>
      <c r="K560" s="225"/>
      <c r="L560" s="222"/>
      <c r="M560" s="217"/>
      <c r="N560" s="149" t="str">
        <f ca="1">IF(OR(C560="",INDIRECT("L"&amp;ROUNDUP((ROW()-6)/8,0)*8-1)=""),"",IF($P$3="否",工时测量记录表!Z559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559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60" s="214"/>
      <c r="P560" s="213"/>
    </row>
    <row r="561" spans="1:16" ht="15.6">
      <c r="A561" s="232"/>
      <c r="B561" s="229"/>
      <c r="C561" s="148" t="str">
        <f>IF(工时测量记录表!D560="","",工时测量记录表!D560)</f>
        <v/>
      </c>
      <c r="D561" s="227"/>
      <c r="E561" s="227"/>
      <c r="F561" s="227"/>
      <c r="G561" s="227"/>
      <c r="H561" s="225"/>
      <c r="I561" s="225"/>
      <c r="J561" s="225"/>
      <c r="K561" s="225"/>
      <c r="L561" s="222"/>
      <c r="M561" s="217"/>
      <c r="N561" s="149" t="str">
        <f ca="1">IF(OR(C561="",INDIRECT("L"&amp;ROUNDUP((ROW()-6)/8,0)*8-1)=""),"",IF($P$3="否",工时测量记录表!Z560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61" s="214"/>
      <c r="P561" s="213"/>
    </row>
    <row r="562" spans="1:16" ht="15.6">
      <c r="A562" s="232"/>
      <c r="B562" s="229"/>
      <c r="C562" s="148" t="str">
        <f>IF(工时测量记录表!D561="","",工时测量记录表!D561)</f>
        <v/>
      </c>
      <c r="D562" s="227"/>
      <c r="E562" s="227"/>
      <c r="F562" s="227"/>
      <c r="G562" s="227"/>
      <c r="H562" s="225"/>
      <c r="I562" s="225"/>
      <c r="J562" s="225"/>
      <c r="K562" s="225"/>
      <c r="L562" s="222"/>
      <c r="M562" s="217"/>
      <c r="N562" s="149" t="str">
        <f ca="1">IF(OR(C562="",INDIRECT("L"&amp;ROUNDUP((ROW()-6)/8,0)*8-1)=""),"",IF($P$3="否",工时测量记录表!Z561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62" s="214"/>
      <c r="P562" s="213"/>
    </row>
    <row r="563" spans="1:16" ht="15.6">
      <c r="A563" s="232"/>
      <c r="B563" s="229"/>
      <c r="C563" s="148" t="str">
        <f>IF(工时测量记录表!D562="","",工时测量记录表!D562)</f>
        <v/>
      </c>
      <c r="D563" s="227"/>
      <c r="E563" s="227"/>
      <c r="F563" s="227"/>
      <c r="G563" s="227"/>
      <c r="H563" s="225"/>
      <c r="I563" s="225"/>
      <c r="J563" s="225"/>
      <c r="K563" s="225"/>
      <c r="L563" s="222"/>
      <c r="M563" s="217"/>
      <c r="N563" s="149" t="str">
        <f ca="1">IF(OR(C563="",INDIRECT("L"&amp;ROUNDUP((ROW()-6)/8,0)*8-1)=""),"",IF($P$3="否",工时测量记录表!Z562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63" s="214"/>
      <c r="P563" s="213"/>
    </row>
    <row r="564" spans="1:16" ht="15.6">
      <c r="A564" s="232"/>
      <c r="B564" s="229"/>
      <c r="C564" s="148" t="str">
        <f>IF(工时测量记录表!D563="","",工时测量记录表!D563)</f>
        <v/>
      </c>
      <c r="D564" s="227"/>
      <c r="E564" s="227"/>
      <c r="F564" s="227"/>
      <c r="G564" s="227"/>
      <c r="H564" s="225"/>
      <c r="I564" s="225"/>
      <c r="J564" s="225"/>
      <c r="K564" s="225"/>
      <c r="L564" s="222"/>
      <c r="M564" s="217"/>
      <c r="N564" s="149" t="str">
        <f ca="1">IF(OR(C564="",INDIRECT("L"&amp;ROUNDUP((ROW()-6)/8,0)*8-1)=""),"",IF($P$3="否",工时测量记录表!Z563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64" s="214"/>
      <c r="P564" s="213"/>
    </row>
    <row r="565" spans="1:16" ht="15.6">
      <c r="A565" s="232"/>
      <c r="B565" s="229"/>
      <c r="C565" s="148" t="str">
        <f>IF(工时测量记录表!D564="","",工时测量记录表!D564)</f>
        <v/>
      </c>
      <c r="D565" s="227"/>
      <c r="E565" s="227"/>
      <c r="F565" s="227"/>
      <c r="G565" s="227"/>
      <c r="H565" s="225"/>
      <c r="I565" s="225"/>
      <c r="J565" s="225"/>
      <c r="K565" s="225"/>
      <c r="L565" s="222"/>
      <c r="M565" s="217"/>
      <c r="N565" s="149" t="str">
        <f ca="1">IF(OR(C565="",INDIRECT("L"&amp;ROUNDUP((ROW()-6)/8,0)*8-1)=""),"",IF($P$3="否",工时测量记录表!Z564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65" s="214"/>
      <c r="P565" s="213"/>
    </row>
    <row r="566" spans="1:16" ht="15.6">
      <c r="A566" s="232"/>
      <c r="B566" s="229"/>
      <c r="C566" s="148" t="str">
        <f>IF(工时测量记录表!D565="","",工时测量记录表!D565)</f>
        <v/>
      </c>
      <c r="D566" s="227"/>
      <c r="E566" s="227"/>
      <c r="F566" s="227"/>
      <c r="G566" s="227"/>
      <c r="H566" s="225"/>
      <c r="I566" s="225"/>
      <c r="J566" s="225"/>
      <c r="K566" s="225"/>
      <c r="L566" s="222"/>
      <c r="M566" s="217"/>
      <c r="N566" s="149" t="str">
        <f ca="1">IF(OR(C566="",INDIRECT("L"&amp;ROUNDUP((ROW()-6)/8,0)*8-1)=""),"",IF($P$3="否",工时测量记录表!Z565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66" s="214"/>
      <c r="P566" s="213"/>
    </row>
    <row r="567" spans="1:16" ht="15.6">
      <c r="A567" s="232">
        <f>IF(工时测量记录表!A566="","",工时测量记录表!A566)</f>
        <v>71</v>
      </c>
      <c r="B567" s="229" t="str">
        <f>IF(工时测量记录表!B566="","",工时测量记录表!B566)</f>
        <v/>
      </c>
      <c r="C567" s="148" t="str">
        <f>IF(工时测量记录表!D566="","",工时测量记录表!D566)</f>
        <v/>
      </c>
      <c r="D567" s="227">
        <f t="shared" ref="D567:K591" si="70">IF($A567="","",D$7)</f>
        <v>0</v>
      </c>
      <c r="E567" s="227">
        <f t="shared" si="70"/>
        <v>0</v>
      </c>
      <c r="F567" s="227">
        <f t="shared" si="70"/>
        <v>0</v>
      </c>
      <c r="G567" s="227">
        <f t="shared" si="70"/>
        <v>0</v>
      </c>
      <c r="H567" s="225">
        <f t="shared" si="70"/>
        <v>0</v>
      </c>
      <c r="I567" s="225">
        <f t="shared" si="70"/>
        <v>0</v>
      </c>
      <c r="J567" s="225">
        <f t="shared" si="70"/>
        <v>0</v>
      </c>
      <c r="K567" s="225">
        <f t="shared" si="70"/>
        <v>0</v>
      </c>
      <c r="L567" s="222" t="str">
        <f>IF(工时测量记录表!C566="","",工时测量记录表!C566)</f>
        <v/>
      </c>
      <c r="M567" s="217">
        <v>1</v>
      </c>
      <c r="N567" s="149" t="str">
        <f ca="1">IF(OR(C567="",INDIRECT("L"&amp;ROUNDUP((ROW()-6)/8,0)*8-1)=""),"",IF($P$3="否",工时测量记录表!Z566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67" s="214" t="str">
        <f t="shared" ca="1" si="69"/>
        <v/>
      </c>
      <c r="P567" s="213"/>
    </row>
    <row r="568" spans="1:16" ht="15.6">
      <c r="A568" s="232"/>
      <c r="B568" s="229"/>
      <c r="C568" s="148" t="str">
        <f>IF(工时测量记录表!D567="","",工时测量记录表!D567)</f>
        <v/>
      </c>
      <c r="D568" s="227"/>
      <c r="E568" s="227"/>
      <c r="F568" s="227"/>
      <c r="G568" s="227"/>
      <c r="H568" s="225"/>
      <c r="I568" s="225"/>
      <c r="J568" s="225"/>
      <c r="K568" s="225"/>
      <c r="L568" s="222"/>
      <c r="M568" s="217"/>
      <c r="N568" s="149" t="str">
        <f ca="1">IF(OR(C568="",INDIRECT("L"&amp;ROUNDUP((ROW()-6)/8,0)*8-1)=""),"",IF($P$3="否",工时测量记录表!Z567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68" s="214"/>
      <c r="P568" s="213"/>
    </row>
    <row r="569" spans="1:16" ht="15.6">
      <c r="A569" s="232"/>
      <c r="B569" s="229"/>
      <c r="C569" s="148" t="str">
        <f>IF(工时测量记录表!D568="","",工时测量记录表!D568)</f>
        <v/>
      </c>
      <c r="D569" s="227"/>
      <c r="E569" s="227"/>
      <c r="F569" s="227"/>
      <c r="G569" s="227"/>
      <c r="H569" s="225"/>
      <c r="I569" s="225"/>
      <c r="J569" s="225"/>
      <c r="K569" s="225"/>
      <c r="L569" s="222"/>
      <c r="M569" s="217"/>
      <c r="N569" s="149" t="str">
        <f ca="1">IF(OR(C569="",INDIRECT("L"&amp;ROUNDUP((ROW()-6)/8,0)*8-1)=""),"",IF($P$3="否",工时测量记录表!Z568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69" s="214"/>
      <c r="P569" s="213"/>
    </row>
    <row r="570" spans="1:16" ht="15.6">
      <c r="A570" s="232"/>
      <c r="B570" s="229"/>
      <c r="C570" s="148" t="str">
        <f>IF(工时测量记录表!D569="","",工时测量记录表!D569)</f>
        <v/>
      </c>
      <c r="D570" s="227"/>
      <c r="E570" s="227"/>
      <c r="F570" s="227"/>
      <c r="G570" s="227"/>
      <c r="H570" s="225"/>
      <c r="I570" s="225"/>
      <c r="J570" s="225"/>
      <c r="K570" s="225"/>
      <c r="L570" s="222"/>
      <c r="M570" s="217"/>
      <c r="N570" s="149" t="str">
        <f ca="1">IF(OR(C570="",INDIRECT("L"&amp;ROUNDUP((ROW()-6)/8,0)*8-1)=""),"",IF($P$3="否",工时测量记录表!Z569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569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70" s="214"/>
      <c r="P570" s="213"/>
    </row>
    <row r="571" spans="1:16" ht="15.6">
      <c r="A571" s="232"/>
      <c r="B571" s="229"/>
      <c r="C571" s="148" t="str">
        <f>IF(工时测量记录表!D570="","",工时测量记录表!D570)</f>
        <v/>
      </c>
      <c r="D571" s="227"/>
      <c r="E571" s="227"/>
      <c r="F571" s="227"/>
      <c r="G571" s="227"/>
      <c r="H571" s="225"/>
      <c r="I571" s="225"/>
      <c r="J571" s="225"/>
      <c r="K571" s="225"/>
      <c r="L571" s="222"/>
      <c r="M571" s="217"/>
      <c r="N571" s="149" t="str">
        <f ca="1">IF(OR(C571="",INDIRECT("L"&amp;ROUNDUP((ROW()-6)/8,0)*8-1)=""),"",IF($P$3="否",工时测量记录表!Z570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71" s="214"/>
      <c r="P571" s="213"/>
    </row>
    <row r="572" spans="1:16" ht="15.6">
      <c r="A572" s="232"/>
      <c r="B572" s="229"/>
      <c r="C572" s="148" t="str">
        <f>IF(工时测量记录表!D571="","",工时测量记录表!D571)</f>
        <v/>
      </c>
      <c r="D572" s="227"/>
      <c r="E572" s="227"/>
      <c r="F572" s="227"/>
      <c r="G572" s="227"/>
      <c r="H572" s="225"/>
      <c r="I572" s="225"/>
      <c r="J572" s="225"/>
      <c r="K572" s="225"/>
      <c r="L572" s="222"/>
      <c r="M572" s="217"/>
      <c r="N572" s="149" t="str">
        <f ca="1">IF(OR(C572="",INDIRECT("L"&amp;ROUNDUP((ROW()-6)/8,0)*8-1)=""),"",IF($P$3="否",工时测量记录表!Z571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72" s="214"/>
      <c r="P572" s="213"/>
    </row>
    <row r="573" spans="1:16" ht="15.6">
      <c r="A573" s="232"/>
      <c r="B573" s="229"/>
      <c r="C573" s="148" t="str">
        <f>IF(工时测量记录表!D572="","",工时测量记录表!D572)</f>
        <v/>
      </c>
      <c r="D573" s="227"/>
      <c r="E573" s="227"/>
      <c r="F573" s="227"/>
      <c r="G573" s="227"/>
      <c r="H573" s="225"/>
      <c r="I573" s="225"/>
      <c r="J573" s="225"/>
      <c r="K573" s="225"/>
      <c r="L573" s="222"/>
      <c r="M573" s="217"/>
      <c r="N573" s="149" t="str">
        <f ca="1">IF(OR(C573="",INDIRECT("L"&amp;ROUNDUP((ROW()-6)/8,0)*8-1)=""),"",IF($P$3="否",工时测量记录表!Z572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73" s="214"/>
      <c r="P573" s="213"/>
    </row>
    <row r="574" spans="1:16" ht="15.6">
      <c r="A574" s="232"/>
      <c r="B574" s="229"/>
      <c r="C574" s="148" t="str">
        <f>IF(工时测量记录表!D573="","",工时测量记录表!D573)</f>
        <v/>
      </c>
      <c r="D574" s="227"/>
      <c r="E574" s="227"/>
      <c r="F574" s="227"/>
      <c r="G574" s="227"/>
      <c r="H574" s="225"/>
      <c r="I574" s="225"/>
      <c r="J574" s="225"/>
      <c r="K574" s="225"/>
      <c r="L574" s="222"/>
      <c r="M574" s="217"/>
      <c r="N574" s="149" t="str">
        <f ca="1">IF(OR(C574="",INDIRECT("L"&amp;ROUNDUP((ROW()-6)/8,0)*8-1)=""),"",IF($P$3="否",工时测量记录表!Z573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74" s="214"/>
      <c r="P574" s="213"/>
    </row>
    <row r="575" spans="1:16" ht="15.6">
      <c r="A575" s="232">
        <f>IF(工时测量记录表!A574="","",工时测量记录表!A574)</f>
        <v>72</v>
      </c>
      <c r="B575" s="229" t="str">
        <f>IF(工时测量记录表!B574="","",工时测量记录表!B574)</f>
        <v/>
      </c>
      <c r="C575" s="148" t="str">
        <f>IF(工时测量记录表!D574="","",工时测量记录表!D574)</f>
        <v/>
      </c>
      <c r="D575" s="227">
        <f t="shared" si="70"/>
        <v>0</v>
      </c>
      <c r="E575" s="227">
        <f t="shared" si="70"/>
        <v>0</v>
      </c>
      <c r="F575" s="227">
        <f t="shared" si="70"/>
        <v>0</v>
      </c>
      <c r="G575" s="227">
        <f t="shared" si="70"/>
        <v>0</v>
      </c>
      <c r="H575" s="225">
        <f t="shared" si="70"/>
        <v>0</v>
      </c>
      <c r="I575" s="225">
        <f t="shared" si="70"/>
        <v>0</v>
      </c>
      <c r="J575" s="225">
        <f t="shared" si="70"/>
        <v>0</v>
      </c>
      <c r="K575" s="225">
        <f t="shared" si="70"/>
        <v>0</v>
      </c>
      <c r="L575" s="222" t="str">
        <f>IF(工时测量记录表!C574="","",工时测量记录表!C574)</f>
        <v/>
      </c>
      <c r="M575" s="217">
        <v>1</v>
      </c>
      <c r="N575" s="149" t="str">
        <f ca="1">IF(OR(C575="",INDIRECT("L"&amp;ROUNDUP((ROW()-6)/8,0)*8-1)=""),"",IF($P$3="否",工时测量记录表!Z574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75" s="214" t="str">
        <f t="shared" ca="1" si="69"/>
        <v/>
      </c>
      <c r="P575" s="213"/>
    </row>
    <row r="576" spans="1:16" ht="15.6">
      <c r="A576" s="232"/>
      <c r="B576" s="229"/>
      <c r="C576" s="148" t="str">
        <f>IF(工时测量记录表!D575="","",工时测量记录表!D575)</f>
        <v/>
      </c>
      <c r="D576" s="227"/>
      <c r="E576" s="227"/>
      <c r="F576" s="227"/>
      <c r="G576" s="227"/>
      <c r="H576" s="225"/>
      <c r="I576" s="225"/>
      <c r="J576" s="225"/>
      <c r="K576" s="225"/>
      <c r="L576" s="222"/>
      <c r="M576" s="217"/>
      <c r="N576" s="149" t="str">
        <f ca="1">IF(OR(C576="",INDIRECT("L"&amp;ROUNDUP((ROW()-6)/8,0)*8-1)=""),"",IF($P$3="否",工时测量记录表!Z575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76" s="214"/>
      <c r="P576" s="213"/>
    </row>
    <row r="577" spans="1:16" ht="15.6">
      <c r="A577" s="232"/>
      <c r="B577" s="229"/>
      <c r="C577" s="148" t="str">
        <f>IF(工时测量记录表!D576="","",工时测量记录表!D576)</f>
        <v/>
      </c>
      <c r="D577" s="227"/>
      <c r="E577" s="227"/>
      <c r="F577" s="227"/>
      <c r="G577" s="227"/>
      <c r="H577" s="225"/>
      <c r="I577" s="225"/>
      <c r="J577" s="225"/>
      <c r="K577" s="225"/>
      <c r="L577" s="222"/>
      <c r="M577" s="217"/>
      <c r="N577" s="149" t="str">
        <f ca="1">IF(OR(C577="",INDIRECT("L"&amp;ROUNDUP((ROW()-6)/8,0)*8-1)=""),"",IF($P$3="否",工时测量记录表!Z576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77" s="214"/>
      <c r="P577" s="213"/>
    </row>
    <row r="578" spans="1:16" ht="15.6">
      <c r="A578" s="232"/>
      <c r="B578" s="229"/>
      <c r="C578" s="148" t="str">
        <f>IF(工时测量记录表!D577="","",工时测量记录表!D577)</f>
        <v/>
      </c>
      <c r="D578" s="227"/>
      <c r="E578" s="227"/>
      <c r="F578" s="227"/>
      <c r="G578" s="227"/>
      <c r="H578" s="225"/>
      <c r="I578" s="225"/>
      <c r="J578" s="225"/>
      <c r="K578" s="225"/>
      <c r="L578" s="222"/>
      <c r="M578" s="217"/>
      <c r="N578" s="149" t="str">
        <f ca="1">IF(OR(C578="",INDIRECT("L"&amp;ROUNDUP((ROW()-6)/8,0)*8-1)=""),"",IF($P$3="否",工时测量记录表!Z577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78" s="214"/>
      <c r="P578" s="213"/>
    </row>
    <row r="579" spans="1:16" ht="15.6">
      <c r="A579" s="232"/>
      <c r="B579" s="229"/>
      <c r="C579" s="148" t="str">
        <f>IF(工时测量记录表!D578="","",工时测量记录表!D578)</f>
        <v/>
      </c>
      <c r="D579" s="227"/>
      <c r="E579" s="227"/>
      <c r="F579" s="227"/>
      <c r="G579" s="227"/>
      <c r="H579" s="225"/>
      <c r="I579" s="225"/>
      <c r="J579" s="225"/>
      <c r="K579" s="225"/>
      <c r="L579" s="222"/>
      <c r="M579" s="217"/>
      <c r="N579" s="149" t="str">
        <f ca="1">IF(OR(C579="",INDIRECT("L"&amp;ROUNDUP((ROW()-6)/8,0)*8-1)=""),"",IF($P$3="否",工时测量记录表!Z578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79" s="214"/>
      <c r="P579" s="213"/>
    </row>
    <row r="580" spans="1:16" ht="15.6">
      <c r="A580" s="232"/>
      <c r="B580" s="229"/>
      <c r="C580" s="148" t="str">
        <f>IF(工时测量记录表!D579="","",工时测量记录表!D579)</f>
        <v/>
      </c>
      <c r="D580" s="227"/>
      <c r="E580" s="227"/>
      <c r="F580" s="227"/>
      <c r="G580" s="227"/>
      <c r="H580" s="225"/>
      <c r="I580" s="225"/>
      <c r="J580" s="225"/>
      <c r="K580" s="225"/>
      <c r="L580" s="222"/>
      <c r="M580" s="217"/>
      <c r="N580" s="149" t="str">
        <f ca="1">IF(OR(C580="",INDIRECT("L"&amp;ROUNDUP((ROW()-6)/8,0)*8-1)=""),"",IF($P$3="否",工时测量记录表!Z579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579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80" s="214"/>
      <c r="P580" s="213"/>
    </row>
    <row r="581" spans="1:16" ht="15.6">
      <c r="A581" s="232"/>
      <c r="B581" s="229"/>
      <c r="C581" s="148" t="str">
        <f>IF(工时测量记录表!D580="","",工时测量记录表!D580)</f>
        <v/>
      </c>
      <c r="D581" s="227"/>
      <c r="E581" s="227"/>
      <c r="F581" s="227"/>
      <c r="G581" s="227"/>
      <c r="H581" s="225"/>
      <c r="I581" s="225"/>
      <c r="J581" s="225"/>
      <c r="K581" s="225"/>
      <c r="L581" s="222"/>
      <c r="M581" s="217"/>
      <c r="N581" s="149" t="str">
        <f ca="1">IF(OR(C581="",INDIRECT("L"&amp;ROUNDUP((ROW()-6)/8,0)*8-1)=""),"",IF($P$3="否",工时测量记录表!Z580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81" s="214"/>
      <c r="P581" s="213"/>
    </row>
    <row r="582" spans="1:16" ht="15.6">
      <c r="A582" s="232"/>
      <c r="B582" s="229"/>
      <c r="C582" s="148" t="str">
        <f>IF(工时测量记录表!D581="","",工时测量记录表!D581)</f>
        <v/>
      </c>
      <c r="D582" s="227"/>
      <c r="E582" s="227"/>
      <c r="F582" s="227"/>
      <c r="G582" s="227"/>
      <c r="H582" s="225"/>
      <c r="I582" s="225"/>
      <c r="J582" s="225"/>
      <c r="K582" s="225"/>
      <c r="L582" s="222"/>
      <c r="M582" s="217"/>
      <c r="N582" s="149" t="str">
        <f ca="1">IF(OR(C582="",INDIRECT("L"&amp;ROUNDUP((ROW()-6)/8,0)*8-1)=""),"",IF($P$3="否",工时测量记录表!Z581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82" s="214"/>
      <c r="P582" s="213"/>
    </row>
    <row r="583" spans="1:16" ht="15.6">
      <c r="A583" s="232">
        <f>IF(工时测量记录表!A582="","",工时测量记录表!A582)</f>
        <v>73</v>
      </c>
      <c r="B583" s="229" t="str">
        <f>IF(工时测量记录表!B582="","",工时测量记录表!B582)</f>
        <v/>
      </c>
      <c r="C583" s="148" t="str">
        <f>IF(工时测量记录表!D582="","",工时测量记录表!D582)</f>
        <v/>
      </c>
      <c r="D583" s="227">
        <f t="shared" si="70"/>
        <v>0</v>
      </c>
      <c r="E583" s="227">
        <f t="shared" si="70"/>
        <v>0</v>
      </c>
      <c r="F583" s="227">
        <f t="shared" si="70"/>
        <v>0</v>
      </c>
      <c r="G583" s="227">
        <f t="shared" si="70"/>
        <v>0</v>
      </c>
      <c r="H583" s="225">
        <f t="shared" si="70"/>
        <v>0</v>
      </c>
      <c r="I583" s="225">
        <f t="shared" si="70"/>
        <v>0</v>
      </c>
      <c r="J583" s="225">
        <f t="shared" si="70"/>
        <v>0</v>
      </c>
      <c r="K583" s="225">
        <f t="shared" si="70"/>
        <v>0</v>
      </c>
      <c r="L583" s="222" t="str">
        <f>IF(工时测量记录表!C582="","",工时测量记录表!C582)</f>
        <v/>
      </c>
      <c r="M583" s="217">
        <v>1</v>
      </c>
      <c r="N583" s="149" t="str">
        <f ca="1">IF(OR(C583="",INDIRECT("L"&amp;ROUNDUP((ROW()-6)/8,0)*8-1)=""),"",IF($P$3="否",工时测量记录表!Z582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83" s="214" t="str">
        <f t="shared" ca="1" si="69"/>
        <v/>
      </c>
      <c r="P583" s="213"/>
    </row>
    <row r="584" spans="1:16" ht="15.6">
      <c r="A584" s="232"/>
      <c r="B584" s="229"/>
      <c r="C584" s="148" t="str">
        <f>IF(工时测量记录表!D583="","",工时测量记录表!D583)</f>
        <v/>
      </c>
      <c r="D584" s="227"/>
      <c r="E584" s="227"/>
      <c r="F584" s="227"/>
      <c r="G584" s="227"/>
      <c r="H584" s="225"/>
      <c r="I584" s="225"/>
      <c r="J584" s="225"/>
      <c r="K584" s="225"/>
      <c r="L584" s="222"/>
      <c r="M584" s="217"/>
      <c r="N584" s="149" t="str">
        <f ca="1">IF(OR(C584="",INDIRECT("L"&amp;ROUNDUP((ROW()-6)/8,0)*8-1)=""),"",IF($P$3="否",工时测量记录表!Z583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84" s="214"/>
      <c r="P584" s="213"/>
    </row>
    <row r="585" spans="1:16" ht="15.6">
      <c r="A585" s="232"/>
      <c r="B585" s="229"/>
      <c r="C585" s="148" t="str">
        <f>IF(工时测量记录表!D584="","",工时测量记录表!D584)</f>
        <v/>
      </c>
      <c r="D585" s="227"/>
      <c r="E585" s="227"/>
      <c r="F585" s="227"/>
      <c r="G585" s="227"/>
      <c r="H585" s="225"/>
      <c r="I585" s="225"/>
      <c r="J585" s="225"/>
      <c r="K585" s="225"/>
      <c r="L585" s="222"/>
      <c r="M585" s="217"/>
      <c r="N585" s="149" t="str">
        <f ca="1">IF(OR(C585="",INDIRECT("L"&amp;ROUNDUP((ROW()-6)/8,0)*8-1)=""),"",IF($P$3="否",工时测量记录表!Z584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85" s="214"/>
      <c r="P585" s="213"/>
    </row>
    <row r="586" spans="1:16" ht="15.6">
      <c r="A586" s="232"/>
      <c r="B586" s="229"/>
      <c r="C586" s="148" t="str">
        <f>IF(工时测量记录表!D585="","",工时测量记录表!D585)</f>
        <v/>
      </c>
      <c r="D586" s="227"/>
      <c r="E586" s="227"/>
      <c r="F586" s="227"/>
      <c r="G586" s="227"/>
      <c r="H586" s="225"/>
      <c r="I586" s="225"/>
      <c r="J586" s="225"/>
      <c r="K586" s="225"/>
      <c r="L586" s="222"/>
      <c r="M586" s="217"/>
      <c r="N586" s="149" t="str">
        <f ca="1">IF(OR(C586="",INDIRECT("L"&amp;ROUNDUP((ROW()-6)/8,0)*8-1)=""),"",IF($P$3="否",工时测量记录表!Z585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86" s="214"/>
      <c r="P586" s="213"/>
    </row>
    <row r="587" spans="1:16" ht="15.6">
      <c r="A587" s="232"/>
      <c r="B587" s="229"/>
      <c r="C587" s="148" t="str">
        <f>IF(工时测量记录表!D586="","",工时测量记录表!D586)</f>
        <v/>
      </c>
      <c r="D587" s="227"/>
      <c r="E587" s="227"/>
      <c r="F587" s="227"/>
      <c r="G587" s="227"/>
      <c r="H587" s="225"/>
      <c r="I587" s="225"/>
      <c r="J587" s="225"/>
      <c r="K587" s="225"/>
      <c r="L587" s="222"/>
      <c r="M587" s="217"/>
      <c r="N587" s="149" t="str">
        <f ca="1">IF(OR(C587="",INDIRECT("L"&amp;ROUNDUP((ROW()-6)/8,0)*8-1)=""),"",IF($P$3="否",工时测量记录表!Z586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87" s="214"/>
      <c r="P587" s="213"/>
    </row>
    <row r="588" spans="1:16" ht="15.6">
      <c r="A588" s="232"/>
      <c r="B588" s="229"/>
      <c r="C588" s="148" t="str">
        <f>IF(工时测量记录表!D587="","",工时测量记录表!D587)</f>
        <v/>
      </c>
      <c r="D588" s="227"/>
      <c r="E588" s="227"/>
      <c r="F588" s="227"/>
      <c r="G588" s="227"/>
      <c r="H588" s="225"/>
      <c r="I588" s="225"/>
      <c r="J588" s="225"/>
      <c r="K588" s="225"/>
      <c r="L588" s="222"/>
      <c r="M588" s="217"/>
      <c r="N588" s="149" t="str">
        <f ca="1">IF(OR(C588="",INDIRECT("L"&amp;ROUNDUP((ROW()-6)/8,0)*8-1)=""),"",IF($P$3="否",工时测量记录表!Z587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88" s="214"/>
      <c r="P588" s="213"/>
    </row>
    <row r="589" spans="1:16" ht="15.6">
      <c r="A589" s="232"/>
      <c r="B589" s="229"/>
      <c r="C589" s="148" t="str">
        <f>IF(工时测量记录表!D588="","",工时测量记录表!D588)</f>
        <v/>
      </c>
      <c r="D589" s="227"/>
      <c r="E589" s="227"/>
      <c r="F589" s="227"/>
      <c r="G589" s="227"/>
      <c r="H589" s="225"/>
      <c r="I589" s="225"/>
      <c r="J589" s="225"/>
      <c r="K589" s="225"/>
      <c r="L589" s="222"/>
      <c r="M589" s="217"/>
      <c r="N589" s="149" t="str">
        <f ca="1">IF(OR(C589="",INDIRECT("L"&amp;ROUNDUP((ROW()-6)/8,0)*8-1)=""),"",IF($P$3="否",工时测量记录表!Z588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89" s="214"/>
      <c r="P589" s="213"/>
    </row>
    <row r="590" spans="1:16" ht="15.6">
      <c r="A590" s="232"/>
      <c r="B590" s="229"/>
      <c r="C590" s="148" t="str">
        <f>IF(工时测量记录表!D589="","",工时测量记录表!D589)</f>
        <v/>
      </c>
      <c r="D590" s="227"/>
      <c r="E590" s="227"/>
      <c r="F590" s="227"/>
      <c r="G590" s="227"/>
      <c r="H590" s="225"/>
      <c r="I590" s="225"/>
      <c r="J590" s="225"/>
      <c r="K590" s="225"/>
      <c r="L590" s="222"/>
      <c r="M590" s="217"/>
      <c r="N590" s="149" t="str">
        <f ca="1">IF(OR(C590="",INDIRECT("L"&amp;ROUNDUP((ROW()-6)/8,0)*8-1)=""),"",IF($P$3="否",工时测量记录表!Z589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589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90" s="214"/>
      <c r="P590" s="213"/>
    </row>
    <row r="591" spans="1:16" ht="15.6">
      <c r="A591" s="232">
        <f>IF(工时测量记录表!A590="","",工时测量记录表!A590)</f>
        <v>74</v>
      </c>
      <c r="B591" s="229" t="str">
        <f>IF(工时测量记录表!B590="","",工时测量记录表!B590)</f>
        <v/>
      </c>
      <c r="C591" s="148" t="str">
        <f>IF(工时测量记录表!D590="","",工时测量记录表!D590)</f>
        <v/>
      </c>
      <c r="D591" s="227">
        <f t="shared" si="70"/>
        <v>0</v>
      </c>
      <c r="E591" s="227">
        <f t="shared" si="70"/>
        <v>0</v>
      </c>
      <c r="F591" s="227">
        <f t="shared" si="70"/>
        <v>0</v>
      </c>
      <c r="G591" s="227">
        <f t="shared" si="70"/>
        <v>0</v>
      </c>
      <c r="H591" s="225">
        <f t="shared" si="70"/>
        <v>0</v>
      </c>
      <c r="I591" s="225">
        <f t="shared" si="70"/>
        <v>0</v>
      </c>
      <c r="J591" s="225">
        <f t="shared" si="70"/>
        <v>0</v>
      </c>
      <c r="K591" s="225">
        <f t="shared" si="70"/>
        <v>0</v>
      </c>
      <c r="L591" s="222" t="str">
        <f>IF(工时测量记录表!C590="","",工时测量记录表!C590)</f>
        <v/>
      </c>
      <c r="M591" s="217">
        <v>1</v>
      </c>
      <c r="N591" s="149" t="str">
        <f ca="1">IF(OR(C591="",INDIRECT("L"&amp;ROUNDUP((ROW()-6)/8,0)*8-1)=""),"",IF($P$3="否",工时测量记录表!Z590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91" s="214" t="str">
        <f t="shared" ref="O591:O599" ca="1" si="71">IF(COUNT(N591:N598)=0,"",SUM(N591:N598))</f>
        <v/>
      </c>
      <c r="P591" s="213"/>
    </row>
    <row r="592" spans="1:16" ht="15.6">
      <c r="A592" s="232"/>
      <c r="B592" s="229"/>
      <c r="C592" s="148" t="str">
        <f>IF(工时测量记录表!D591="","",工时测量记录表!D591)</f>
        <v/>
      </c>
      <c r="D592" s="227"/>
      <c r="E592" s="227"/>
      <c r="F592" s="227"/>
      <c r="G592" s="227"/>
      <c r="H592" s="225"/>
      <c r="I592" s="225"/>
      <c r="J592" s="225"/>
      <c r="K592" s="225"/>
      <c r="L592" s="222"/>
      <c r="M592" s="217"/>
      <c r="N592" s="149" t="str">
        <f ca="1">IF(OR(C592="",INDIRECT("L"&amp;ROUNDUP((ROW()-6)/8,0)*8-1)=""),"",IF($P$3="否",工时测量记录表!Z591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92" s="214"/>
      <c r="P592" s="213"/>
    </row>
    <row r="593" spans="1:16" ht="15.6">
      <c r="A593" s="232"/>
      <c r="B593" s="229"/>
      <c r="C593" s="148" t="str">
        <f>IF(工时测量记录表!D592="","",工时测量记录表!D592)</f>
        <v/>
      </c>
      <c r="D593" s="227"/>
      <c r="E593" s="227"/>
      <c r="F593" s="227"/>
      <c r="G593" s="227"/>
      <c r="H593" s="225"/>
      <c r="I593" s="225"/>
      <c r="J593" s="225"/>
      <c r="K593" s="225"/>
      <c r="L593" s="222"/>
      <c r="M593" s="217"/>
      <c r="N593" s="149" t="str">
        <f ca="1">IF(OR(C593="",INDIRECT("L"&amp;ROUNDUP((ROW()-6)/8,0)*8-1)=""),"",IF($P$3="否",工时测量记录表!Z592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93" s="214"/>
      <c r="P593" s="213"/>
    </row>
    <row r="594" spans="1:16" ht="15.6">
      <c r="A594" s="232"/>
      <c r="B594" s="229"/>
      <c r="C594" s="148" t="str">
        <f>IF(工时测量记录表!D593="","",工时测量记录表!D593)</f>
        <v/>
      </c>
      <c r="D594" s="227"/>
      <c r="E594" s="227"/>
      <c r="F594" s="227"/>
      <c r="G594" s="227"/>
      <c r="H594" s="225"/>
      <c r="I594" s="225"/>
      <c r="J594" s="225"/>
      <c r="K594" s="225"/>
      <c r="L594" s="222"/>
      <c r="M594" s="217"/>
      <c r="N594" s="149" t="str">
        <f ca="1">IF(OR(C594="",INDIRECT("L"&amp;ROUNDUP((ROW()-6)/8,0)*8-1)=""),"",IF($P$3="否",工时测量记录表!Z593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94" s="214"/>
      <c r="P594" s="213"/>
    </row>
    <row r="595" spans="1:16" ht="15.6">
      <c r="A595" s="232"/>
      <c r="B595" s="229"/>
      <c r="C595" s="148" t="str">
        <f>IF(工时测量记录表!D594="","",工时测量记录表!D594)</f>
        <v/>
      </c>
      <c r="D595" s="227"/>
      <c r="E595" s="227"/>
      <c r="F595" s="227"/>
      <c r="G595" s="227"/>
      <c r="H595" s="225"/>
      <c r="I595" s="225"/>
      <c r="J595" s="225"/>
      <c r="K595" s="225"/>
      <c r="L595" s="222"/>
      <c r="M595" s="217"/>
      <c r="N595" s="149" t="str">
        <f ca="1">IF(OR(C595="",INDIRECT("L"&amp;ROUNDUP((ROW()-6)/8,0)*8-1)=""),"",IF($P$3="否",工时测量记录表!Z594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95" s="214"/>
      <c r="P595" s="213"/>
    </row>
    <row r="596" spans="1:16" ht="15.6">
      <c r="A596" s="232"/>
      <c r="B596" s="229"/>
      <c r="C596" s="148" t="str">
        <f>IF(工时测量记录表!D595="","",工时测量记录表!D595)</f>
        <v/>
      </c>
      <c r="D596" s="227"/>
      <c r="E596" s="227"/>
      <c r="F596" s="227"/>
      <c r="G596" s="227"/>
      <c r="H596" s="225"/>
      <c r="I596" s="225"/>
      <c r="J596" s="225"/>
      <c r="K596" s="225"/>
      <c r="L596" s="222"/>
      <c r="M596" s="217"/>
      <c r="N596" s="149" t="str">
        <f ca="1">IF(OR(C596="",INDIRECT("L"&amp;ROUNDUP((ROW()-6)/8,0)*8-1)=""),"",IF($P$3="否",工时测量记录表!Z595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96" s="214"/>
      <c r="P596" s="213"/>
    </row>
    <row r="597" spans="1:16" ht="15.6">
      <c r="A597" s="232"/>
      <c r="B597" s="229"/>
      <c r="C597" s="148" t="str">
        <f>IF(工时测量记录表!D596="","",工时测量记录表!D596)</f>
        <v/>
      </c>
      <c r="D597" s="227"/>
      <c r="E597" s="227"/>
      <c r="F597" s="227"/>
      <c r="G597" s="227"/>
      <c r="H597" s="225"/>
      <c r="I597" s="225"/>
      <c r="J597" s="225"/>
      <c r="K597" s="225"/>
      <c r="L597" s="222"/>
      <c r="M597" s="217"/>
      <c r="N597" s="149" t="str">
        <f ca="1">IF(OR(C597="",INDIRECT("L"&amp;ROUNDUP((ROW()-6)/8,0)*8-1)=""),"",IF($P$3="否",工时测量记录表!Z596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97" s="214"/>
      <c r="P597" s="213"/>
    </row>
    <row r="598" spans="1:16" ht="15.6">
      <c r="A598" s="232"/>
      <c r="B598" s="229"/>
      <c r="C598" s="148" t="str">
        <f>IF(工时测量记录表!D597="","",工时测量记录表!D597)</f>
        <v/>
      </c>
      <c r="D598" s="227"/>
      <c r="E598" s="227"/>
      <c r="F598" s="227"/>
      <c r="G598" s="227"/>
      <c r="H598" s="225"/>
      <c r="I598" s="225"/>
      <c r="J598" s="225"/>
      <c r="K598" s="225"/>
      <c r="L598" s="222"/>
      <c r="M598" s="217"/>
      <c r="N598" s="149" t="str">
        <f ca="1">IF(OR(C598="",INDIRECT("L"&amp;ROUNDUP((ROW()-6)/8,0)*8-1)=""),"",IF($P$3="否",工时测量记录表!Z597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98" s="214"/>
      <c r="P598" s="213"/>
    </row>
    <row r="599" spans="1:16" ht="15.6">
      <c r="A599" s="232">
        <f>IF(工时测量记录表!A598="","",工时测量记录表!A598)</f>
        <v>75</v>
      </c>
      <c r="B599" s="229" t="str">
        <f>IF(工时测量记录表!B598="","",工时测量记录表!B598)</f>
        <v/>
      </c>
      <c r="C599" s="148" t="str">
        <f>IF(工时测量记录表!D598="","",工时测量记录表!D598)</f>
        <v/>
      </c>
      <c r="D599" s="227">
        <f t="shared" ref="D599:K599" si="72">IF($A599="","",D$7)</f>
        <v>0</v>
      </c>
      <c r="E599" s="227">
        <f t="shared" si="72"/>
        <v>0</v>
      </c>
      <c r="F599" s="227">
        <f t="shared" si="72"/>
        <v>0</v>
      </c>
      <c r="G599" s="227">
        <f t="shared" si="72"/>
        <v>0</v>
      </c>
      <c r="H599" s="225">
        <f t="shared" si="72"/>
        <v>0</v>
      </c>
      <c r="I599" s="225">
        <f t="shared" si="72"/>
        <v>0</v>
      </c>
      <c r="J599" s="225">
        <f t="shared" si="72"/>
        <v>0</v>
      </c>
      <c r="K599" s="225">
        <f t="shared" si="72"/>
        <v>0</v>
      </c>
      <c r="L599" s="222" t="str">
        <f>IF(工时测量记录表!C598="","",工时测量记录表!C598)</f>
        <v/>
      </c>
      <c r="M599" s="217">
        <v>1</v>
      </c>
      <c r="N599" s="149" t="str">
        <f ca="1">IF(OR(C599="",INDIRECT("L"&amp;ROUNDUP((ROW()-6)/8,0)*8-1)=""),"",IF($P$3="否",工时测量记录表!Z598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599" s="214" t="str">
        <f t="shared" ca="1" si="71"/>
        <v/>
      </c>
      <c r="P599" s="213"/>
    </row>
    <row r="600" spans="1:16" ht="15.6">
      <c r="A600" s="232"/>
      <c r="B600" s="229"/>
      <c r="C600" s="148" t="str">
        <f>IF(工时测量记录表!D599="","",工时测量记录表!D599)</f>
        <v/>
      </c>
      <c r="D600" s="227"/>
      <c r="E600" s="227"/>
      <c r="F600" s="227"/>
      <c r="G600" s="227"/>
      <c r="H600" s="225"/>
      <c r="I600" s="225"/>
      <c r="J600" s="225"/>
      <c r="K600" s="225"/>
      <c r="L600" s="222"/>
      <c r="M600" s="217"/>
      <c r="N600" s="149" t="str">
        <f ca="1">IF(OR(C600="",INDIRECT("L"&amp;ROUNDUP((ROW()-6)/8,0)*8-1)=""),"",IF($P$3="否",工时测量记录表!Z599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599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00" s="214"/>
      <c r="P600" s="213"/>
    </row>
    <row r="601" spans="1:16" ht="15.6">
      <c r="A601" s="232"/>
      <c r="B601" s="229"/>
      <c r="C601" s="148" t="str">
        <f>IF(工时测量记录表!D600="","",工时测量记录表!D600)</f>
        <v/>
      </c>
      <c r="D601" s="227"/>
      <c r="E601" s="227"/>
      <c r="F601" s="227"/>
      <c r="G601" s="227"/>
      <c r="H601" s="225"/>
      <c r="I601" s="225"/>
      <c r="J601" s="225"/>
      <c r="K601" s="225"/>
      <c r="L601" s="222"/>
      <c r="M601" s="217"/>
      <c r="N601" s="149" t="str">
        <f ca="1">IF(OR(C601="",INDIRECT("L"&amp;ROUNDUP((ROW()-6)/8,0)*8-1)=""),"",IF($P$3="否",工时测量记录表!Z600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01" s="214"/>
      <c r="P601" s="213"/>
    </row>
    <row r="602" spans="1:16" ht="15.6">
      <c r="A602" s="232"/>
      <c r="B602" s="229"/>
      <c r="C602" s="148" t="str">
        <f>IF(工时测量记录表!D601="","",工时测量记录表!D601)</f>
        <v/>
      </c>
      <c r="D602" s="227"/>
      <c r="E602" s="227"/>
      <c r="F602" s="227"/>
      <c r="G602" s="227"/>
      <c r="H602" s="225"/>
      <c r="I602" s="225"/>
      <c r="J602" s="225"/>
      <c r="K602" s="225"/>
      <c r="L602" s="222"/>
      <c r="M602" s="217"/>
      <c r="N602" s="149" t="str">
        <f ca="1">IF(OR(C602="",INDIRECT("L"&amp;ROUNDUP((ROW()-6)/8,0)*8-1)=""),"",IF($P$3="否",工时测量记录表!Z601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02" s="214"/>
      <c r="P602" s="213"/>
    </row>
    <row r="603" spans="1:16" ht="15.6">
      <c r="A603" s="232"/>
      <c r="B603" s="229"/>
      <c r="C603" s="148" t="str">
        <f>IF(工时测量记录表!D602="","",工时测量记录表!D602)</f>
        <v/>
      </c>
      <c r="D603" s="227"/>
      <c r="E603" s="227"/>
      <c r="F603" s="227"/>
      <c r="G603" s="227"/>
      <c r="H603" s="225"/>
      <c r="I603" s="225"/>
      <c r="J603" s="225"/>
      <c r="K603" s="225"/>
      <c r="L603" s="222"/>
      <c r="M603" s="217"/>
      <c r="N603" s="149" t="str">
        <f ca="1">IF(OR(C603="",INDIRECT("L"&amp;ROUNDUP((ROW()-6)/8,0)*8-1)=""),"",IF($P$3="否",工时测量记录表!Z602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03" s="214"/>
      <c r="P603" s="213"/>
    </row>
    <row r="604" spans="1:16" ht="15.6">
      <c r="A604" s="232"/>
      <c r="B604" s="229"/>
      <c r="C604" s="148" t="str">
        <f>IF(工时测量记录表!D603="","",工时测量记录表!D603)</f>
        <v/>
      </c>
      <c r="D604" s="227"/>
      <c r="E604" s="227"/>
      <c r="F604" s="227"/>
      <c r="G604" s="227"/>
      <c r="H604" s="225"/>
      <c r="I604" s="225"/>
      <c r="J604" s="225"/>
      <c r="K604" s="225"/>
      <c r="L604" s="222"/>
      <c r="M604" s="217"/>
      <c r="N604" s="149" t="str">
        <f ca="1">IF(OR(C604="",INDIRECT("L"&amp;ROUNDUP((ROW()-6)/8,0)*8-1)=""),"",IF($P$3="否",工时测量记录表!Z603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04" s="214"/>
      <c r="P604" s="213"/>
    </row>
    <row r="605" spans="1:16" ht="15.6">
      <c r="A605" s="232"/>
      <c r="B605" s="229"/>
      <c r="C605" s="148" t="str">
        <f>IF(工时测量记录表!D604="","",工时测量记录表!D604)</f>
        <v/>
      </c>
      <c r="D605" s="227"/>
      <c r="E605" s="227"/>
      <c r="F605" s="227"/>
      <c r="G605" s="227"/>
      <c r="H605" s="225"/>
      <c r="I605" s="225"/>
      <c r="J605" s="225"/>
      <c r="K605" s="225"/>
      <c r="L605" s="222"/>
      <c r="M605" s="217"/>
      <c r="N605" s="149" t="str">
        <f ca="1">IF(OR(C605="",INDIRECT("L"&amp;ROUNDUP((ROW()-6)/8,0)*8-1)=""),"",IF($P$3="否",工时测量记录表!Z604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05" s="214"/>
      <c r="P605" s="213"/>
    </row>
    <row r="606" spans="1:16" ht="15.6">
      <c r="A606" s="232"/>
      <c r="B606" s="229"/>
      <c r="C606" s="148" t="str">
        <f>IF(工时测量记录表!D605="","",工时测量记录表!D605)</f>
        <v/>
      </c>
      <c r="D606" s="227"/>
      <c r="E606" s="227"/>
      <c r="F606" s="227"/>
      <c r="G606" s="227"/>
      <c r="H606" s="225"/>
      <c r="I606" s="225"/>
      <c r="J606" s="225"/>
      <c r="K606" s="225"/>
      <c r="L606" s="222"/>
      <c r="M606" s="217"/>
      <c r="N606" s="149" t="str">
        <f ca="1">IF(OR(C606="",INDIRECT("L"&amp;ROUNDUP((ROW()-6)/8,0)*8-1)=""),"",IF($P$3="否",工时测量记录表!Z605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06" s="214"/>
      <c r="P606" s="213"/>
    </row>
    <row r="607" spans="1:16" ht="15.6">
      <c r="A607" s="232">
        <f>IF(工时测量记录表!A606="","",工时测量记录表!A606)</f>
        <v>76</v>
      </c>
      <c r="B607" s="229" t="str">
        <f>IF(工时测量记录表!B606="","",工时测量记录表!B606)</f>
        <v/>
      </c>
      <c r="C607" s="148" t="str">
        <f>IF(工时测量记录表!D606="","",工时测量记录表!D606)</f>
        <v/>
      </c>
      <c r="D607" s="227">
        <f t="shared" ref="D607:K615" si="73">IF($A607="","",D$7)</f>
        <v>0</v>
      </c>
      <c r="E607" s="227">
        <f t="shared" si="73"/>
        <v>0</v>
      </c>
      <c r="F607" s="227">
        <f t="shared" si="73"/>
        <v>0</v>
      </c>
      <c r="G607" s="227">
        <f t="shared" si="73"/>
        <v>0</v>
      </c>
      <c r="H607" s="225">
        <f t="shared" si="73"/>
        <v>0</v>
      </c>
      <c r="I607" s="225">
        <f t="shared" si="73"/>
        <v>0</v>
      </c>
      <c r="J607" s="225">
        <f t="shared" si="73"/>
        <v>0</v>
      </c>
      <c r="K607" s="225">
        <f t="shared" si="73"/>
        <v>0</v>
      </c>
      <c r="L607" s="222" t="str">
        <f>IF(工时测量记录表!C606="","",工时测量记录表!C606)</f>
        <v/>
      </c>
      <c r="M607" s="217">
        <v>1</v>
      </c>
      <c r="N607" s="149" t="str">
        <f ca="1">IF(OR(C607="",INDIRECT("L"&amp;ROUNDUP((ROW()-6)/8,0)*8-1)=""),"",IF($P$3="否",工时测量记录表!Z606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07" s="214" t="str">
        <f t="shared" ref="O607" ca="1" si="74">IF(COUNT(N607:N614)=0,"",SUM(N607:N614))</f>
        <v/>
      </c>
      <c r="P607" s="213"/>
    </row>
    <row r="608" spans="1:16" ht="15.6">
      <c r="A608" s="232"/>
      <c r="B608" s="229"/>
      <c r="C608" s="148" t="str">
        <f>IF(工时测量记录表!D607="","",工时测量记录表!D607)</f>
        <v/>
      </c>
      <c r="D608" s="227"/>
      <c r="E608" s="227"/>
      <c r="F608" s="227"/>
      <c r="G608" s="227"/>
      <c r="H608" s="225"/>
      <c r="I608" s="225"/>
      <c r="J608" s="225"/>
      <c r="K608" s="225"/>
      <c r="L608" s="222"/>
      <c r="M608" s="217"/>
      <c r="N608" s="149" t="str">
        <f ca="1">IF(OR(C608="",INDIRECT("L"&amp;ROUNDUP((ROW()-6)/8,0)*8-1)=""),"",IF($P$3="否",工时测量记录表!Z607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08" s="214"/>
      <c r="P608" s="213"/>
    </row>
    <row r="609" spans="1:16" ht="15.6">
      <c r="A609" s="232"/>
      <c r="B609" s="229"/>
      <c r="C609" s="148" t="str">
        <f>IF(工时测量记录表!D608="","",工时测量记录表!D608)</f>
        <v/>
      </c>
      <c r="D609" s="227"/>
      <c r="E609" s="227"/>
      <c r="F609" s="227"/>
      <c r="G609" s="227"/>
      <c r="H609" s="225"/>
      <c r="I609" s="225"/>
      <c r="J609" s="225"/>
      <c r="K609" s="225"/>
      <c r="L609" s="222"/>
      <c r="M609" s="217"/>
      <c r="N609" s="149" t="str">
        <f ca="1">IF(OR(C609="",INDIRECT("L"&amp;ROUNDUP((ROW()-6)/8,0)*8-1)=""),"",IF($P$3="否",工时测量记录表!Z608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09" s="214"/>
      <c r="P609" s="213"/>
    </row>
    <row r="610" spans="1:16" ht="15.6">
      <c r="A610" s="232"/>
      <c r="B610" s="229"/>
      <c r="C610" s="148" t="str">
        <f>IF(工时测量记录表!D609="","",工时测量记录表!D609)</f>
        <v/>
      </c>
      <c r="D610" s="227"/>
      <c r="E610" s="227"/>
      <c r="F610" s="227"/>
      <c r="G610" s="227"/>
      <c r="H610" s="225"/>
      <c r="I610" s="225"/>
      <c r="J610" s="225"/>
      <c r="K610" s="225"/>
      <c r="L610" s="222"/>
      <c r="M610" s="217"/>
      <c r="N610" s="149" t="str">
        <f ca="1">IF(OR(C610="",INDIRECT("L"&amp;ROUNDUP((ROW()-6)/8,0)*8-1)=""),"",IF($P$3="否",工时测量记录表!Z609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609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10" s="214"/>
      <c r="P610" s="213"/>
    </row>
    <row r="611" spans="1:16" ht="15.6">
      <c r="A611" s="232"/>
      <c r="B611" s="229"/>
      <c r="C611" s="148" t="str">
        <f>IF(工时测量记录表!D610="","",工时测量记录表!D610)</f>
        <v/>
      </c>
      <c r="D611" s="227"/>
      <c r="E611" s="227"/>
      <c r="F611" s="227"/>
      <c r="G611" s="227"/>
      <c r="H611" s="225"/>
      <c r="I611" s="225"/>
      <c r="J611" s="225"/>
      <c r="K611" s="225"/>
      <c r="L611" s="222"/>
      <c r="M611" s="217"/>
      <c r="N611" s="149" t="str">
        <f ca="1">IF(OR(C611="",INDIRECT("L"&amp;ROUNDUP((ROW()-6)/8,0)*8-1)=""),"",IF($P$3="否",工时测量记录表!Z610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11" s="214"/>
      <c r="P611" s="213"/>
    </row>
    <row r="612" spans="1:16" ht="15.6">
      <c r="A612" s="232"/>
      <c r="B612" s="229"/>
      <c r="C612" s="148" t="str">
        <f>IF(工时测量记录表!D611="","",工时测量记录表!D611)</f>
        <v/>
      </c>
      <c r="D612" s="227"/>
      <c r="E612" s="227"/>
      <c r="F612" s="227"/>
      <c r="G612" s="227"/>
      <c r="H612" s="225"/>
      <c r="I612" s="225"/>
      <c r="J612" s="225"/>
      <c r="K612" s="225"/>
      <c r="L612" s="222"/>
      <c r="M612" s="217"/>
      <c r="N612" s="149" t="str">
        <f ca="1">IF(OR(C612="",INDIRECT("L"&amp;ROUNDUP((ROW()-6)/8,0)*8-1)=""),"",IF($P$3="否",工时测量记录表!Z611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12" s="214"/>
      <c r="P612" s="213"/>
    </row>
    <row r="613" spans="1:16" ht="15.6">
      <c r="A613" s="232"/>
      <c r="B613" s="229"/>
      <c r="C613" s="148" t="str">
        <f>IF(工时测量记录表!D612="","",工时测量记录表!D612)</f>
        <v/>
      </c>
      <c r="D613" s="227"/>
      <c r="E613" s="227"/>
      <c r="F613" s="227"/>
      <c r="G613" s="227"/>
      <c r="H613" s="225"/>
      <c r="I613" s="225"/>
      <c r="J613" s="225"/>
      <c r="K613" s="225"/>
      <c r="L613" s="222"/>
      <c r="M613" s="217"/>
      <c r="N613" s="149" t="str">
        <f ca="1">IF(OR(C613="",INDIRECT("L"&amp;ROUNDUP((ROW()-6)/8,0)*8-1)=""),"",IF($P$3="否",工时测量记录表!Z612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13" s="214"/>
      <c r="P613" s="213"/>
    </row>
    <row r="614" spans="1:16" ht="15.6">
      <c r="A614" s="232"/>
      <c r="B614" s="229"/>
      <c r="C614" s="148" t="str">
        <f>IF(工时测量记录表!D613="","",工时测量记录表!D613)</f>
        <v/>
      </c>
      <c r="D614" s="227"/>
      <c r="E614" s="227"/>
      <c r="F614" s="227"/>
      <c r="G614" s="227"/>
      <c r="H614" s="225"/>
      <c r="I614" s="225"/>
      <c r="J614" s="225"/>
      <c r="K614" s="225"/>
      <c r="L614" s="222"/>
      <c r="M614" s="217"/>
      <c r="N614" s="149" t="str">
        <f ca="1">IF(OR(C614="",INDIRECT("L"&amp;ROUNDUP((ROW()-6)/8,0)*8-1)=""),"",IF($P$3="否",工时测量记录表!Z613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14" s="214"/>
      <c r="P614" s="213"/>
    </row>
    <row r="615" spans="1:16" ht="15.6">
      <c r="A615" s="232">
        <f>IF(工时测量记录表!A614="","",工时测量记录表!A614)</f>
        <v>77</v>
      </c>
      <c r="B615" s="229" t="str">
        <f>IF(工时测量记录表!B614="","",工时测量记录表!B614)</f>
        <v/>
      </c>
      <c r="C615" s="148" t="str">
        <f>IF(工时测量记录表!D614="","",工时测量记录表!D614)</f>
        <v/>
      </c>
      <c r="D615" s="227">
        <f t="shared" si="73"/>
        <v>0</v>
      </c>
      <c r="E615" s="227">
        <f t="shared" si="73"/>
        <v>0</v>
      </c>
      <c r="F615" s="227">
        <f t="shared" si="73"/>
        <v>0</v>
      </c>
      <c r="G615" s="227">
        <f t="shared" si="73"/>
        <v>0</v>
      </c>
      <c r="H615" s="225">
        <f t="shared" si="73"/>
        <v>0</v>
      </c>
      <c r="I615" s="225">
        <f t="shared" si="73"/>
        <v>0</v>
      </c>
      <c r="J615" s="225">
        <f t="shared" si="73"/>
        <v>0</v>
      </c>
      <c r="K615" s="225">
        <f t="shared" si="73"/>
        <v>0</v>
      </c>
      <c r="L615" s="222" t="str">
        <f>IF(工时测量记录表!C614="","",工时测量记录表!C614)</f>
        <v/>
      </c>
      <c r="M615" s="217">
        <v>1</v>
      </c>
      <c r="N615" s="149" t="str">
        <f ca="1">IF(OR(C615="",INDIRECT("L"&amp;ROUNDUP((ROW()-6)/8,0)*8-1)=""),"",IF($P$3="否",工时测量记录表!Z614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15" s="214" t="str">
        <f t="shared" ref="O615:O623" ca="1" si="75">IF(COUNT(N615:N622)=0,"",SUM(N615:N622))</f>
        <v/>
      </c>
      <c r="P615" s="213"/>
    </row>
    <row r="616" spans="1:16" ht="15.6">
      <c r="A616" s="232"/>
      <c r="B616" s="229"/>
      <c r="C616" s="148" t="str">
        <f>IF(工时测量记录表!D615="","",工时测量记录表!D615)</f>
        <v/>
      </c>
      <c r="D616" s="227"/>
      <c r="E616" s="227"/>
      <c r="F616" s="227"/>
      <c r="G616" s="227"/>
      <c r="H616" s="225"/>
      <c r="I616" s="225"/>
      <c r="J616" s="225"/>
      <c r="K616" s="225"/>
      <c r="L616" s="222"/>
      <c r="M616" s="217"/>
      <c r="N616" s="149" t="str">
        <f ca="1">IF(OR(C616="",INDIRECT("L"&amp;ROUNDUP((ROW()-6)/8,0)*8-1)=""),"",IF($P$3="否",工时测量记录表!Z615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16" s="214"/>
      <c r="P616" s="213"/>
    </row>
    <row r="617" spans="1:16" ht="15.6">
      <c r="A617" s="232"/>
      <c r="B617" s="229"/>
      <c r="C617" s="148" t="str">
        <f>IF(工时测量记录表!D616="","",工时测量记录表!D616)</f>
        <v/>
      </c>
      <c r="D617" s="227"/>
      <c r="E617" s="227"/>
      <c r="F617" s="227"/>
      <c r="G617" s="227"/>
      <c r="H617" s="225"/>
      <c r="I617" s="225"/>
      <c r="J617" s="225"/>
      <c r="K617" s="225"/>
      <c r="L617" s="222"/>
      <c r="M617" s="217"/>
      <c r="N617" s="149" t="str">
        <f ca="1">IF(OR(C617="",INDIRECT("L"&amp;ROUNDUP((ROW()-6)/8,0)*8-1)=""),"",IF($P$3="否",工时测量记录表!Z616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17" s="214"/>
      <c r="P617" s="213"/>
    </row>
    <row r="618" spans="1:16" ht="15.6">
      <c r="A618" s="232"/>
      <c r="B618" s="229"/>
      <c r="C618" s="148" t="str">
        <f>IF(工时测量记录表!D617="","",工时测量记录表!D617)</f>
        <v/>
      </c>
      <c r="D618" s="227"/>
      <c r="E618" s="227"/>
      <c r="F618" s="227"/>
      <c r="G618" s="227"/>
      <c r="H618" s="225"/>
      <c r="I618" s="225"/>
      <c r="J618" s="225"/>
      <c r="K618" s="225"/>
      <c r="L618" s="222"/>
      <c r="M618" s="217"/>
      <c r="N618" s="149" t="str">
        <f ca="1">IF(OR(C618="",INDIRECT("L"&amp;ROUNDUP((ROW()-6)/8,0)*8-1)=""),"",IF($P$3="否",工时测量记录表!Z617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18" s="214"/>
      <c r="P618" s="213"/>
    </row>
    <row r="619" spans="1:16" ht="15.6">
      <c r="A619" s="232"/>
      <c r="B619" s="229"/>
      <c r="C619" s="148" t="str">
        <f>IF(工时测量记录表!D618="","",工时测量记录表!D618)</f>
        <v/>
      </c>
      <c r="D619" s="227"/>
      <c r="E619" s="227"/>
      <c r="F619" s="227"/>
      <c r="G619" s="227"/>
      <c r="H619" s="225"/>
      <c r="I619" s="225"/>
      <c r="J619" s="225"/>
      <c r="K619" s="225"/>
      <c r="L619" s="222"/>
      <c r="M619" s="217"/>
      <c r="N619" s="149" t="str">
        <f ca="1">IF(OR(C619="",INDIRECT("L"&amp;ROUNDUP((ROW()-6)/8,0)*8-1)=""),"",IF($P$3="否",工时测量记录表!Z618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19" s="214"/>
      <c r="P619" s="213"/>
    </row>
    <row r="620" spans="1:16" ht="15.6">
      <c r="A620" s="232"/>
      <c r="B620" s="229"/>
      <c r="C620" s="148" t="str">
        <f>IF(工时测量记录表!D619="","",工时测量记录表!D619)</f>
        <v/>
      </c>
      <c r="D620" s="227"/>
      <c r="E620" s="227"/>
      <c r="F620" s="227"/>
      <c r="G620" s="227"/>
      <c r="H620" s="225"/>
      <c r="I620" s="225"/>
      <c r="J620" s="225"/>
      <c r="K620" s="225"/>
      <c r="L620" s="222"/>
      <c r="M620" s="217"/>
      <c r="N620" s="149" t="str">
        <f ca="1">IF(OR(C620="",INDIRECT("L"&amp;ROUNDUP((ROW()-6)/8,0)*8-1)=""),"",IF($P$3="否",工时测量记录表!Z619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619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20" s="214"/>
      <c r="P620" s="213"/>
    </row>
    <row r="621" spans="1:16" ht="15.6">
      <c r="A621" s="232"/>
      <c r="B621" s="229"/>
      <c r="C621" s="148" t="str">
        <f>IF(工时测量记录表!D620="","",工时测量记录表!D620)</f>
        <v/>
      </c>
      <c r="D621" s="227"/>
      <c r="E621" s="227"/>
      <c r="F621" s="227"/>
      <c r="G621" s="227"/>
      <c r="H621" s="225"/>
      <c r="I621" s="225"/>
      <c r="J621" s="225"/>
      <c r="K621" s="225"/>
      <c r="L621" s="222"/>
      <c r="M621" s="217"/>
      <c r="N621" s="149" t="str">
        <f ca="1">IF(OR(C621="",INDIRECT("L"&amp;ROUNDUP((ROW()-6)/8,0)*8-1)=""),"",IF($P$3="否",工时测量记录表!Z620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21" s="214"/>
      <c r="P621" s="213"/>
    </row>
    <row r="622" spans="1:16" ht="15.6">
      <c r="A622" s="232"/>
      <c r="B622" s="229"/>
      <c r="C622" s="148" t="str">
        <f>IF(工时测量记录表!D621="","",工时测量记录表!D621)</f>
        <v/>
      </c>
      <c r="D622" s="227"/>
      <c r="E622" s="227"/>
      <c r="F622" s="227"/>
      <c r="G622" s="227"/>
      <c r="H622" s="225"/>
      <c r="I622" s="225"/>
      <c r="J622" s="225"/>
      <c r="K622" s="225"/>
      <c r="L622" s="222"/>
      <c r="M622" s="217"/>
      <c r="N622" s="149" t="str">
        <f ca="1">IF(OR(C622="",INDIRECT("L"&amp;ROUNDUP((ROW()-6)/8,0)*8-1)=""),"",IF($P$3="否",工时测量记录表!Z621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22" s="214"/>
      <c r="P622" s="213"/>
    </row>
    <row r="623" spans="1:16" ht="15.6">
      <c r="A623" s="232">
        <f>IF(工时测量记录表!A622="","",工时测量记录表!A622)</f>
        <v>78</v>
      </c>
      <c r="B623" s="229" t="str">
        <f>IF(工时测量记录表!B622="","",工时测量记录表!B622)</f>
        <v/>
      </c>
      <c r="C623" s="148" t="str">
        <f>IF(工时测量记录表!D622="","",工时测量记录表!D622)</f>
        <v/>
      </c>
      <c r="D623" s="227">
        <f t="shared" ref="D623:K623" si="76">IF($A623="","",D$7)</f>
        <v>0</v>
      </c>
      <c r="E623" s="227">
        <f t="shared" si="76"/>
        <v>0</v>
      </c>
      <c r="F623" s="227">
        <f t="shared" si="76"/>
        <v>0</v>
      </c>
      <c r="G623" s="227">
        <f t="shared" si="76"/>
        <v>0</v>
      </c>
      <c r="H623" s="225">
        <f t="shared" si="76"/>
        <v>0</v>
      </c>
      <c r="I623" s="225">
        <f t="shared" si="76"/>
        <v>0</v>
      </c>
      <c r="J623" s="225">
        <f t="shared" si="76"/>
        <v>0</v>
      </c>
      <c r="K623" s="225">
        <f t="shared" si="76"/>
        <v>0</v>
      </c>
      <c r="L623" s="222" t="str">
        <f>IF(工时测量记录表!C622="","",工时测量记录表!C622)</f>
        <v/>
      </c>
      <c r="M623" s="217">
        <v>1</v>
      </c>
      <c r="N623" s="149" t="str">
        <f ca="1">IF(OR(C623="",INDIRECT("L"&amp;ROUNDUP((ROW()-6)/8,0)*8-1)=""),"",IF($P$3="否",工时测量记录表!Z622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23" s="214" t="str">
        <f t="shared" ca="1" si="75"/>
        <v/>
      </c>
      <c r="P623" s="213"/>
    </row>
    <row r="624" spans="1:16" ht="15.6">
      <c r="A624" s="232"/>
      <c r="B624" s="229"/>
      <c r="C624" s="148" t="str">
        <f>IF(工时测量记录表!D623="","",工时测量记录表!D623)</f>
        <v/>
      </c>
      <c r="D624" s="227"/>
      <c r="E624" s="227"/>
      <c r="F624" s="227"/>
      <c r="G624" s="227"/>
      <c r="H624" s="225"/>
      <c r="I624" s="225"/>
      <c r="J624" s="225"/>
      <c r="K624" s="225"/>
      <c r="L624" s="222"/>
      <c r="M624" s="217"/>
      <c r="N624" s="149" t="str">
        <f ca="1">IF(OR(C624="",INDIRECT("L"&amp;ROUNDUP((ROW()-6)/8,0)*8-1)=""),"",IF($P$3="否",工时测量记录表!Z623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24" s="214"/>
      <c r="P624" s="213"/>
    </row>
    <row r="625" spans="1:16" ht="15.6">
      <c r="A625" s="232"/>
      <c r="B625" s="229"/>
      <c r="C625" s="148" t="str">
        <f>IF(工时测量记录表!D624="","",工时测量记录表!D624)</f>
        <v/>
      </c>
      <c r="D625" s="227"/>
      <c r="E625" s="227"/>
      <c r="F625" s="227"/>
      <c r="G625" s="227"/>
      <c r="H625" s="225"/>
      <c r="I625" s="225"/>
      <c r="J625" s="225"/>
      <c r="K625" s="225"/>
      <c r="L625" s="222"/>
      <c r="M625" s="217"/>
      <c r="N625" s="149" t="str">
        <f ca="1">IF(OR(C625="",INDIRECT("L"&amp;ROUNDUP((ROW()-6)/8,0)*8-1)=""),"",IF($P$3="否",工时测量记录表!Z624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25" s="214"/>
      <c r="P625" s="213"/>
    </row>
    <row r="626" spans="1:16" ht="15.6">
      <c r="A626" s="232"/>
      <c r="B626" s="229"/>
      <c r="C626" s="148" t="str">
        <f>IF(工时测量记录表!D625="","",工时测量记录表!D625)</f>
        <v/>
      </c>
      <c r="D626" s="227"/>
      <c r="E626" s="227"/>
      <c r="F626" s="227"/>
      <c r="G626" s="227"/>
      <c r="H626" s="225"/>
      <c r="I626" s="225"/>
      <c r="J626" s="225"/>
      <c r="K626" s="225"/>
      <c r="L626" s="222"/>
      <c r="M626" s="217"/>
      <c r="N626" s="149" t="str">
        <f ca="1">IF(OR(C626="",INDIRECT("L"&amp;ROUNDUP((ROW()-6)/8,0)*8-1)=""),"",IF($P$3="否",工时测量记录表!Z625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26" s="214"/>
      <c r="P626" s="213"/>
    </row>
    <row r="627" spans="1:16" ht="15.6">
      <c r="A627" s="232"/>
      <c r="B627" s="229"/>
      <c r="C627" s="148" t="str">
        <f>IF(工时测量记录表!D626="","",工时测量记录表!D626)</f>
        <v/>
      </c>
      <c r="D627" s="227"/>
      <c r="E627" s="227"/>
      <c r="F627" s="227"/>
      <c r="G627" s="227"/>
      <c r="H627" s="225"/>
      <c r="I627" s="225"/>
      <c r="J627" s="225"/>
      <c r="K627" s="225"/>
      <c r="L627" s="222"/>
      <c r="M627" s="217"/>
      <c r="N627" s="149" t="str">
        <f ca="1">IF(OR(C627="",INDIRECT("L"&amp;ROUNDUP((ROW()-6)/8,0)*8-1)=""),"",IF($P$3="否",工时测量记录表!Z626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27" s="214"/>
      <c r="P627" s="213"/>
    </row>
    <row r="628" spans="1:16" ht="15.6">
      <c r="A628" s="232"/>
      <c r="B628" s="229"/>
      <c r="C628" s="148" t="str">
        <f>IF(工时测量记录表!D627="","",工时测量记录表!D627)</f>
        <v/>
      </c>
      <c r="D628" s="227"/>
      <c r="E628" s="227"/>
      <c r="F628" s="227"/>
      <c r="G628" s="227"/>
      <c r="H628" s="225"/>
      <c r="I628" s="225"/>
      <c r="J628" s="225"/>
      <c r="K628" s="225"/>
      <c r="L628" s="222"/>
      <c r="M628" s="217"/>
      <c r="N628" s="149" t="str">
        <f ca="1">IF(OR(C628="",INDIRECT("L"&amp;ROUNDUP((ROW()-6)/8,0)*8-1)=""),"",IF($P$3="否",工时测量记录表!Z627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28" s="214"/>
      <c r="P628" s="213"/>
    </row>
    <row r="629" spans="1:16" ht="15.6">
      <c r="A629" s="232"/>
      <c r="B629" s="229"/>
      <c r="C629" s="148" t="str">
        <f>IF(工时测量记录表!D628="","",工时测量记录表!D628)</f>
        <v/>
      </c>
      <c r="D629" s="227"/>
      <c r="E629" s="227"/>
      <c r="F629" s="227"/>
      <c r="G629" s="227"/>
      <c r="H629" s="225"/>
      <c r="I629" s="225"/>
      <c r="J629" s="225"/>
      <c r="K629" s="225"/>
      <c r="L629" s="222"/>
      <c r="M629" s="217"/>
      <c r="N629" s="149" t="str">
        <f ca="1">IF(OR(C629="",INDIRECT("L"&amp;ROUNDUP((ROW()-6)/8,0)*8-1)=""),"",IF($P$3="否",工时测量记录表!Z628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628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29" s="214"/>
      <c r="P629" s="213"/>
    </row>
    <row r="630" spans="1:16" ht="15.6">
      <c r="A630" s="232"/>
      <c r="B630" s="229"/>
      <c r="C630" s="148" t="str">
        <f>IF(工时测量记录表!D629="","",工时测量记录表!D629)</f>
        <v/>
      </c>
      <c r="D630" s="227"/>
      <c r="E630" s="227"/>
      <c r="F630" s="227"/>
      <c r="G630" s="227"/>
      <c r="H630" s="225"/>
      <c r="I630" s="225"/>
      <c r="J630" s="225"/>
      <c r="K630" s="225"/>
      <c r="L630" s="222"/>
      <c r="M630" s="217"/>
      <c r="N630" s="149" t="str">
        <f ca="1">IF(OR(C630="",INDIRECT("L"&amp;ROUNDUP((ROW()-6)/8,0)*8-1)=""),"",IF($P$3="否",工时测量记录表!Z629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629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30" s="214"/>
      <c r="P630" s="213"/>
    </row>
    <row r="631" spans="1:16" ht="15.6">
      <c r="A631" s="232">
        <f>IF(工时测量记录表!A630="","",工时测量记录表!A630)</f>
        <v>79</v>
      </c>
      <c r="B631" s="229" t="str">
        <f>IF(工时测量记录表!B630="","",工时测量记录表!B630)</f>
        <v/>
      </c>
      <c r="C631" s="148" t="str">
        <f>IF(工时测量记录表!D630="","",工时测量记录表!D630)</f>
        <v/>
      </c>
      <c r="D631" s="227">
        <f t="shared" ref="D631:K631" si="77">IF($A631="","",D$7)</f>
        <v>0</v>
      </c>
      <c r="E631" s="227">
        <f t="shared" si="77"/>
        <v>0</v>
      </c>
      <c r="F631" s="227">
        <f t="shared" si="77"/>
        <v>0</v>
      </c>
      <c r="G631" s="227">
        <f t="shared" si="77"/>
        <v>0</v>
      </c>
      <c r="H631" s="225">
        <f t="shared" si="77"/>
        <v>0</v>
      </c>
      <c r="I631" s="225">
        <f t="shared" si="77"/>
        <v>0</v>
      </c>
      <c r="J631" s="225">
        <f t="shared" si="77"/>
        <v>0</v>
      </c>
      <c r="K631" s="225">
        <f t="shared" si="77"/>
        <v>0</v>
      </c>
      <c r="L631" s="222" t="str">
        <f>IF(工时测量记录表!C630="","",工时测量记录表!C630)</f>
        <v/>
      </c>
      <c r="M631" s="217">
        <v>1</v>
      </c>
      <c r="N631" s="149" t="str">
        <f ca="1">IF(OR(C631="",INDIRECT("L"&amp;ROUNDUP((ROW()-6)/8,0)*8-1)=""),"",IF($P$3="否",工时测量记录表!Z630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630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31" s="214" t="str">
        <f t="shared" ref="O631" ca="1" si="78">IF(COUNT(N631:N638)=0,"",SUM(N631:N638))</f>
        <v/>
      </c>
      <c r="P631" s="213"/>
    </row>
    <row r="632" spans="1:16" ht="15.6">
      <c r="A632" s="232"/>
      <c r="B632" s="229"/>
      <c r="C632" s="148" t="str">
        <f>IF(工时测量记录表!D631="","",工时测量记录表!D631)</f>
        <v/>
      </c>
      <c r="D632" s="227"/>
      <c r="E632" s="227"/>
      <c r="F632" s="227"/>
      <c r="G632" s="227"/>
      <c r="H632" s="225"/>
      <c r="I632" s="225"/>
      <c r="J632" s="225"/>
      <c r="K632" s="225"/>
      <c r="L632" s="222"/>
      <c r="M632" s="217"/>
      <c r="N632" s="149" t="str">
        <f ca="1">IF(OR(C632="",INDIRECT("L"&amp;ROUNDUP((ROW()-6)/8,0)*8-1)=""),"",IF($P$3="否",工时测量记录表!Z631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631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32" s="214"/>
      <c r="P632" s="213"/>
    </row>
    <row r="633" spans="1:16" ht="15.6">
      <c r="A633" s="232"/>
      <c r="B633" s="229"/>
      <c r="C633" s="148" t="str">
        <f>IF(工时测量记录表!D632="","",工时测量记录表!D632)</f>
        <v/>
      </c>
      <c r="D633" s="227"/>
      <c r="E633" s="227"/>
      <c r="F633" s="227"/>
      <c r="G633" s="227"/>
      <c r="H633" s="225"/>
      <c r="I633" s="225"/>
      <c r="J633" s="225"/>
      <c r="K633" s="225"/>
      <c r="L633" s="222"/>
      <c r="M633" s="217"/>
      <c r="N633" s="149" t="str">
        <f ca="1">IF(OR(C633="",INDIRECT("L"&amp;ROUNDUP((ROW()-6)/8,0)*8-1)=""),"",IF($P$3="否",工时测量记录表!Z632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632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33" s="214"/>
      <c r="P633" s="213"/>
    </row>
    <row r="634" spans="1:16" ht="15.6">
      <c r="A634" s="232"/>
      <c r="B634" s="229"/>
      <c r="C634" s="148" t="str">
        <f>IF(工时测量记录表!D633="","",工时测量记录表!D633)</f>
        <v/>
      </c>
      <c r="D634" s="227"/>
      <c r="E634" s="227"/>
      <c r="F634" s="227"/>
      <c r="G634" s="227"/>
      <c r="H634" s="225"/>
      <c r="I634" s="225"/>
      <c r="J634" s="225"/>
      <c r="K634" s="225"/>
      <c r="L634" s="222"/>
      <c r="M634" s="217"/>
      <c r="N634" s="149" t="str">
        <f ca="1">IF(OR(C634="",INDIRECT("L"&amp;ROUNDUP((ROW()-6)/8,0)*8-1)=""),"",IF($P$3="否",工时测量记录表!Z633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633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34" s="214"/>
      <c r="P634" s="213"/>
    </row>
    <row r="635" spans="1:16" ht="15.6">
      <c r="A635" s="232"/>
      <c r="B635" s="229"/>
      <c r="C635" s="148" t="str">
        <f>IF(工时测量记录表!D634="","",工时测量记录表!D634)</f>
        <v/>
      </c>
      <c r="D635" s="227"/>
      <c r="E635" s="227"/>
      <c r="F635" s="227"/>
      <c r="G635" s="227"/>
      <c r="H635" s="225"/>
      <c r="I635" s="225"/>
      <c r="J635" s="225"/>
      <c r="K635" s="225"/>
      <c r="L635" s="222"/>
      <c r="M635" s="217"/>
      <c r="N635" s="149" t="str">
        <f ca="1">IF(OR(C635="",INDIRECT("L"&amp;ROUNDUP((ROW()-6)/8,0)*8-1)=""),"",IF($P$3="否",工时测量记录表!Z634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634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35" s="214"/>
      <c r="P635" s="213"/>
    </row>
    <row r="636" spans="1:16" ht="15.6">
      <c r="A636" s="232"/>
      <c r="B636" s="229"/>
      <c r="C636" s="148" t="str">
        <f>IF(工时测量记录表!D635="","",工时测量记录表!D635)</f>
        <v/>
      </c>
      <c r="D636" s="227"/>
      <c r="E636" s="227"/>
      <c r="F636" s="227"/>
      <c r="G636" s="227"/>
      <c r="H636" s="225"/>
      <c r="I636" s="225"/>
      <c r="J636" s="225"/>
      <c r="K636" s="225"/>
      <c r="L636" s="222"/>
      <c r="M636" s="217"/>
      <c r="N636" s="149" t="str">
        <f ca="1">IF(OR(C636="",INDIRECT("L"&amp;ROUNDUP((ROW()-6)/8,0)*8-1)=""),"",IF($P$3="否",工时测量记录表!Z635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635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36" s="214"/>
      <c r="P636" s="213"/>
    </row>
    <row r="637" spans="1:16" ht="15.6">
      <c r="A637" s="232"/>
      <c r="B637" s="229"/>
      <c r="C637" s="148" t="str">
        <f>IF(工时测量记录表!D636="","",工时测量记录表!D636)</f>
        <v/>
      </c>
      <c r="D637" s="227"/>
      <c r="E637" s="227"/>
      <c r="F637" s="227"/>
      <c r="G637" s="227"/>
      <c r="H637" s="225"/>
      <c r="I637" s="225"/>
      <c r="J637" s="225"/>
      <c r="K637" s="225"/>
      <c r="L637" s="222"/>
      <c r="M637" s="217"/>
      <c r="N637" s="149" t="str">
        <f ca="1">IF(OR(C637="",INDIRECT("L"&amp;ROUNDUP((ROW()-6)/8,0)*8-1)=""),"",IF($P$3="否",工时测量记录表!Z636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636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37" s="214"/>
      <c r="P637" s="213"/>
    </row>
    <row r="638" spans="1:16" ht="15.6">
      <c r="A638" s="232"/>
      <c r="B638" s="229"/>
      <c r="C638" s="148" t="str">
        <f>IF(工时测量记录表!D637="","",工时测量记录表!D637)</f>
        <v/>
      </c>
      <c r="D638" s="227"/>
      <c r="E638" s="227"/>
      <c r="F638" s="227"/>
      <c r="G638" s="227"/>
      <c r="H638" s="225"/>
      <c r="I638" s="225"/>
      <c r="J638" s="225"/>
      <c r="K638" s="225"/>
      <c r="L638" s="222"/>
      <c r="M638" s="217"/>
      <c r="N638" s="149" t="str">
        <f ca="1">IF(OR(C638="",INDIRECT("L"&amp;ROUNDUP((ROW()-6)/8,0)*8-1)=""),"",IF($P$3="否",工时测量记录表!Z637*(1+SUM(INDIRECT("D"&amp;ROUNDUP((ROW()-6)/8,0)*8-1):INDIRECT("G"&amp;ROUNDUP((ROW()-6)/8,0)*8-1)))*(1+SUM(INDIRECT("H"&amp;ROUNDUP((ROW()-6)/8,0)*8-1):INDIRECT("K"&amp;ROUNDUP((ROW()-6)/8,0)*8-1)))/INDIRECT("L"&amp;ROUNDUP((ROW()-6)/8,0)*8-1),IF($P$3="是",工时测量记录表!Z637*(1+SUM(INDIRECT("D"&amp;ROUNDUP((ROW()-6)/8,0)*8-1):INDIRECT("G"&amp;ROUNDUP((ROW()-6)/8,0)*8-1)))*(1+SUM(INDIRECT("H"&amp;ROUNDUP((ROW()-6)/8,0)*8-1):INDIRECT("K"&amp;ROUNDUP((ROW()-6)/8,0)*8-1)))/INDIRECT("M"&amp;ROUNDUP((ROW()-6)/8,0)*8-1)/INDIRECT("L"&amp;ROUNDUP((ROW()-6)/8,0)*8-1),"请选择")))</f>
        <v/>
      </c>
      <c r="O638" s="214"/>
      <c r="P638" s="213"/>
    </row>
  </sheetData>
  <mergeCells count="1123">
    <mergeCell ref="A1:P1"/>
    <mergeCell ref="A2:B2"/>
    <mergeCell ref="H2:I2"/>
    <mergeCell ref="M2:O2"/>
    <mergeCell ref="A3:B3"/>
    <mergeCell ref="H3:I3"/>
    <mergeCell ref="M3:O3"/>
    <mergeCell ref="D5:G5"/>
    <mergeCell ref="H5:K5"/>
    <mergeCell ref="A5:A6"/>
    <mergeCell ref="A7:A14"/>
    <mergeCell ref="A15:A22"/>
    <mergeCell ref="A23:A30"/>
    <mergeCell ref="A31:A38"/>
    <mergeCell ref="A39:A46"/>
    <mergeCell ref="A47:A54"/>
    <mergeCell ref="A55:A62"/>
    <mergeCell ref="A63:A70"/>
    <mergeCell ref="A71:A78"/>
    <mergeCell ref="A79:A86"/>
    <mergeCell ref="A87:A94"/>
    <mergeCell ref="A95:A102"/>
    <mergeCell ref="A103:A110"/>
    <mergeCell ref="A111:A118"/>
    <mergeCell ref="A119:A126"/>
    <mergeCell ref="A127:A134"/>
    <mergeCell ref="A135:A142"/>
    <mergeCell ref="A143:A150"/>
    <mergeCell ref="A151:A158"/>
    <mergeCell ref="A159:A166"/>
    <mergeCell ref="A167:A174"/>
    <mergeCell ref="A175:A182"/>
    <mergeCell ref="A183:A190"/>
    <mergeCell ref="A191:A198"/>
    <mergeCell ref="A199:A206"/>
    <mergeCell ref="A207:A214"/>
    <mergeCell ref="A215:A222"/>
    <mergeCell ref="A223:A230"/>
    <mergeCell ref="A231:A238"/>
    <mergeCell ref="A239:A246"/>
    <mergeCell ref="A247:A254"/>
    <mergeCell ref="A255:A262"/>
    <mergeCell ref="A263:A270"/>
    <mergeCell ref="A271:A278"/>
    <mergeCell ref="A279:A286"/>
    <mergeCell ref="A287:A294"/>
    <mergeCell ref="A295:A302"/>
    <mergeCell ref="A303:A310"/>
    <mergeCell ref="A311:A318"/>
    <mergeCell ref="A319:A326"/>
    <mergeCell ref="A327:A334"/>
    <mergeCell ref="A335:A342"/>
    <mergeCell ref="A343:A350"/>
    <mergeCell ref="A351:A358"/>
    <mergeCell ref="A359:A366"/>
    <mergeCell ref="A367:A374"/>
    <mergeCell ref="A375:A382"/>
    <mergeCell ref="A383:A390"/>
    <mergeCell ref="A391:A398"/>
    <mergeCell ref="A399:A406"/>
    <mergeCell ref="A407:A414"/>
    <mergeCell ref="A415:A422"/>
    <mergeCell ref="A423:A430"/>
    <mergeCell ref="A431:A438"/>
    <mergeCell ref="A439:A446"/>
    <mergeCell ref="A447:A454"/>
    <mergeCell ref="A455:A462"/>
    <mergeCell ref="A463:A470"/>
    <mergeCell ref="A471:A478"/>
    <mergeCell ref="A479:A486"/>
    <mergeCell ref="A487:A494"/>
    <mergeCell ref="A495:A502"/>
    <mergeCell ref="A503:A510"/>
    <mergeCell ref="A511:A518"/>
    <mergeCell ref="A519:A526"/>
    <mergeCell ref="A527:A534"/>
    <mergeCell ref="A535:A542"/>
    <mergeCell ref="A543:A550"/>
    <mergeCell ref="A551:A558"/>
    <mergeCell ref="A559:A566"/>
    <mergeCell ref="A567:A574"/>
    <mergeCell ref="A575:A582"/>
    <mergeCell ref="A583:A590"/>
    <mergeCell ref="A591:A598"/>
    <mergeCell ref="A599:A606"/>
    <mergeCell ref="A607:A614"/>
    <mergeCell ref="A615:A622"/>
    <mergeCell ref="A623:A630"/>
    <mergeCell ref="A631:A638"/>
    <mergeCell ref="B5:B6"/>
    <mergeCell ref="B7:B14"/>
    <mergeCell ref="B15:B22"/>
    <mergeCell ref="B23:B30"/>
    <mergeCell ref="B31:B38"/>
    <mergeCell ref="B39:B46"/>
    <mergeCell ref="B47:B54"/>
    <mergeCell ref="B55:B62"/>
    <mergeCell ref="B63:B70"/>
    <mergeCell ref="B71:B78"/>
    <mergeCell ref="B79:B86"/>
    <mergeCell ref="B87:B94"/>
    <mergeCell ref="B95:B102"/>
    <mergeCell ref="B103:B110"/>
    <mergeCell ref="B111:B118"/>
    <mergeCell ref="B119:B126"/>
    <mergeCell ref="B127:B134"/>
    <mergeCell ref="B135:B142"/>
    <mergeCell ref="B143:B150"/>
    <mergeCell ref="B151:B158"/>
    <mergeCell ref="B159:B166"/>
    <mergeCell ref="B167:B174"/>
    <mergeCell ref="B175:B182"/>
    <mergeCell ref="B183:B190"/>
    <mergeCell ref="B191:B198"/>
    <mergeCell ref="B199:B206"/>
    <mergeCell ref="B207:B214"/>
    <mergeCell ref="B215:B222"/>
    <mergeCell ref="B223:B230"/>
    <mergeCell ref="B231:B238"/>
    <mergeCell ref="B239:B246"/>
    <mergeCell ref="B247:B254"/>
    <mergeCell ref="B255:B262"/>
    <mergeCell ref="B263:B270"/>
    <mergeCell ref="B271:B278"/>
    <mergeCell ref="B279:B286"/>
    <mergeCell ref="B287:B294"/>
    <mergeCell ref="B295:B302"/>
    <mergeCell ref="B303:B310"/>
    <mergeCell ref="B311:B318"/>
    <mergeCell ref="B319:B326"/>
    <mergeCell ref="B327:B334"/>
    <mergeCell ref="B335:B342"/>
    <mergeCell ref="B343:B350"/>
    <mergeCell ref="B351:B358"/>
    <mergeCell ref="B359:B366"/>
    <mergeCell ref="B367:B374"/>
    <mergeCell ref="B375:B382"/>
    <mergeCell ref="B383:B390"/>
    <mergeCell ref="B391:B398"/>
    <mergeCell ref="B399:B406"/>
    <mergeCell ref="B407:B414"/>
    <mergeCell ref="B415:B422"/>
    <mergeCell ref="B423:B430"/>
    <mergeCell ref="B431:B438"/>
    <mergeCell ref="B439:B446"/>
    <mergeCell ref="B447:B454"/>
    <mergeCell ref="B455:B462"/>
    <mergeCell ref="B463:B470"/>
    <mergeCell ref="B471:B478"/>
    <mergeCell ref="B479:B486"/>
    <mergeCell ref="B487:B494"/>
    <mergeCell ref="B495:B502"/>
    <mergeCell ref="B503:B510"/>
    <mergeCell ref="B511:B518"/>
    <mergeCell ref="B519:B526"/>
    <mergeCell ref="B527:B534"/>
    <mergeCell ref="B535:B542"/>
    <mergeCell ref="B543:B550"/>
    <mergeCell ref="B551:B558"/>
    <mergeCell ref="B559:B566"/>
    <mergeCell ref="B567:B574"/>
    <mergeCell ref="B575:B582"/>
    <mergeCell ref="B583:B590"/>
    <mergeCell ref="B591:B598"/>
    <mergeCell ref="B599:B606"/>
    <mergeCell ref="B607:B614"/>
    <mergeCell ref="B615:B622"/>
    <mergeCell ref="B623:B630"/>
    <mergeCell ref="B631:B638"/>
    <mergeCell ref="C5:C6"/>
    <mergeCell ref="D7:D14"/>
    <mergeCell ref="D15:D22"/>
    <mergeCell ref="D23:D30"/>
    <mergeCell ref="D31:D38"/>
    <mergeCell ref="D39:D46"/>
    <mergeCell ref="D47:D54"/>
    <mergeCell ref="D55:D62"/>
    <mergeCell ref="D63:D70"/>
    <mergeCell ref="D71:D78"/>
    <mergeCell ref="D79:D86"/>
    <mergeCell ref="D87:D94"/>
    <mergeCell ref="D95:D102"/>
    <mergeCell ref="D103:D110"/>
    <mergeCell ref="D111:D118"/>
    <mergeCell ref="D119:D126"/>
    <mergeCell ref="D127:D134"/>
    <mergeCell ref="D135:D142"/>
    <mergeCell ref="D143:D150"/>
    <mergeCell ref="D151:D158"/>
    <mergeCell ref="D159:D166"/>
    <mergeCell ref="D167:D174"/>
    <mergeCell ref="D175:D182"/>
    <mergeCell ref="D183:D190"/>
    <mergeCell ref="D191:D198"/>
    <mergeCell ref="D199:D206"/>
    <mergeCell ref="D207:D214"/>
    <mergeCell ref="D215:D222"/>
    <mergeCell ref="D223:D230"/>
    <mergeCell ref="D231:D238"/>
    <mergeCell ref="D239:D246"/>
    <mergeCell ref="D247:D254"/>
    <mergeCell ref="D255:D262"/>
    <mergeCell ref="D263:D270"/>
    <mergeCell ref="D271:D278"/>
    <mergeCell ref="D279:D286"/>
    <mergeCell ref="D287:D294"/>
    <mergeCell ref="D295:D302"/>
    <mergeCell ref="D303:D310"/>
    <mergeCell ref="D311:D318"/>
    <mergeCell ref="D319:D326"/>
    <mergeCell ref="D327:D334"/>
    <mergeCell ref="D335:D342"/>
    <mergeCell ref="D343:D350"/>
    <mergeCell ref="D351:D358"/>
    <mergeCell ref="D359:D366"/>
    <mergeCell ref="D367:D374"/>
    <mergeCell ref="D375:D382"/>
    <mergeCell ref="D383:D390"/>
    <mergeCell ref="D391:D398"/>
    <mergeCell ref="D399:D406"/>
    <mergeCell ref="D407:D414"/>
    <mergeCell ref="D415:D422"/>
    <mergeCell ref="D423:D430"/>
    <mergeCell ref="D431:D438"/>
    <mergeCell ref="D439:D446"/>
    <mergeCell ref="D447:D454"/>
    <mergeCell ref="D455:D462"/>
    <mergeCell ref="D463:D470"/>
    <mergeCell ref="D471:D478"/>
    <mergeCell ref="D479:D486"/>
    <mergeCell ref="D487:D494"/>
    <mergeCell ref="D495:D502"/>
    <mergeCell ref="D503:D510"/>
    <mergeCell ref="D511:D518"/>
    <mergeCell ref="D519:D526"/>
    <mergeCell ref="D527:D534"/>
    <mergeCell ref="D535:D542"/>
    <mergeCell ref="D543:D550"/>
    <mergeCell ref="D551:D558"/>
    <mergeCell ref="D559:D566"/>
    <mergeCell ref="D567:D574"/>
    <mergeCell ref="D575:D582"/>
    <mergeCell ref="D583:D590"/>
    <mergeCell ref="D591:D598"/>
    <mergeCell ref="D599:D606"/>
    <mergeCell ref="D607:D614"/>
    <mergeCell ref="D615:D622"/>
    <mergeCell ref="D623:D630"/>
    <mergeCell ref="D631:D638"/>
    <mergeCell ref="E7:E14"/>
    <mergeCell ref="E15:E22"/>
    <mergeCell ref="E23:E30"/>
    <mergeCell ref="E31:E38"/>
    <mergeCell ref="E39:E46"/>
    <mergeCell ref="E47:E54"/>
    <mergeCell ref="E55:E62"/>
    <mergeCell ref="E63:E70"/>
    <mergeCell ref="E71:E78"/>
    <mergeCell ref="E79:E86"/>
    <mergeCell ref="E87:E94"/>
    <mergeCell ref="E95:E102"/>
    <mergeCell ref="E103:E110"/>
    <mergeCell ref="E111:E118"/>
    <mergeCell ref="E119:E126"/>
    <mergeCell ref="E127:E134"/>
    <mergeCell ref="E135:E142"/>
    <mergeCell ref="E143:E150"/>
    <mergeCell ref="E151:E158"/>
    <mergeCell ref="E159:E166"/>
    <mergeCell ref="E167:E174"/>
    <mergeCell ref="E175:E182"/>
    <mergeCell ref="E183:E190"/>
    <mergeCell ref="E191:E198"/>
    <mergeCell ref="E199:E206"/>
    <mergeCell ref="E207:E214"/>
    <mergeCell ref="E215:E222"/>
    <mergeCell ref="E223:E230"/>
    <mergeCell ref="E231:E238"/>
    <mergeCell ref="E239:E246"/>
    <mergeCell ref="E247:E254"/>
    <mergeCell ref="E255:E262"/>
    <mergeCell ref="E263:E270"/>
    <mergeCell ref="E271:E278"/>
    <mergeCell ref="E279:E286"/>
    <mergeCell ref="E287:E294"/>
    <mergeCell ref="E295:E302"/>
    <mergeCell ref="E303:E310"/>
    <mergeCell ref="E311:E318"/>
    <mergeCell ref="E319:E326"/>
    <mergeCell ref="E327:E334"/>
    <mergeCell ref="E335:E342"/>
    <mergeCell ref="E343:E350"/>
    <mergeCell ref="E351:E358"/>
    <mergeCell ref="E359:E366"/>
    <mergeCell ref="E367:E374"/>
    <mergeCell ref="E375:E382"/>
    <mergeCell ref="E383:E390"/>
    <mergeCell ref="E391:E398"/>
    <mergeCell ref="E399:E406"/>
    <mergeCell ref="E407:E414"/>
    <mergeCell ref="E415:E422"/>
    <mergeCell ref="E423:E430"/>
    <mergeCell ref="E431:E438"/>
    <mergeCell ref="E439:E446"/>
    <mergeCell ref="E447:E454"/>
    <mergeCell ref="E455:E462"/>
    <mergeCell ref="E463:E470"/>
    <mergeCell ref="E471:E478"/>
    <mergeCell ref="E479:E486"/>
    <mergeCell ref="E487:E494"/>
    <mergeCell ref="E495:E502"/>
    <mergeCell ref="E503:E510"/>
    <mergeCell ref="E511:E518"/>
    <mergeCell ref="E519:E526"/>
    <mergeCell ref="E527:E534"/>
    <mergeCell ref="E535:E542"/>
    <mergeCell ref="E543:E550"/>
    <mergeCell ref="E551:E558"/>
    <mergeCell ref="E559:E566"/>
    <mergeCell ref="E567:E574"/>
    <mergeCell ref="E575:E582"/>
    <mergeCell ref="E583:E590"/>
    <mergeCell ref="E591:E598"/>
    <mergeCell ref="E599:E606"/>
    <mergeCell ref="E607:E614"/>
    <mergeCell ref="E615:E622"/>
    <mergeCell ref="E623:E630"/>
    <mergeCell ref="E631:E638"/>
    <mergeCell ref="F7:F14"/>
    <mergeCell ref="F15:F22"/>
    <mergeCell ref="F23:F30"/>
    <mergeCell ref="F31:F38"/>
    <mergeCell ref="F39:F46"/>
    <mergeCell ref="F47:F54"/>
    <mergeCell ref="F55:F62"/>
    <mergeCell ref="F63:F70"/>
    <mergeCell ref="F71:F78"/>
    <mergeCell ref="F79:F86"/>
    <mergeCell ref="F87:F94"/>
    <mergeCell ref="F95:F102"/>
    <mergeCell ref="F103:F110"/>
    <mergeCell ref="F111:F118"/>
    <mergeCell ref="F119:F126"/>
    <mergeCell ref="F127:F134"/>
    <mergeCell ref="F135:F142"/>
    <mergeCell ref="F143:F150"/>
    <mergeCell ref="F151:F158"/>
    <mergeCell ref="F159:F166"/>
    <mergeCell ref="F167:F174"/>
    <mergeCell ref="F175:F182"/>
    <mergeCell ref="F183:F190"/>
    <mergeCell ref="F191:F198"/>
    <mergeCell ref="F199:F206"/>
    <mergeCell ref="F207:F214"/>
    <mergeCell ref="F215:F222"/>
    <mergeCell ref="F223:F230"/>
    <mergeCell ref="F231:F238"/>
    <mergeCell ref="F239:F246"/>
    <mergeCell ref="F247:F254"/>
    <mergeCell ref="F255:F262"/>
    <mergeCell ref="F263:F270"/>
    <mergeCell ref="F271:F278"/>
    <mergeCell ref="F279:F286"/>
    <mergeCell ref="F287:F294"/>
    <mergeCell ref="F295:F302"/>
    <mergeCell ref="F303:F310"/>
    <mergeCell ref="F311:F318"/>
    <mergeCell ref="F319:F326"/>
    <mergeCell ref="F327:F334"/>
    <mergeCell ref="F335:F342"/>
    <mergeCell ref="F343:F350"/>
    <mergeCell ref="F351:F358"/>
    <mergeCell ref="F359:F366"/>
    <mergeCell ref="F367:F374"/>
    <mergeCell ref="F375:F382"/>
    <mergeCell ref="F383:F390"/>
    <mergeCell ref="F391:F398"/>
    <mergeCell ref="F399:F406"/>
    <mergeCell ref="F407:F414"/>
    <mergeCell ref="F415:F422"/>
    <mergeCell ref="F423:F430"/>
    <mergeCell ref="F431:F438"/>
    <mergeCell ref="F439:F446"/>
    <mergeCell ref="F447:F454"/>
    <mergeCell ref="F455:F462"/>
    <mergeCell ref="F463:F470"/>
    <mergeCell ref="F471:F478"/>
    <mergeCell ref="F479:F486"/>
    <mergeCell ref="F487:F494"/>
    <mergeCell ref="F495:F502"/>
    <mergeCell ref="F503:F510"/>
    <mergeCell ref="F511:F518"/>
    <mergeCell ref="F519:F526"/>
    <mergeCell ref="F527:F534"/>
    <mergeCell ref="F535:F542"/>
    <mergeCell ref="F543:F550"/>
    <mergeCell ref="F551:F558"/>
    <mergeCell ref="F559:F566"/>
    <mergeCell ref="F567:F574"/>
    <mergeCell ref="F575:F582"/>
    <mergeCell ref="F583:F590"/>
    <mergeCell ref="F591:F598"/>
    <mergeCell ref="F599:F606"/>
    <mergeCell ref="F607:F614"/>
    <mergeCell ref="F615:F622"/>
    <mergeCell ref="F623:F630"/>
    <mergeCell ref="F631:F638"/>
    <mergeCell ref="G7:G14"/>
    <mergeCell ref="G15:G22"/>
    <mergeCell ref="G23:G30"/>
    <mergeCell ref="G31:G38"/>
    <mergeCell ref="G39:G46"/>
    <mergeCell ref="G47:G54"/>
    <mergeCell ref="G55:G62"/>
    <mergeCell ref="G63:G70"/>
    <mergeCell ref="G71:G78"/>
    <mergeCell ref="G79:G86"/>
    <mergeCell ref="G87:G94"/>
    <mergeCell ref="G95:G102"/>
    <mergeCell ref="G103:G110"/>
    <mergeCell ref="G111:G118"/>
    <mergeCell ref="G119:G126"/>
    <mergeCell ref="G127:G134"/>
    <mergeCell ref="G135:G142"/>
    <mergeCell ref="G143:G150"/>
    <mergeCell ref="G151:G158"/>
    <mergeCell ref="G159:G166"/>
    <mergeCell ref="G167:G174"/>
    <mergeCell ref="G175:G182"/>
    <mergeCell ref="G183:G190"/>
    <mergeCell ref="G191:G198"/>
    <mergeCell ref="G199:G206"/>
    <mergeCell ref="G207:G214"/>
    <mergeCell ref="G215:G222"/>
    <mergeCell ref="G223:G230"/>
    <mergeCell ref="G231:G238"/>
    <mergeCell ref="G239:G246"/>
    <mergeCell ref="G247:G254"/>
    <mergeCell ref="G255:G262"/>
    <mergeCell ref="G263:G270"/>
    <mergeCell ref="G271:G278"/>
    <mergeCell ref="G279:G286"/>
    <mergeCell ref="G287:G294"/>
    <mergeCell ref="G295:G302"/>
    <mergeCell ref="G303:G310"/>
    <mergeCell ref="G311:G318"/>
    <mergeCell ref="G319:G326"/>
    <mergeCell ref="G327:G334"/>
    <mergeCell ref="G335:G342"/>
    <mergeCell ref="G343:G350"/>
    <mergeCell ref="G351:G358"/>
    <mergeCell ref="G359:G366"/>
    <mergeCell ref="G367:G374"/>
    <mergeCell ref="G375:G382"/>
    <mergeCell ref="G383:G390"/>
    <mergeCell ref="G391:G398"/>
    <mergeCell ref="G399:G406"/>
    <mergeCell ref="G407:G414"/>
    <mergeCell ref="G415:G422"/>
    <mergeCell ref="G423:G430"/>
    <mergeCell ref="G431:G438"/>
    <mergeCell ref="G439:G446"/>
    <mergeCell ref="G447:G454"/>
    <mergeCell ref="G455:G462"/>
    <mergeCell ref="G463:G470"/>
    <mergeCell ref="G471:G478"/>
    <mergeCell ref="G479:G486"/>
    <mergeCell ref="G487:G494"/>
    <mergeCell ref="G495:G502"/>
    <mergeCell ref="G503:G510"/>
    <mergeCell ref="G511:G518"/>
    <mergeCell ref="G519:G526"/>
    <mergeCell ref="G527:G534"/>
    <mergeCell ref="G535:G542"/>
    <mergeCell ref="G543:G550"/>
    <mergeCell ref="G551:G558"/>
    <mergeCell ref="G559:G566"/>
    <mergeCell ref="G567:G574"/>
    <mergeCell ref="G575:G582"/>
    <mergeCell ref="G583:G590"/>
    <mergeCell ref="G591:G598"/>
    <mergeCell ref="G599:G606"/>
    <mergeCell ref="G607:G614"/>
    <mergeCell ref="G615:G622"/>
    <mergeCell ref="G623:G630"/>
    <mergeCell ref="G631:G638"/>
    <mergeCell ref="H7:H14"/>
    <mergeCell ref="H15:H22"/>
    <mergeCell ref="H23:H30"/>
    <mergeCell ref="H31:H38"/>
    <mergeCell ref="H39:H46"/>
    <mergeCell ref="H47:H54"/>
    <mergeCell ref="H55:H62"/>
    <mergeCell ref="H63:H70"/>
    <mergeCell ref="H71:H78"/>
    <mergeCell ref="H79:H86"/>
    <mergeCell ref="H87:H94"/>
    <mergeCell ref="H95:H102"/>
    <mergeCell ref="H103:H110"/>
    <mergeCell ref="H111:H118"/>
    <mergeCell ref="H119:H126"/>
    <mergeCell ref="H127:H134"/>
    <mergeCell ref="H135:H142"/>
    <mergeCell ref="H143:H150"/>
    <mergeCell ref="H151:H158"/>
    <mergeCell ref="H159:H166"/>
    <mergeCell ref="H167:H174"/>
    <mergeCell ref="H175:H182"/>
    <mergeCell ref="H183:H190"/>
    <mergeCell ref="H191:H198"/>
    <mergeCell ref="H199:H206"/>
    <mergeCell ref="H207:H214"/>
    <mergeCell ref="H215:H222"/>
    <mergeCell ref="H223:H230"/>
    <mergeCell ref="H231:H238"/>
    <mergeCell ref="H239:H246"/>
    <mergeCell ref="H247:H254"/>
    <mergeCell ref="H255:H262"/>
    <mergeCell ref="H263:H270"/>
    <mergeCell ref="H271:H278"/>
    <mergeCell ref="H279:H286"/>
    <mergeCell ref="H287:H294"/>
    <mergeCell ref="H295:H302"/>
    <mergeCell ref="H303:H310"/>
    <mergeCell ref="H311:H318"/>
    <mergeCell ref="H319:H326"/>
    <mergeCell ref="H327:H334"/>
    <mergeCell ref="H335:H342"/>
    <mergeCell ref="H343:H350"/>
    <mergeCell ref="H351:H358"/>
    <mergeCell ref="H359:H366"/>
    <mergeCell ref="H367:H374"/>
    <mergeCell ref="H375:H382"/>
    <mergeCell ref="H383:H390"/>
    <mergeCell ref="H391:H398"/>
    <mergeCell ref="H399:H406"/>
    <mergeCell ref="H407:H414"/>
    <mergeCell ref="H415:H422"/>
    <mergeCell ref="H423:H430"/>
    <mergeCell ref="H431:H438"/>
    <mergeCell ref="H439:H446"/>
    <mergeCell ref="H447:H454"/>
    <mergeCell ref="H455:H462"/>
    <mergeCell ref="H463:H470"/>
    <mergeCell ref="H471:H478"/>
    <mergeCell ref="H479:H486"/>
    <mergeCell ref="H487:H494"/>
    <mergeCell ref="H495:H502"/>
    <mergeCell ref="H503:H510"/>
    <mergeCell ref="H511:H518"/>
    <mergeCell ref="H519:H526"/>
    <mergeCell ref="H527:H534"/>
    <mergeCell ref="H535:H542"/>
    <mergeCell ref="H543:H550"/>
    <mergeCell ref="H551:H558"/>
    <mergeCell ref="H559:H566"/>
    <mergeCell ref="H567:H574"/>
    <mergeCell ref="H575:H582"/>
    <mergeCell ref="H583:H590"/>
    <mergeCell ref="H591:H598"/>
    <mergeCell ref="H599:H606"/>
    <mergeCell ref="H607:H614"/>
    <mergeCell ref="H615:H622"/>
    <mergeCell ref="H623:H630"/>
    <mergeCell ref="H631:H638"/>
    <mergeCell ref="I7:I14"/>
    <mergeCell ref="I15:I22"/>
    <mergeCell ref="I23:I30"/>
    <mergeCell ref="I31:I38"/>
    <mergeCell ref="I39:I46"/>
    <mergeCell ref="I47:I54"/>
    <mergeCell ref="I55:I62"/>
    <mergeCell ref="I63:I70"/>
    <mergeCell ref="I71:I78"/>
    <mergeCell ref="I79:I86"/>
    <mergeCell ref="I87:I94"/>
    <mergeCell ref="I95:I102"/>
    <mergeCell ref="I103:I110"/>
    <mergeCell ref="I111:I118"/>
    <mergeCell ref="I119:I126"/>
    <mergeCell ref="I127:I134"/>
    <mergeCell ref="I135:I142"/>
    <mergeCell ref="I143:I150"/>
    <mergeCell ref="I151:I158"/>
    <mergeCell ref="I159:I166"/>
    <mergeCell ref="I167:I174"/>
    <mergeCell ref="I175:I182"/>
    <mergeCell ref="I183:I190"/>
    <mergeCell ref="I191:I198"/>
    <mergeCell ref="I199:I206"/>
    <mergeCell ref="I207:I214"/>
    <mergeCell ref="I215:I222"/>
    <mergeCell ref="I223:I230"/>
    <mergeCell ref="I231:I238"/>
    <mergeCell ref="I239:I246"/>
    <mergeCell ref="I247:I254"/>
    <mergeCell ref="I255:I262"/>
    <mergeCell ref="I263:I270"/>
    <mergeCell ref="I271:I278"/>
    <mergeCell ref="I279:I286"/>
    <mergeCell ref="I287:I294"/>
    <mergeCell ref="I295:I302"/>
    <mergeCell ref="I303:I310"/>
    <mergeCell ref="I311:I318"/>
    <mergeCell ref="I319:I326"/>
    <mergeCell ref="I327:I334"/>
    <mergeCell ref="I335:I342"/>
    <mergeCell ref="I343:I350"/>
    <mergeCell ref="I351:I358"/>
    <mergeCell ref="I359:I366"/>
    <mergeCell ref="I367:I374"/>
    <mergeCell ref="I375:I382"/>
    <mergeCell ref="I383:I390"/>
    <mergeCell ref="I391:I398"/>
    <mergeCell ref="I399:I406"/>
    <mergeCell ref="I407:I414"/>
    <mergeCell ref="I415:I422"/>
    <mergeCell ref="I423:I430"/>
    <mergeCell ref="I431:I438"/>
    <mergeCell ref="I439:I446"/>
    <mergeCell ref="I447:I454"/>
    <mergeCell ref="I455:I462"/>
    <mergeCell ref="I463:I470"/>
    <mergeCell ref="I471:I478"/>
    <mergeCell ref="I479:I486"/>
    <mergeCell ref="I487:I494"/>
    <mergeCell ref="I495:I502"/>
    <mergeCell ref="I503:I510"/>
    <mergeCell ref="I511:I518"/>
    <mergeCell ref="I519:I526"/>
    <mergeCell ref="I527:I534"/>
    <mergeCell ref="I535:I542"/>
    <mergeCell ref="I543:I550"/>
    <mergeCell ref="I551:I558"/>
    <mergeCell ref="I559:I566"/>
    <mergeCell ref="I567:I574"/>
    <mergeCell ref="I575:I582"/>
    <mergeCell ref="I583:I590"/>
    <mergeCell ref="I591:I598"/>
    <mergeCell ref="I599:I606"/>
    <mergeCell ref="I607:I614"/>
    <mergeCell ref="I615:I622"/>
    <mergeCell ref="I623:I630"/>
    <mergeCell ref="I631:I638"/>
    <mergeCell ref="J7:J14"/>
    <mergeCell ref="J15:J22"/>
    <mergeCell ref="J23:J30"/>
    <mergeCell ref="J31:J38"/>
    <mergeCell ref="J39:J46"/>
    <mergeCell ref="J47:J54"/>
    <mergeCell ref="J55:J62"/>
    <mergeCell ref="J63:J70"/>
    <mergeCell ref="J71:J78"/>
    <mergeCell ref="J79:J86"/>
    <mergeCell ref="J87:J94"/>
    <mergeCell ref="J95:J102"/>
    <mergeCell ref="J103:J110"/>
    <mergeCell ref="J111:J118"/>
    <mergeCell ref="J119:J126"/>
    <mergeCell ref="J127:J134"/>
    <mergeCell ref="J135:J142"/>
    <mergeCell ref="J143:J150"/>
    <mergeCell ref="J151:J158"/>
    <mergeCell ref="J159:J166"/>
    <mergeCell ref="J167:J174"/>
    <mergeCell ref="J175:J182"/>
    <mergeCell ref="J183:J190"/>
    <mergeCell ref="J191:J198"/>
    <mergeCell ref="J199:J206"/>
    <mergeCell ref="J207:J214"/>
    <mergeCell ref="J215:J222"/>
    <mergeCell ref="J223:J230"/>
    <mergeCell ref="J231:J238"/>
    <mergeCell ref="J239:J246"/>
    <mergeCell ref="J247:J254"/>
    <mergeCell ref="J255:J262"/>
    <mergeCell ref="J263:J270"/>
    <mergeCell ref="J271:J278"/>
    <mergeCell ref="J279:J286"/>
    <mergeCell ref="J287:J294"/>
    <mergeCell ref="J295:J302"/>
    <mergeCell ref="J303:J310"/>
    <mergeCell ref="J311:J318"/>
    <mergeCell ref="J319:J326"/>
    <mergeCell ref="J327:J334"/>
    <mergeCell ref="J335:J342"/>
    <mergeCell ref="J343:J350"/>
    <mergeCell ref="J351:J358"/>
    <mergeCell ref="J359:J366"/>
    <mergeCell ref="J367:J374"/>
    <mergeCell ref="J375:J382"/>
    <mergeCell ref="J383:J390"/>
    <mergeCell ref="J391:J398"/>
    <mergeCell ref="J399:J406"/>
    <mergeCell ref="J407:J414"/>
    <mergeCell ref="J415:J422"/>
    <mergeCell ref="J423:J430"/>
    <mergeCell ref="J431:J438"/>
    <mergeCell ref="J439:J446"/>
    <mergeCell ref="J447:J454"/>
    <mergeCell ref="J455:J462"/>
    <mergeCell ref="J463:J470"/>
    <mergeCell ref="J471:J478"/>
    <mergeCell ref="J479:J486"/>
    <mergeCell ref="J487:J494"/>
    <mergeCell ref="J495:J502"/>
    <mergeCell ref="J503:J510"/>
    <mergeCell ref="J511:J518"/>
    <mergeCell ref="J519:J526"/>
    <mergeCell ref="J527:J534"/>
    <mergeCell ref="J535:J542"/>
    <mergeCell ref="J543:J550"/>
    <mergeCell ref="J551:J558"/>
    <mergeCell ref="J559:J566"/>
    <mergeCell ref="J567:J574"/>
    <mergeCell ref="J575:J582"/>
    <mergeCell ref="J583:J590"/>
    <mergeCell ref="J591:J598"/>
    <mergeCell ref="J599:J606"/>
    <mergeCell ref="J607:J614"/>
    <mergeCell ref="J615:J622"/>
    <mergeCell ref="J623:J630"/>
    <mergeCell ref="J631:J638"/>
    <mergeCell ref="K7:K14"/>
    <mergeCell ref="K15:K22"/>
    <mergeCell ref="K23:K30"/>
    <mergeCell ref="K31:K38"/>
    <mergeCell ref="K39:K46"/>
    <mergeCell ref="K47:K54"/>
    <mergeCell ref="K55:K62"/>
    <mergeCell ref="K63:K70"/>
    <mergeCell ref="K71:K78"/>
    <mergeCell ref="K79:K86"/>
    <mergeCell ref="K87:K94"/>
    <mergeCell ref="K95:K102"/>
    <mergeCell ref="K103:K110"/>
    <mergeCell ref="K111:K118"/>
    <mergeCell ref="K119:K126"/>
    <mergeCell ref="K127:K134"/>
    <mergeCell ref="K135:K142"/>
    <mergeCell ref="K143:K150"/>
    <mergeCell ref="K151:K158"/>
    <mergeCell ref="K159:K166"/>
    <mergeCell ref="K167:K174"/>
    <mergeCell ref="K175:K182"/>
    <mergeCell ref="K183:K190"/>
    <mergeCell ref="K191:K198"/>
    <mergeCell ref="K199:K206"/>
    <mergeCell ref="K207:K214"/>
    <mergeCell ref="K215:K222"/>
    <mergeCell ref="K223:K230"/>
    <mergeCell ref="K231:K238"/>
    <mergeCell ref="K239:K246"/>
    <mergeCell ref="K247:K254"/>
    <mergeCell ref="K255:K262"/>
    <mergeCell ref="K263:K270"/>
    <mergeCell ref="K271:K278"/>
    <mergeCell ref="K279:K286"/>
    <mergeCell ref="K287:K294"/>
    <mergeCell ref="K295:K302"/>
    <mergeCell ref="K303:K310"/>
    <mergeCell ref="K311:K318"/>
    <mergeCell ref="K319:K326"/>
    <mergeCell ref="K327:K334"/>
    <mergeCell ref="K335:K342"/>
    <mergeCell ref="K343:K350"/>
    <mergeCell ref="K351:K358"/>
    <mergeCell ref="K359:K366"/>
    <mergeCell ref="K367:K374"/>
    <mergeCell ref="K375:K382"/>
    <mergeCell ref="K383:K390"/>
    <mergeCell ref="K391:K398"/>
    <mergeCell ref="K399:K406"/>
    <mergeCell ref="K407:K414"/>
    <mergeCell ref="K415:K422"/>
    <mergeCell ref="K423:K430"/>
    <mergeCell ref="K431:K438"/>
    <mergeCell ref="K439:K446"/>
    <mergeCell ref="K447:K454"/>
    <mergeCell ref="K455:K462"/>
    <mergeCell ref="K463:K470"/>
    <mergeCell ref="K471:K478"/>
    <mergeCell ref="K479:K486"/>
    <mergeCell ref="K487:K494"/>
    <mergeCell ref="K495:K502"/>
    <mergeCell ref="K503:K510"/>
    <mergeCell ref="K511:K518"/>
    <mergeCell ref="K519:K526"/>
    <mergeCell ref="K527:K534"/>
    <mergeCell ref="K535:K542"/>
    <mergeCell ref="K543:K550"/>
    <mergeCell ref="K551:K558"/>
    <mergeCell ref="K559:K566"/>
    <mergeCell ref="K567:K574"/>
    <mergeCell ref="K575:K582"/>
    <mergeCell ref="K583:K590"/>
    <mergeCell ref="K591:K598"/>
    <mergeCell ref="K599:K606"/>
    <mergeCell ref="K607:K614"/>
    <mergeCell ref="K615:K622"/>
    <mergeCell ref="K623:K630"/>
    <mergeCell ref="K631:K638"/>
    <mergeCell ref="L5:L6"/>
    <mergeCell ref="L7:L14"/>
    <mergeCell ref="L15:L22"/>
    <mergeCell ref="L23:L30"/>
    <mergeCell ref="L31:L38"/>
    <mergeCell ref="L39:L46"/>
    <mergeCell ref="L47:L54"/>
    <mergeCell ref="L55:L62"/>
    <mergeCell ref="L63:L70"/>
    <mergeCell ref="L71:L78"/>
    <mergeCell ref="L79:L86"/>
    <mergeCell ref="L87:L94"/>
    <mergeCell ref="L95:L102"/>
    <mergeCell ref="L103:L110"/>
    <mergeCell ref="L111:L118"/>
    <mergeCell ref="L119:L126"/>
    <mergeCell ref="L127:L134"/>
    <mergeCell ref="L135:L142"/>
    <mergeCell ref="L143:L150"/>
    <mergeCell ref="L151:L158"/>
    <mergeCell ref="L159:L166"/>
    <mergeCell ref="L167:L174"/>
    <mergeCell ref="L175:L182"/>
    <mergeCell ref="L183:L190"/>
    <mergeCell ref="L191:L198"/>
    <mergeCell ref="L199:L206"/>
    <mergeCell ref="L207:L214"/>
    <mergeCell ref="L215:L222"/>
    <mergeCell ref="L223:L230"/>
    <mergeCell ref="L231:L238"/>
    <mergeCell ref="L239:L246"/>
    <mergeCell ref="L247:L254"/>
    <mergeCell ref="L255:L262"/>
    <mergeCell ref="L263:L270"/>
    <mergeCell ref="L271:L278"/>
    <mergeCell ref="L279:L286"/>
    <mergeCell ref="L287:L294"/>
    <mergeCell ref="L295:L302"/>
    <mergeCell ref="L303:L310"/>
    <mergeCell ref="L311:L318"/>
    <mergeCell ref="L319:L326"/>
    <mergeCell ref="L327:L334"/>
    <mergeCell ref="L335:L342"/>
    <mergeCell ref="L343:L350"/>
    <mergeCell ref="L351:L358"/>
    <mergeCell ref="L359:L366"/>
    <mergeCell ref="L367:L374"/>
    <mergeCell ref="L375:L382"/>
    <mergeCell ref="L383:L390"/>
    <mergeCell ref="L391:L398"/>
    <mergeCell ref="L399:L406"/>
    <mergeCell ref="L407:L414"/>
    <mergeCell ref="L415:L422"/>
    <mergeCell ref="L423:L430"/>
    <mergeCell ref="L431:L438"/>
    <mergeCell ref="L439:L446"/>
    <mergeCell ref="L447:L454"/>
    <mergeCell ref="L455:L462"/>
    <mergeCell ref="L463:L470"/>
    <mergeCell ref="L471:L478"/>
    <mergeCell ref="L479:L486"/>
    <mergeCell ref="L487:L494"/>
    <mergeCell ref="L495:L502"/>
    <mergeCell ref="L503:L510"/>
    <mergeCell ref="L511:L518"/>
    <mergeCell ref="L519:L526"/>
    <mergeCell ref="L527:L534"/>
    <mergeCell ref="L535:L542"/>
    <mergeCell ref="L543:L550"/>
    <mergeCell ref="L551:L558"/>
    <mergeCell ref="L559:L566"/>
    <mergeCell ref="L567:L574"/>
    <mergeCell ref="L575:L582"/>
    <mergeCell ref="L583:L590"/>
    <mergeCell ref="L591:L598"/>
    <mergeCell ref="L599:L606"/>
    <mergeCell ref="L607:L614"/>
    <mergeCell ref="L615:L622"/>
    <mergeCell ref="L623:L630"/>
    <mergeCell ref="L631:L638"/>
    <mergeCell ref="M5:M6"/>
    <mergeCell ref="M7:M14"/>
    <mergeCell ref="M15:M22"/>
    <mergeCell ref="M23:M30"/>
    <mergeCell ref="M31:M38"/>
    <mergeCell ref="M39:M46"/>
    <mergeCell ref="M47:M54"/>
    <mergeCell ref="M55:M62"/>
    <mergeCell ref="M63:M70"/>
    <mergeCell ref="M71:M78"/>
    <mergeCell ref="M79:M86"/>
    <mergeCell ref="M87:M94"/>
    <mergeCell ref="M95:M102"/>
    <mergeCell ref="M103:M110"/>
    <mergeCell ref="M111:M118"/>
    <mergeCell ref="M119:M126"/>
    <mergeCell ref="M127:M134"/>
    <mergeCell ref="M135:M142"/>
    <mergeCell ref="M143:M150"/>
    <mergeCell ref="M151:M158"/>
    <mergeCell ref="M159:M166"/>
    <mergeCell ref="M167:M174"/>
    <mergeCell ref="M175:M182"/>
    <mergeCell ref="M183:M190"/>
    <mergeCell ref="M191:M198"/>
    <mergeCell ref="M199:M206"/>
    <mergeCell ref="M207:M214"/>
    <mergeCell ref="M215:M222"/>
    <mergeCell ref="M223:M230"/>
    <mergeCell ref="M231:M238"/>
    <mergeCell ref="M239:M246"/>
    <mergeCell ref="M247:M254"/>
    <mergeCell ref="M255:M262"/>
    <mergeCell ref="M263:M270"/>
    <mergeCell ref="M271:M278"/>
    <mergeCell ref="M279:M286"/>
    <mergeCell ref="M287:M294"/>
    <mergeCell ref="M295:M302"/>
    <mergeCell ref="M303:M310"/>
    <mergeCell ref="M311:M318"/>
    <mergeCell ref="M319:M326"/>
    <mergeCell ref="M327:M334"/>
    <mergeCell ref="M335:M342"/>
    <mergeCell ref="M343:M350"/>
    <mergeCell ref="M351:M358"/>
    <mergeCell ref="M359:M366"/>
    <mergeCell ref="M367:M374"/>
    <mergeCell ref="M375:M382"/>
    <mergeCell ref="M383:M390"/>
    <mergeCell ref="M391:M398"/>
    <mergeCell ref="M399:M406"/>
    <mergeCell ref="M407:M414"/>
    <mergeCell ref="M415:M422"/>
    <mergeCell ref="M423:M430"/>
    <mergeCell ref="M431:M438"/>
    <mergeCell ref="M439:M446"/>
    <mergeCell ref="M447:M454"/>
    <mergeCell ref="M455:M462"/>
    <mergeCell ref="M463:M470"/>
    <mergeCell ref="M471:M478"/>
    <mergeCell ref="M479:M486"/>
    <mergeCell ref="M487:M494"/>
    <mergeCell ref="M495:M502"/>
    <mergeCell ref="M503:M510"/>
    <mergeCell ref="M511:M518"/>
    <mergeCell ref="M519:M526"/>
    <mergeCell ref="M527:M534"/>
    <mergeCell ref="M535:M542"/>
    <mergeCell ref="M543:M550"/>
    <mergeCell ref="M551:M558"/>
    <mergeCell ref="M559:M566"/>
    <mergeCell ref="M567:M574"/>
    <mergeCell ref="M575:M582"/>
    <mergeCell ref="M583:M590"/>
    <mergeCell ref="M591:M598"/>
    <mergeCell ref="M599:M606"/>
    <mergeCell ref="M607:M614"/>
    <mergeCell ref="M615:M622"/>
    <mergeCell ref="M623:M630"/>
    <mergeCell ref="M631:M638"/>
    <mergeCell ref="N5:N6"/>
    <mergeCell ref="O5:O6"/>
    <mergeCell ref="O7:O14"/>
    <mergeCell ref="O15:O22"/>
    <mergeCell ref="O23:O30"/>
    <mergeCell ref="O31:O38"/>
    <mergeCell ref="O39:O46"/>
    <mergeCell ref="O47:O54"/>
    <mergeCell ref="O55:O62"/>
    <mergeCell ref="O63:O70"/>
    <mergeCell ref="O71:O78"/>
    <mergeCell ref="O79:O86"/>
    <mergeCell ref="O87:O94"/>
    <mergeCell ref="O95:O102"/>
    <mergeCell ref="O103:O110"/>
    <mergeCell ref="O111:O118"/>
    <mergeCell ref="O119:O126"/>
    <mergeCell ref="O127:O134"/>
    <mergeCell ref="O135:O142"/>
    <mergeCell ref="O143:O150"/>
    <mergeCell ref="O151:O158"/>
    <mergeCell ref="O159:O166"/>
    <mergeCell ref="O167:O174"/>
    <mergeCell ref="O175:O182"/>
    <mergeCell ref="O183:O190"/>
    <mergeCell ref="O191:O198"/>
    <mergeCell ref="O199:O206"/>
    <mergeCell ref="O207:O214"/>
    <mergeCell ref="O215:O222"/>
    <mergeCell ref="O223:O230"/>
    <mergeCell ref="O231:O238"/>
    <mergeCell ref="O239:O246"/>
    <mergeCell ref="O247:O254"/>
    <mergeCell ref="O255:O262"/>
    <mergeCell ref="O263:O270"/>
    <mergeCell ref="O271:O278"/>
    <mergeCell ref="O279:O286"/>
    <mergeCell ref="O287:O294"/>
    <mergeCell ref="O295:O302"/>
    <mergeCell ref="O303:O310"/>
    <mergeCell ref="O311:O318"/>
    <mergeCell ref="O319:O326"/>
    <mergeCell ref="O327:O334"/>
    <mergeCell ref="O335:O342"/>
    <mergeCell ref="O343:O350"/>
    <mergeCell ref="O351:O358"/>
    <mergeCell ref="O359:O366"/>
    <mergeCell ref="O367:O374"/>
    <mergeCell ref="O375:O382"/>
    <mergeCell ref="O383:O390"/>
    <mergeCell ref="O391:O398"/>
    <mergeCell ref="O399:O406"/>
    <mergeCell ref="O407:O414"/>
    <mergeCell ref="O415:O422"/>
    <mergeCell ref="O423:O430"/>
    <mergeCell ref="O431:O438"/>
    <mergeCell ref="O439:O446"/>
    <mergeCell ref="O447:O454"/>
    <mergeCell ref="O455:O462"/>
    <mergeCell ref="O463:O470"/>
    <mergeCell ref="O471:O478"/>
    <mergeCell ref="O479:O486"/>
    <mergeCell ref="O487:O494"/>
    <mergeCell ref="O495:O502"/>
    <mergeCell ref="O503:O510"/>
    <mergeCell ref="O511:O518"/>
    <mergeCell ref="O519:O526"/>
    <mergeCell ref="O527:O534"/>
    <mergeCell ref="O535:O542"/>
    <mergeCell ref="O543:O550"/>
    <mergeCell ref="O551:O558"/>
    <mergeCell ref="O559:O566"/>
    <mergeCell ref="O567:O574"/>
    <mergeCell ref="O575:O582"/>
    <mergeCell ref="O583:O590"/>
    <mergeCell ref="O591:O598"/>
    <mergeCell ref="O599:O606"/>
    <mergeCell ref="O607:O614"/>
    <mergeCell ref="O615:O622"/>
    <mergeCell ref="O623:O630"/>
    <mergeCell ref="O631:O638"/>
    <mergeCell ref="P5:P6"/>
    <mergeCell ref="P7:P14"/>
    <mergeCell ref="P15:P22"/>
    <mergeCell ref="P23:P30"/>
    <mergeCell ref="P31:P38"/>
    <mergeCell ref="P39:P46"/>
    <mergeCell ref="P47:P54"/>
    <mergeCell ref="P55:P62"/>
    <mergeCell ref="P63:P70"/>
    <mergeCell ref="P71:P78"/>
    <mergeCell ref="P79:P86"/>
    <mergeCell ref="P87:P94"/>
    <mergeCell ref="P95:P102"/>
    <mergeCell ref="P103:P110"/>
    <mergeCell ref="P111:P118"/>
    <mergeCell ref="P119:P126"/>
    <mergeCell ref="P127:P134"/>
    <mergeCell ref="P135:P142"/>
    <mergeCell ref="P143:P150"/>
    <mergeCell ref="P151:P158"/>
    <mergeCell ref="P159:P166"/>
    <mergeCell ref="P167:P174"/>
    <mergeCell ref="P175:P182"/>
    <mergeCell ref="P183:P190"/>
    <mergeCell ref="P191:P198"/>
    <mergeCell ref="P199:P206"/>
    <mergeCell ref="P207:P214"/>
    <mergeCell ref="P215:P222"/>
    <mergeCell ref="P223:P230"/>
    <mergeCell ref="P231:P238"/>
    <mergeCell ref="P239:P246"/>
    <mergeCell ref="P247:P254"/>
    <mergeCell ref="P255:P262"/>
    <mergeCell ref="P263:P270"/>
    <mergeCell ref="P271:P278"/>
    <mergeCell ref="P279:P286"/>
    <mergeCell ref="P287:P294"/>
    <mergeCell ref="P295:P302"/>
    <mergeCell ref="P303:P310"/>
    <mergeCell ref="P311:P318"/>
    <mergeCell ref="P319:P326"/>
    <mergeCell ref="P327:P334"/>
    <mergeCell ref="P335:P342"/>
    <mergeCell ref="P343:P350"/>
    <mergeCell ref="P351:P358"/>
    <mergeCell ref="P359:P366"/>
    <mergeCell ref="P367:P374"/>
    <mergeCell ref="P375:P382"/>
    <mergeCell ref="P383:P390"/>
    <mergeCell ref="P391:P398"/>
    <mergeCell ref="P399:P406"/>
    <mergeCell ref="P407:P414"/>
    <mergeCell ref="P415:P422"/>
    <mergeCell ref="P559:P566"/>
    <mergeCell ref="P567:P574"/>
    <mergeCell ref="P575:P582"/>
    <mergeCell ref="P583:P590"/>
    <mergeCell ref="P591:P598"/>
    <mergeCell ref="P599:P606"/>
    <mergeCell ref="P607:P614"/>
    <mergeCell ref="P615:P622"/>
    <mergeCell ref="P623:P630"/>
    <mergeCell ref="P631:P638"/>
    <mergeCell ref="P423:P430"/>
    <mergeCell ref="P431:P438"/>
    <mergeCell ref="P439:P446"/>
    <mergeCell ref="P447:P454"/>
    <mergeCell ref="P455:P462"/>
    <mergeCell ref="P463:P470"/>
    <mergeCell ref="P471:P478"/>
    <mergeCell ref="P479:P486"/>
    <mergeCell ref="P487:P494"/>
    <mergeCell ref="P495:P502"/>
    <mergeCell ref="P503:P510"/>
    <mergeCell ref="P511:P518"/>
    <mergeCell ref="P519:P526"/>
    <mergeCell ref="P527:P534"/>
    <mergeCell ref="P535:P542"/>
    <mergeCell ref="P543:P550"/>
    <mergeCell ref="P551:P558"/>
  </mergeCells>
  <phoneticPr fontId="93" type="noConversion"/>
  <conditionalFormatting sqref="O1:O1048576">
    <cfRule type="top10" dxfId="34" priority="1" rank="5"/>
    <cfRule type="cellIs" dxfId="33" priority="2" operator="greaterThan">
      <formula>16.14</formula>
    </cfRule>
  </conditionalFormatting>
  <dataValidations count="1">
    <dataValidation type="list" allowBlank="1" showInputMessage="1" showErrorMessage="1" sqref="P3" xr:uid="{00000000-0002-0000-0200-000000000000}">
      <formula1>"是,否"</formula1>
    </dataValidation>
  </dataValidations>
  <pageMargins left="0.35433070866141703" right="0.24" top="0.27" bottom="0.26" header="0" footer="0"/>
  <pageSetup paperSize="9" scale="65" orientation="landscape" horizontalDpi="1200" verticalDpi="12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0000"/>
  </sheetPr>
  <dimension ref="A1:CI42"/>
  <sheetViews>
    <sheetView showGridLines="0" zoomScale="40" zoomScaleNormal="40" workbookViewId="0">
      <selection activeCell="CP32" sqref="A32:CP34"/>
    </sheetView>
  </sheetViews>
  <sheetFormatPr defaultColWidth="9" defaultRowHeight="15"/>
  <cols>
    <col min="1" max="1" width="12.109375" style="93" customWidth="1"/>
    <col min="2" max="81" width="5.77734375" style="93" customWidth="1"/>
    <col min="82" max="82" width="2" style="93" customWidth="1"/>
    <col min="83" max="83" width="13.21875" style="94" customWidth="1"/>
    <col min="84" max="84" width="21.21875" style="94" customWidth="1"/>
    <col min="85" max="85" width="5.21875" style="94" customWidth="1"/>
    <col min="86" max="123" width="5.33203125" style="93" customWidth="1"/>
    <col min="124" max="16384" width="9" style="93"/>
  </cols>
  <sheetData>
    <row r="1" spans="1:85" ht="6.75" customHeight="1"/>
    <row r="2" spans="1:85" ht="27" customHeight="1">
      <c r="A2" s="95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7" t="s">
        <v>1</v>
      </c>
      <c r="CF2" s="98" t="str">
        <f>IF(工时测量记录表!B2="","",工时测量记录表!B2)</f>
        <v/>
      </c>
    </row>
    <row r="3" spans="1:85" ht="54.75" customHeight="1">
      <c r="A3" s="99"/>
      <c r="CE3" s="100" t="s">
        <v>68</v>
      </c>
      <c r="CF3" s="101" t="e">
        <f>3600/(标准工时表!J3/标准工时表!J2)*标准工时表!L2*标准工时表!L3</f>
        <v>#DIV/0!</v>
      </c>
    </row>
    <row r="4" spans="1:85" ht="54.75" customHeight="1">
      <c r="A4" s="99"/>
      <c r="CE4" s="102" t="s">
        <v>69</v>
      </c>
      <c r="CF4" s="101" t="str">
        <f ca="1">IF(COUNT(B39:CC39)=0,"",AVERAGE(B39:CC39))</f>
        <v/>
      </c>
    </row>
    <row r="5" spans="1:85" ht="54.75" customHeight="1">
      <c r="A5" s="99"/>
      <c r="CE5" s="102" t="s">
        <v>70</v>
      </c>
      <c r="CF5" s="103" t="str">
        <f ca="1">IF(COUNT(B39:CC39)=0,"",MAX(B39:CC39))</f>
        <v/>
      </c>
    </row>
    <row r="6" spans="1:85" ht="54.75" customHeight="1">
      <c r="A6" s="99"/>
      <c r="CE6" s="102" t="s">
        <v>71</v>
      </c>
      <c r="CF6" s="104" t="str">
        <f ca="1">IF(COUNT(B39:CC39)=0,"",SUMPRODUCT(B39:CC39,B30:CC30))</f>
        <v/>
      </c>
    </row>
    <row r="7" spans="1:85" ht="54.75" customHeight="1">
      <c r="A7" s="99"/>
      <c r="CE7" s="102" t="s">
        <v>72</v>
      </c>
      <c r="CF7" s="105" t="str">
        <f ca="1">IF(COUNT(B39:CC39)=0,"",SUM(B39:CC39)/(CF5*COUNT(B39:CC39)))</f>
        <v/>
      </c>
    </row>
    <row r="8" spans="1:85" ht="54.75" customHeight="1">
      <c r="A8" s="99"/>
      <c r="CE8" s="106" t="s">
        <v>73</v>
      </c>
      <c r="CF8" s="107">
        <f>IF(标准工时表!G3="","",标准工时表!G3)</f>
        <v>0</v>
      </c>
    </row>
    <row r="9" spans="1:85" ht="19.5" customHeight="1">
      <c r="A9" s="99"/>
      <c r="B9" s="94">
        <v>1</v>
      </c>
      <c r="C9" s="94">
        <v>2</v>
      </c>
      <c r="D9" s="94">
        <v>3</v>
      </c>
      <c r="E9" s="94">
        <v>4</v>
      </c>
      <c r="F9" s="94">
        <v>5</v>
      </c>
      <c r="G9" s="94">
        <v>6</v>
      </c>
      <c r="H9" s="94">
        <v>7</v>
      </c>
      <c r="I9" s="94">
        <v>8</v>
      </c>
      <c r="J9" s="94">
        <v>9</v>
      </c>
      <c r="K9" s="94">
        <v>10</v>
      </c>
      <c r="L9" s="94">
        <v>11</v>
      </c>
      <c r="M9" s="94">
        <v>12</v>
      </c>
      <c r="N9" s="94">
        <v>13</v>
      </c>
      <c r="O9" s="94">
        <v>14</v>
      </c>
      <c r="P9" s="94">
        <v>15</v>
      </c>
      <c r="Q9" s="94">
        <v>16</v>
      </c>
      <c r="R9" s="94">
        <v>17</v>
      </c>
      <c r="S9" s="94">
        <v>18</v>
      </c>
      <c r="T9" s="94">
        <v>19</v>
      </c>
      <c r="U9" s="94">
        <v>20</v>
      </c>
      <c r="V9" s="94">
        <v>21</v>
      </c>
      <c r="W9" s="94">
        <v>22</v>
      </c>
      <c r="X9" s="94">
        <v>23</v>
      </c>
      <c r="Y9" s="94">
        <v>24</v>
      </c>
      <c r="Z9" s="94">
        <v>25</v>
      </c>
      <c r="AA9" s="94">
        <v>26</v>
      </c>
      <c r="AB9" s="94">
        <v>27</v>
      </c>
      <c r="AC9" s="94">
        <v>28</v>
      </c>
      <c r="AD9" s="94">
        <v>29</v>
      </c>
      <c r="AE9" s="94">
        <v>30</v>
      </c>
      <c r="AF9" s="94">
        <v>31</v>
      </c>
      <c r="AG9" s="94">
        <v>32</v>
      </c>
      <c r="AH9" s="94">
        <v>33</v>
      </c>
      <c r="AI9" s="94">
        <v>34</v>
      </c>
      <c r="AJ9" s="94">
        <v>35</v>
      </c>
      <c r="AK9" s="94">
        <v>36</v>
      </c>
      <c r="AL9" s="94">
        <v>37</v>
      </c>
      <c r="AM9" s="94">
        <v>38</v>
      </c>
      <c r="AN9" s="94">
        <v>39</v>
      </c>
      <c r="AO9" s="94">
        <v>40</v>
      </c>
      <c r="AP9" s="94">
        <v>41</v>
      </c>
      <c r="AQ9" s="94">
        <v>42</v>
      </c>
      <c r="AR9" s="94">
        <v>43</v>
      </c>
      <c r="AS9" s="94">
        <v>44</v>
      </c>
      <c r="AT9" s="94">
        <v>45</v>
      </c>
      <c r="AU9" s="94">
        <v>46</v>
      </c>
      <c r="AV9" s="94">
        <v>47</v>
      </c>
      <c r="AW9" s="94">
        <v>48</v>
      </c>
      <c r="AX9" s="94">
        <v>49</v>
      </c>
      <c r="AY9" s="94">
        <v>50</v>
      </c>
      <c r="AZ9" s="94">
        <v>51</v>
      </c>
      <c r="BA9" s="94">
        <v>52</v>
      </c>
      <c r="BB9" s="94">
        <v>53</v>
      </c>
      <c r="BC9" s="94">
        <v>54</v>
      </c>
      <c r="BD9" s="94">
        <v>55</v>
      </c>
      <c r="BE9" s="94">
        <v>56</v>
      </c>
      <c r="BF9" s="94">
        <v>57</v>
      </c>
      <c r="BG9" s="94">
        <v>58</v>
      </c>
      <c r="BH9" s="94">
        <v>59</v>
      </c>
      <c r="BI9" s="94">
        <v>60</v>
      </c>
      <c r="BJ9" s="94">
        <v>61</v>
      </c>
      <c r="BK9" s="94">
        <v>62</v>
      </c>
      <c r="BL9" s="94">
        <v>63</v>
      </c>
      <c r="BM9" s="94">
        <v>64</v>
      </c>
      <c r="BN9" s="94">
        <v>65</v>
      </c>
      <c r="BO9" s="94">
        <v>66</v>
      </c>
      <c r="BP9" s="94">
        <v>67</v>
      </c>
      <c r="BQ9" s="94">
        <v>68</v>
      </c>
      <c r="BR9" s="94">
        <v>69</v>
      </c>
      <c r="BS9" s="94">
        <v>70</v>
      </c>
      <c r="BT9" s="94">
        <v>71</v>
      </c>
      <c r="BU9" s="94">
        <v>72</v>
      </c>
      <c r="BV9" s="94">
        <v>73</v>
      </c>
      <c r="BW9" s="94">
        <v>74</v>
      </c>
      <c r="BX9" s="94">
        <v>75</v>
      </c>
      <c r="BY9" s="94">
        <v>76</v>
      </c>
      <c r="BZ9" s="94">
        <v>77</v>
      </c>
      <c r="CA9" s="94">
        <v>78</v>
      </c>
      <c r="CB9" s="94">
        <v>79</v>
      </c>
      <c r="CC9" s="94">
        <v>80</v>
      </c>
      <c r="CD9" s="94"/>
      <c r="CG9" s="93"/>
    </row>
    <row r="10" spans="1:85" ht="19.5" customHeight="1">
      <c r="A10" s="99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94"/>
      <c r="CG10" s="93"/>
    </row>
    <row r="11" spans="1:85" ht="19.5" customHeight="1">
      <c r="A11" s="99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94"/>
      <c r="CG11" s="93"/>
    </row>
    <row r="12" spans="1:85" ht="19.5" customHeight="1">
      <c r="A12" s="99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94"/>
      <c r="CE12" s="282" t="s">
        <v>74</v>
      </c>
      <c r="CF12" s="283"/>
      <c r="CG12" s="93"/>
    </row>
    <row r="13" spans="1:85" ht="19.5" customHeight="1">
      <c r="A13" s="99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94"/>
      <c r="CE13" s="284"/>
      <c r="CF13" s="285"/>
      <c r="CG13" s="93"/>
    </row>
    <row r="14" spans="1:85" ht="19.5" customHeight="1">
      <c r="A14" s="99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94"/>
      <c r="CE14" s="286" t="s">
        <v>75</v>
      </c>
      <c r="CF14" s="287"/>
      <c r="CG14" s="93"/>
    </row>
    <row r="15" spans="1:85" ht="19.5" customHeight="1">
      <c r="A15" s="99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94"/>
      <c r="CE15" s="288"/>
      <c r="CF15" s="289"/>
      <c r="CG15" s="93"/>
    </row>
    <row r="16" spans="1:85" ht="19.5" customHeight="1">
      <c r="A16" s="99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94"/>
      <c r="CE16" s="288"/>
      <c r="CF16" s="289"/>
      <c r="CG16" s="93"/>
    </row>
    <row r="17" spans="1:87" ht="19.5" customHeight="1">
      <c r="A17" s="99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94"/>
      <c r="CE17" s="288"/>
      <c r="CF17" s="289"/>
      <c r="CG17" s="93"/>
    </row>
    <row r="18" spans="1:87" ht="19.5" customHeight="1">
      <c r="A18" s="99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94"/>
      <c r="CE18" s="288"/>
      <c r="CF18" s="289"/>
      <c r="CG18" s="93"/>
    </row>
    <row r="19" spans="1:87" ht="19.5" customHeight="1">
      <c r="A19" s="99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94"/>
      <c r="CE19" s="288"/>
      <c r="CF19" s="289"/>
      <c r="CG19" s="93"/>
    </row>
    <row r="20" spans="1:87" ht="19.5" customHeight="1">
      <c r="A20" s="99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94"/>
      <c r="CE20" s="288"/>
      <c r="CF20" s="289"/>
      <c r="CG20" s="93"/>
    </row>
    <row r="21" spans="1:87" ht="19.5" customHeight="1">
      <c r="A21" s="99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94"/>
      <c r="CE21" s="288"/>
      <c r="CF21" s="289"/>
      <c r="CG21" s="93"/>
    </row>
    <row r="22" spans="1:87" ht="19.5" customHeight="1">
      <c r="A22" s="99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94"/>
      <c r="CE22" s="288"/>
      <c r="CF22" s="289"/>
      <c r="CG22" s="93"/>
    </row>
    <row r="23" spans="1:87" ht="19.5" customHeight="1">
      <c r="A23" s="99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94"/>
      <c r="CE23" s="288"/>
      <c r="CF23" s="289"/>
      <c r="CG23" s="93"/>
    </row>
    <row r="24" spans="1:87" ht="19.5" customHeight="1">
      <c r="A24" s="99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94"/>
      <c r="CE24" s="288"/>
      <c r="CF24" s="289"/>
      <c r="CG24" s="93"/>
    </row>
    <row r="25" spans="1:87" ht="19.5" customHeight="1">
      <c r="A25" s="99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94"/>
      <c r="CE25" s="288"/>
      <c r="CF25" s="289"/>
      <c r="CG25" s="93"/>
    </row>
    <row r="26" spans="1:87" ht="19.5" customHeight="1">
      <c r="A26" s="99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94"/>
      <c r="CE26" s="288"/>
      <c r="CF26" s="289"/>
      <c r="CG26" s="93"/>
    </row>
    <row r="27" spans="1:87" ht="19.5" customHeight="1">
      <c r="A27" s="99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94"/>
      <c r="CE27" s="290"/>
      <c r="CF27" s="291"/>
      <c r="CG27" s="93"/>
    </row>
    <row r="28" spans="1:87" ht="19.5" customHeight="1">
      <c r="A28" s="99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94"/>
      <c r="CE28" s="93"/>
      <c r="CF28" s="93"/>
      <c r="CG28" s="93"/>
    </row>
    <row r="29" spans="1:87" s="91" customFormat="1" ht="116.25" customHeight="1">
      <c r="A29" s="109" t="s">
        <v>12</v>
      </c>
      <c r="B29" s="110" t="str">
        <f t="shared" ref="B29:J29" ca="1" si="0">IF(INDIRECT("标准工时表!B"&amp;B9*8-1)=0,"",INDIRECT("标准工时表!B"&amp;B9*8-1))</f>
        <v/>
      </c>
      <c r="C29" s="110" t="str">
        <f t="shared" ca="1" si="0"/>
        <v/>
      </c>
      <c r="D29" s="110" t="str">
        <f t="shared" ca="1" si="0"/>
        <v/>
      </c>
      <c r="E29" s="110" t="str">
        <f t="shared" ca="1" si="0"/>
        <v/>
      </c>
      <c r="F29" s="110" t="str">
        <f t="shared" ca="1" si="0"/>
        <v/>
      </c>
      <c r="G29" s="110" t="str">
        <f t="shared" ca="1" si="0"/>
        <v/>
      </c>
      <c r="H29" s="110" t="str">
        <f t="shared" ca="1" si="0"/>
        <v/>
      </c>
      <c r="I29" s="110" t="str">
        <f t="shared" ca="1" si="0"/>
        <v/>
      </c>
      <c r="J29" s="110" t="str">
        <f t="shared" ca="1" si="0"/>
        <v/>
      </c>
      <c r="K29" s="110" t="str">
        <f t="shared" ref="K29:CC29" ca="1" si="1">IF(INDIRECT("标准工时表!B"&amp;K9*8-1)=0,"",INDIRECT("标准工时表!B"&amp;K9*8-1))</f>
        <v/>
      </c>
      <c r="L29" s="110" t="str">
        <f t="shared" ca="1" si="1"/>
        <v/>
      </c>
      <c r="M29" s="110" t="str">
        <f t="shared" ca="1" si="1"/>
        <v/>
      </c>
      <c r="N29" s="110" t="str">
        <f t="shared" ca="1" si="1"/>
        <v/>
      </c>
      <c r="O29" s="110" t="str">
        <f t="shared" ca="1" si="1"/>
        <v/>
      </c>
      <c r="P29" s="110" t="str">
        <f t="shared" ca="1" si="1"/>
        <v/>
      </c>
      <c r="Q29" s="110" t="str">
        <f t="shared" ca="1" si="1"/>
        <v/>
      </c>
      <c r="R29" s="110" t="str">
        <f t="shared" ref="R29:Y29" ca="1" si="2">IF(INDIRECT("标准工时表!B"&amp;R9*8-1)=0,"",INDIRECT("标准工时表!B"&amp;R9*8-1))</f>
        <v/>
      </c>
      <c r="S29" s="110" t="str">
        <f t="shared" ca="1" si="2"/>
        <v/>
      </c>
      <c r="T29" s="110" t="str">
        <f t="shared" ca="1" si="2"/>
        <v/>
      </c>
      <c r="U29" s="110" t="str">
        <f t="shared" ca="1" si="2"/>
        <v/>
      </c>
      <c r="V29" s="110" t="str">
        <f t="shared" ca="1" si="2"/>
        <v/>
      </c>
      <c r="W29" s="110" t="str">
        <f t="shared" ca="1" si="2"/>
        <v/>
      </c>
      <c r="X29" s="110" t="str">
        <f t="shared" ca="1" si="2"/>
        <v/>
      </c>
      <c r="Y29" s="110" t="str">
        <f t="shared" ca="1" si="2"/>
        <v/>
      </c>
      <c r="Z29" s="110" t="str">
        <f t="shared" ca="1" si="1"/>
        <v/>
      </c>
      <c r="AA29" s="110" t="str">
        <f t="shared" ca="1" si="1"/>
        <v/>
      </c>
      <c r="AB29" s="110" t="str">
        <f t="shared" ca="1" si="1"/>
        <v/>
      </c>
      <c r="AC29" s="110" t="str">
        <f t="shared" ca="1" si="1"/>
        <v/>
      </c>
      <c r="AD29" s="110" t="str">
        <f t="shared" ca="1" si="1"/>
        <v/>
      </c>
      <c r="AE29" s="110" t="str">
        <f t="shared" ca="1" si="1"/>
        <v/>
      </c>
      <c r="AF29" s="110" t="str">
        <f t="shared" ca="1" si="1"/>
        <v/>
      </c>
      <c r="AG29" s="110" t="str">
        <f t="shared" ca="1" si="1"/>
        <v/>
      </c>
      <c r="AH29" s="110" t="str">
        <f t="shared" ca="1" si="1"/>
        <v/>
      </c>
      <c r="AI29" s="110" t="str">
        <f t="shared" ca="1" si="1"/>
        <v/>
      </c>
      <c r="AJ29" s="110" t="str">
        <f t="shared" ca="1" si="1"/>
        <v/>
      </c>
      <c r="AK29" s="110" t="str">
        <f t="shared" ca="1" si="1"/>
        <v/>
      </c>
      <c r="AL29" s="110" t="str">
        <f t="shared" ca="1" si="1"/>
        <v/>
      </c>
      <c r="AM29" s="110" t="str">
        <f t="shared" ca="1" si="1"/>
        <v/>
      </c>
      <c r="AN29" s="110" t="str">
        <f t="shared" ca="1" si="1"/>
        <v/>
      </c>
      <c r="AO29" s="110" t="str">
        <f t="shared" ca="1" si="1"/>
        <v/>
      </c>
      <c r="AP29" s="110" t="str">
        <f t="shared" ca="1" si="1"/>
        <v/>
      </c>
      <c r="AQ29" s="110" t="str">
        <f t="shared" ca="1" si="1"/>
        <v/>
      </c>
      <c r="AR29" s="110" t="str">
        <f t="shared" ca="1" si="1"/>
        <v/>
      </c>
      <c r="AS29" s="110" t="str">
        <f t="shared" ca="1" si="1"/>
        <v/>
      </c>
      <c r="AT29" s="110" t="str">
        <f t="shared" ca="1" si="1"/>
        <v/>
      </c>
      <c r="AU29" s="110" t="str">
        <f t="shared" ca="1" si="1"/>
        <v/>
      </c>
      <c r="AV29" s="110" t="str">
        <f t="shared" ca="1" si="1"/>
        <v/>
      </c>
      <c r="AW29" s="110" t="str">
        <f t="shared" ca="1" si="1"/>
        <v/>
      </c>
      <c r="AX29" s="110" t="str">
        <f t="shared" ca="1" si="1"/>
        <v/>
      </c>
      <c r="AY29" s="110" t="str">
        <f t="shared" ca="1" si="1"/>
        <v/>
      </c>
      <c r="AZ29" s="110" t="str">
        <f t="shared" ca="1" si="1"/>
        <v/>
      </c>
      <c r="BA29" s="110" t="str">
        <f t="shared" ca="1" si="1"/>
        <v/>
      </c>
      <c r="BB29" s="110" t="str">
        <f t="shared" ca="1" si="1"/>
        <v/>
      </c>
      <c r="BC29" s="110" t="str">
        <f t="shared" ca="1" si="1"/>
        <v/>
      </c>
      <c r="BD29" s="110" t="str">
        <f t="shared" ca="1" si="1"/>
        <v/>
      </c>
      <c r="BE29" s="110" t="str">
        <f t="shared" ca="1" si="1"/>
        <v/>
      </c>
      <c r="BF29" s="110" t="str">
        <f t="shared" ca="1" si="1"/>
        <v/>
      </c>
      <c r="BG29" s="110" t="str">
        <f t="shared" ca="1" si="1"/>
        <v/>
      </c>
      <c r="BH29" s="110" t="str">
        <f t="shared" ca="1" si="1"/>
        <v/>
      </c>
      <c r="BI29" s="110" t="str">
        <f t="shared" ca="1" si="1"/>
        <v/>
      </c>
      <c r="BJ29" s="110" t="str">
        <f t="shared" ca="1" si="1"/>
        <v/>
      </c>
      <c r="BK29" s="110" t="str">
        <f t="shared" ca="1" si="1"/>
        <v/>
      </c>
      <c r="BL29" s="110" t="str">
        <f t="shared" ca="1" si="1"/>
        <v/>
      </c>
      <c r="BM29" s="110" t="str">
        <f t="shared" ca="1" si="1"/>
        <v/>
      </c>
      <c r="BN29" s="110" t="str">
        <f t="shared" ca="1" si="1"/>
        <v/>
      </c>
      <c r="BO29" s="110" t="str">
        <f t="shared" ca="1" si="1"/>
        <v/>
      </c>
      <c r="BP29" s="110" t="str">
        <f t="shared" ca="1" si="1"/>
        <v/>
      </c>
      <c r="BQ29" s="110" t="str">
        <f t="shared" ca="1" si="1"/>
        <v/>
      </c>
      <c r="BR29" s="110" t="str">
        <f t="shared" ca="1" si="1"/>
        <v/>
      </c>
      <c r="BS29" s="110" t="str">
        <f t="shared" ca="1" si="1"/>
        <v/>
      </c>
      <c r="BT29" s="110" t="str">
        <f t="shared" ca="1" si="1"/>
        <v/>
      </c>
      <c r="BU29" s="110" t="str">
        <f t="shared" ca="1" si="1"/>
        <v/>
      </c>
      <c r="BV29" s="110" t="str">
        <f t="shared" ca="1" si="1"/>
        <v/>
      </c>
      <c r="BW29" s="110" t="str">
        <f t="shared" ca="1" si="1"/>
        <v/>
      </c>
      <c r="BX29" s="110" t="str">
        <f t="shared" ca="1" si="1"/>
        <v/>
      </c>
      <c r="BY29" s="110" t="str">
        <f t="shared" ca="1" si="1"/>
        <v/>
      </c>
      <c r="BZ29" s="110" t="str">
        <f t="shared" ca="1" si="1"/>
        <v/>
      </c>
      <c r="CA29" s="110" t="str">
        <f t="shared" ca="1" si="1"/>
        <v/>
      </c>
      <c r="CB29" s="110" t="str">
        <f t="shared" ca="1" si="1"/>
        <v/>
      </c>
      <c r="CC29" s="111" t="str">
        <f t="shared" ca="1" si="1"/>
        <v/>
      </c>
      <c r="CD29" s="93"/>
      <c r="CG29" s="93"/>
      <c r="CH29" s="93"/>
      <c r="CI29" s="93"/>
    </row>
    <row r="30" spans="1:87" ht="23.25" customHeight="1">
      <c r="A30" s="112" t="s">
        <v>76</v>
      </c>
      <c r="B30" s="113" t="str">
        <f t="shared" ref="B30:J30" ca="1" si="3">IF(INDIRECT("标准工时表!L"&amp;B9*8-1)=0,"",INDIRECT("标准工时表!L"&amp;B9*8-1))</f>
        <v/>
      </c>
      <c r="C30" s="113" t="str">
        <f t="shared" ca="1" si="3"/>
        <v/>
      </c>
      <c r="D30" s="113" t="str">
        <f t="shared" ca="1" si="3"/>
        <v/>
      </c>
      <c r="E30" s="113" t="str">
        <f t="shared" ca="1" si="3"/>
        <v/>
      </c>
      <c r="F30" s="113" t="str">
        <f t="shared" ca="1" si="3"/>
        <v/>
      </c>
      <c r="G30" s="113" t="str">
        <f t="shared" ca="1" si="3"/>
        <v/>
      </c>
      <c r="H30" s="113" t="str">
        <f t="shared" ca="1" si="3"/>
        <v/>
      </c>
      <c r="I30" s="113" t="str">
        <f t="shared" ca="1" si="3"/>
        <v/>
      </c>
      <c r="J30" s="113" t="str">
        <f t="shared" ca="1" si="3"/>
        <v/>
      </c>
      <c r="K30" s="113" t="str">
        <f t="shared" ref="K30:CC30" ca="1" si="4">IF(INDIRECT("标准工时表!L"&amp;K9*8-1)=0,"",INDIRECT("标准工时表!L"&amp;K9*8-1))</f>
        <v/>
      </c>
      <c r="L30" s="113" t="str">
        <f t="shared" ca="1" si="4"/>
        <v/>
      </c>
      <c r="M30" s="113" t="str">
        <f t="shared" ca="1" si="4"/>
        <v/>
      </c>
      <c r="N30" s="113" t="str">
        <f t="shared" ca="1" si="4"/>
        <v/>
      </c>
      <c r="O30" s="113" t="str">
        <f t="shared" ca="1" si="4"/>
        <v/>
      </c>
      <c r="P30" s="113" t="str">
        <f t="shared" ca="1" si="4"/>
        <v/>
      </c>
      <c r="Q30" s="113" t="str">
        <f t="shared" ca="1" si="4"/>
        <v/>
      </c>
      <c r="R30" s="113" t="str">
        <f t="shared" ref="R30:Y30" ca="1" si="5">IF(INDIRECT("标准工时表!L"&amp;R9*8-1)=0,"",INDIRECT("标准工时表!L"&amp;R9*8-1))</f>
        <v/>
      </c>
      <c r="S30" s="113" t="str">
        <f t="shared" ca="1" si="5"/>
        <v/>
      </c>
      <c r="T30" s="113" t="str">
        <f t="shared" ca="1" si="5"/>
        <v/>
      </c>
      <c r="U30" s="113" t="str">
        <f t="shared" ca="1" si="5"/>
        <v/>
      </c>
      <c r="V30" s="113" t="str">
        <f t="shared" ca="1" si="5"/>
        <v/>
      </c>
      <c r="W30" s="113" t="str">
        <f t="shared" ca="1" si="5"/>
        <v/>
      </c>
      <c r="X30" s="113" t="str">
        <f t="shared" ca="1" si="5"/>
        <v/>
      </c>
      <c r="Y30" s="113" t="str">
        <f t="shared" ca="1" si="5"/>
        <v/>
      </c>
      <c r="Z30" s="113" t="str">
        <f t="shared" ca="1" si="4"/>
        <v/>
      </c>
      <c r="AA30" s="113" t="str">
        <f t="shared" ca="1" si="4"/>
        <v/>
      </c>
      <c r="AB30" s="113" t="str">
        <f t="shared" ca="1" si="4"/>
        <v/>
      </c>
      <c r="AC30" s="113" t="str">
        <f t="shared" ca="1" si="4"/>
        <v/>
      </c>
      <c r="AD30" s="113" t="str">
        <f t="shared" ca="1" si="4"/>
        <v/>
      </c>
      <c r="AE30" s="113" t="str">
        <f t="shared" ca="1" si="4"/>
        <v/>
      </c>
      <c r="AF30" s="113" t="str">
        <f t="shared" ca="1" si="4"/>
        <v/>
      </c>
      <c r="AG30" s="113" t="str">
        <f t="shared" ca="1" si="4"/>
        <v/>
      </c>
      <c r="AH30" s="113" t="str">
        <f t="shared" ca="1" si="4"/>
        <v/>
      </c>
      <c r="AI30" s="113" t="str">
        <f t="shared" ca="1" si="4"/>
        <v/>
      </c>
      <c r="AJ30" s="113" t="str">
        <f t="shared" ca="1" si="4"/>
        <v/>
      </c>
      <c r="AK30" s="113" t="str">
        <f t="shared" ca="1" si="4"/>
        <v/>
      </c>
      <c r="AL30" s="113" t="str">
        <f t="shared" ca="1" si="4"/>
        <v/>
      </c>
      <c r="AM30" s="113" t="str">
        <f t="shared" ca="1" si="4"/>
        <v/>
      </c>
      <c r="AN30" s="113" t="str">
        <f t="shared" ca="1" si="4"/>
        <v/>
      </c>
      <c r="AO30" s="113" t="str">
        <f t="shared" ca="1" si="4"/>
        <v/>
      </c>
      <c r="AP30" s="113" t="str">
        <f t="shared" ca="1" si="4"/>
        <v/>
      </c>
      <c r="AQ30" s="113" t="str">
        <f t="shared" ca="1" si="4"/>
        <v/>
      </c>
      <c r="AR30" s="113" t="str">
        <f t="shared" ca="1" si="4"/>
        <v/>
      </c>
      <c r="AS30" s="113" t="str">
        <f t="shared" ca="1" si="4"/>
        <v/>
      </c>
      <c r="AT30" s="113" t="str">
        <f t="shared" ca="1" si="4"/>
        <v/>
      </c>
      <c r="AU30" s="113" t="str">
        <f t="shared" ca="1" si="4"/>
        <v/>
      </c>
      <c r="AV30" s="113" t="str">
        <f t="shared" ca="1" si="4"/>
        <v/>
      </c>
      <c r="AW30" s="113" t="str">
        <f t="shared" ca="1" si="4"/>
        <v/>
      </c>
      <c r="AX30" s="113" t="str">
        <f t="shared" ca="1" si="4"/>
        <v/>
      </c>
      <c r="AY30" s="113" t="str">
        <f t="shared" ca="1" si="4"/>
        <v/>
      </c>
      <c r="AZ30" s="113" t="str">
        <f t="shared" ca="1" si="4"/>
        <v/>
      </c>
      <c r="BA30" s="113" t="str">
        <f t="shared" ca="1" si="4"/>
        <v/>
      </c>
      <c r="BB30" s="113" t="str">
        <f t="shared" ca="1" si="4"/>
        <v/>
      </c>
      <c r="BC30" s="113" t="str">
        <f t="shared" ca="1" si="4"/>
        <v/>
      </c>
      <c r="BD30" s="113" t="str">
        <f t="shared" ca="1" si="4"/>
        <v/>
      </c>
      <c r="BE30" s="113" t="str">
        <f t="shared" ca="1" si="4"/>
        <v/>
      </c>
      <c r="BF30" s="113" t="str">
        <f t="shared" ca="1" si="4"/>
        <v/>
      </c>
      <c r="BG30" s="113" t="str">
        <f t="shared" ca="1" si="4"/>
        <v/>
      </c>
      <c r="BH30" s="113" t="str">
        <f t="shared" ca="1" si="4"/>
        <v/>
      </c>
      <c r="BI30" s="113" t="str">
        <f t="shared" ca="1" si="4"/>
        <v/>
      </c>
      <c r="BJ30" s="113" t="str">
        <f t="shared" ca="1" si="4"/>
        <v/>
      </c>
      <c r="BK30" s="113" t="str">
        <f t="shared" ca="1" si="4"/>
        <v/>
      </c>
      <c r="BL30" s="113" t="str">
        <f t="shared" ca="1" si="4"/>
        <v/>
      </c>
      <c r="BM30" s="113" t="str">
        <f t="shared" ca="1" si="4"/>
        <v/>
      </c>
      <c r="BN30" s="113" t="str">
        <f t="shared" ca="1" si="4"/>
        <v/>
      </c>
      <c r="BO30" s="113" t="str">
        <f t="shared" ca="1" si="4"/>
        <v/>
      </c>
      <c r="BP30" s="113" t="str">
        <f t="shared" ca="1" si="4"/>
        <v/>
      </c>
      <c r="BQ30" s="113" t="str">
        <f t="shared" ca="1" si="4"/>
        <v/>
      </c>
      <c r="BR30" s="113" t="str">
        <f t="shared" ca="1" si="4"/>
        <v/>
      </c>
      <c r="BS30" s="113" t="str">
        <f t="shared" ca="1" si="4"/>
        <v/>
      </c>
      <c r="BT30" s="113" t="str">
        <f t="shared" ca="1" si="4"/>
        <v/>
      </c>
      <c r="BU30" s="113" t="str">
        <f t="shared" ca="1" si="4"/>
        <v/>
      </c>
      <c r="BV30" s="113" t="str">
        <f t="shared" ca="1" si="4"/>
        <v/>
      </c>
      <c r="BW30" s="113" t="str">
        <f t="shared" ca="1" si="4"/>
        <v/>
      </c>
      <c r="BX30" s="113" t="str">
        <f t="shared" ca="1" si="4"/>
        <v/>
      </c>
      <c r="BY30" s="113" t="str">
        <f t="shared" ca="1" si="4"/>
        <v/>
      </c>
      <c r="BZ30" s="113" t="str">
        <f t="shared" ca="1" si="4"/>
        <v/>
      </c>
      <c r="CA30" s="113" t="str">
        <f t="shared" ca="1" si="4"/>
        <v/>
      </c>
      <c r="CB30" s="113" t="str">
        <f t="shared" ca="1" si="4"/>
        <v/>
      </c>
      <c r="CC30" s="114" t="str">
        <f t="shared" ca="1" si="4"/>
        <v/>
      </c>
    </row>
    <row r="31" spans="1:87" ht="23.25" customHeight="1">
      <c r="A31" s="112" t="s">
        <v>77</v>
      </c>
      <c r="B31" s="115" t="str">
        <f ca="1">IF(INDIRECT("标准工时表!N"&amp;B9*8-1)=0,"",INDIRECT("标准工时表!N"&amp;B9*8-1))</f>
        <v/>
      </c>
      <c r="C31" s="115" t="str">
        <f t="shared" ref="C31:BN31" ca="1" si="6">IF(INDIRECT("标准工时表!N"&amp;C9*8-1)=0,"",INDIRECT("标准工时表!N"&amp;C9*8-1))</f>
        <v/>
      </c>
      <c r="D31" s="115" t="str">
        <f t="shared" ca="1" si="6"/>
        <v/>
      </c>
      <c r="E31" s="115" t="str">
        <f t="shared" ca="1" si="6"/>
        <v/>
      </c>
      <c r="F31" s="115" t="str">
        <f t="shared" ca="1" si="6"/>
        <v/>
      </c>
      <c r="G31" s="115" t="str">
        <f t="shared" ca="1" si="6"/>
        <v/>
      </c>
      <c r="H31" s="115" t="str">
        <f t="shared" ca="1" si="6"/>
        <v/>
      </c>
      <c r="I31" s="115" t="str">
        <f t="shared" ca="1" si="6"/>
        <v/>
      </c>
      <c r="J31" s="115" t="str">
        <f t="shared" ca="1" si="6"/>
        <v/>
      </c>
      <c r="K31" s="115" t="str">
        <f t="shared" ca="1" si="6"/>
        <v/>
      </c>
      <c r="L31" s="115" t="str">
        <f t="shared" ca="1" si="6"/>
        <v/>
      </c>
      <c r="M31" s="115" t="str">
        <f t="shared" ca="1" si="6"/>
        <v/>
      </c>
      <c r="N31" s="115" t="str">
        <f t="shared" ca="1" si="6"/>
        <v/>
      </c>
      <c r="O31" s="115" t="str">
        <f t="shared" ca="1" si="6"/>
        <v/>
      </c>
      <c r="P31" s="115" t="str">
        <f t="shared" ca="1" si="6"/>
        <v/>
      </c>
      <c r="Q31" s="115" t="str">
        <f t="shared" ca="1" si="6"/>
        <v/>
      </c>
      <c r="R31" s="115" t="str">
        <f t="shared" ca="1" si="6"/>
        <v/>
      </c>
      <c r="S31" s="115" t="str">
        <f t="shared" ca="1" si="6"/>
        <v/>
      </c>
      <c r="T31" s="115" t="str">
        <f t="shared" ca="1" si="6"/>
        <v/>
      </c>
      <c r="U31" s="115" t="str">
        <f t="shared" ca="1" si="6"/>
        <v/>
      </c>
      <c r="V31" s="115" t="str">
        <f t="shared" ca="1" si="6"/>
        <v/>
      </c>
      <c r="W31" s="115" t="str">
        <f t="shared" ca="1" si="6"/>
        <v/>
      </c>
      <c r="X31" s="115" t="str">
        <f t="shared" ca="1" si="6"/>
        <v/>
      </c>
      <c r="Y31" s="115" t="str">
        <f t="shared" ca="1" si="6"/>
        <v/>
      </c>
      <c r="Z31" s="115" t="str">
        <f t="shared" ca="1" si="6"/>
        <v/>
      </c>
      <c r="AA31" s="115" t="str">
        <f t="shared" ca="1" si="6"/>
        <v/>
      </c>
      <c r="AB31" s="115" t="str">
        <f t="shared" ca="1" si="6"/>
        <v/>
      </c>
      <c r="AC31" s="115" t="str">
        <f t="shared" ca="1" si="6"/>
        <v/>
      </c>
      <c r="AD31" s="115" t="str">
        <f t="shared" ca="1" si="6"/>
        <v/>
      </c>
      <c r="AE31" s="115" t="str">
        <f t="shared" ca="1" si="6"/>
        <v/>
      </c>
      <c r="AF31" s="115" t="str">
        <f t="shared" ca="1" si="6"/>
        <v/>
      </c>
      <c r="AG31" s="115" t="str">
        <f t="shared" ca="1" si="6"/>
        <v/>
      </c>
      <c r="AH31" s="115" t="str">
        <f t="shared" ca="1" si="6"/>
        <v/>
      </c>
      <c r="AI31" s="115" t="str">
        <f t="shared" ca="1" si="6"/>
        <v/>
      </c>
      <c r="AJ31" s="115" t="str">
        <f t="shared" ca="1" si="6"/>
        <v/>
      </c>
      <c r="AK31" s="115" t="str">
        <f t="shared" ca="1" si="6"/>
        <v/>
      </c>
      <c r="AL31" s="115" t="str">
        <f t="shared" ca="1" si="6"/>
        <v/>
      </c>
      <c r="AM31" s="115" t="str">
        <f t="shared" ca="1" si="6"/>
        <v/>
      </c>
      <c r="AN31" s="115" t="str">
        <f t="shared" ca="1" si="6"/>
        <v/>
      </c>
      <c r="AO31" s="115" t="str">
        <f t="shared" ca="1" si="6"/>
        <v/>
      </c>
      <c r="AP31" s="115" t="str">
        <f t="shared" ca="1" si="6"/>
        <v/>
      </c>
      <c r="AQ31" s="115" t="str">
        <f t="shared" ca="1" si="6"/>
        <v/>
      </c>
      <c r="AR31" s="115" t="str">
        <f t="shared" ca="1" si="6"/>
        <v/>
      </c>
      <c r="AS31" s="115" t="str">
        <f t="shared" ca="1" si="6"/>
        <v/>
      </c>
      <c r="AT31" s="115" t="str">
        <f t="shared" ca="1" si="6"/>
        <v/>
      </c>
      <c r="AU31" s="115" t="str">
        <f t="shared" ca="1" si="6"/>
        <v/>
      </c>
      <c r="AV31" s="115" t="str">
        <f t="shared" ca="1" si="6"/>
        <v/>
      </c>
      <c r="AW31" s="115" t="str">
        <f t="shared" ca="1" si="6"/>
        <v/>
      </c>
      <c r="AX31" s="115" t="str">
        <f t="shared" ca="1" si="6"/>
        <v/>
      </c>
      <c r="AY31" s="115" t="str">
        <f t="shared" ca="1" si="6"/>
        <v/>
      </c>
      <c r="AZ31" s="115" t="str">
        <f t="shared" ca="1" si="6"/>
        <v/>
      </c>
      <c r="BA31" s="115" t="str">
        <f t="shared" ca="1" si="6"/>
        <v/>
      </c>
      <c r="BB31" s="115" t="str">
        <f t="shared" ca="1" si="6"/>
        <v/>
      </c>
      <c r="BC31" s="115" t="str">
        <f t="shared" ca="1" si="6"/>
        <v/>
      </c>
      <c r="BD31" s="115" t="str">
        <f t="shared" ca="1" si="6"/>
        <v/>
      </c>
      <c r="BE31" s="115" t="str">
        <f t="shared" ca="1" si="6"/>
        <v/>
      </c>
      <c r="BF31" s="115" t="str">
        <f t="shared" ca="1" si="6"/>
        <v/>
      </c>
      <c r="BG31" s="115" t="str">
        <f t="shared" ca="1" si="6"/>
        <v/>
      </c>
      <c r="BH31" s="115" t="str">
        <f t="shared" ca="1" si="6"/>
        <v/>
      </c>
      <c r="BI31" s="115" t="str">
        <f t="shared" ca="1" si="6"/>
        <v/>
      </c>
      <c r="BJ31" s="115" t="str">
        <f t="shared" ca="1" si="6"/>
        <v/>
      </c>
      <c r="BK31" s="115" t="str">
        <f t="shared" ca="1" si="6"/>
        <v/>
      </c>
      <c r="BL31" s="115" t="str">
        <f t="shared" ca="1" si="6"/>
        <v/>
      </c>
      <c r="BM31" s="115" t="str">
        <f t="shared" ca="1" si="6"/>
        <v/>
      </c>
      <c r="BN31" s="115" t="str">
        <f t="shared" ca="1" si="6"/>
        <v/>
      </c>
      <c r="BO31" s="115" t="str">
        <f t="shared" ref="BO31:CC31" ca="1" si="7">IF(INDIRECT("标准工时表!N"&amp;BO9*8-1)=0,"",INDIRECT("标准工时表!N"&amp;BO9*8-1))</f>
        <v/>
      </c>
      <c r="BP31" s="115" t="str">
        <f t="shared" ca="1" si="7"/>
        <v/>
      </c>
      <c r="BQ31" s="115" t="str">
        <f t="shared" ca="1" si="7"/>
        <v/>
      </c>
      <c r="BR31" s="115" t="str">
        <f t="shared" ca="1" si="7"/>
        <v/>
      </c>
      <c r="BS31" s="115" t="str">
        <f t="shared" ca="1" si="7"/>
        <v/>
      </c>
      <c r="BT31" s="115" t="str">
        <f t="shared" ca="1" si="7"/>
        <v/>
      </c>
      <c r="BU31" s="115" t="str">
        <f t="shared" ca="1" si="7"/>
        <v/>
      </c>
      <c r="BV31" s="115" t="str">
        <f t="shared" ca="1" si="7"/>
        <v/>
      </c>
      <c r="BW31" s="115" t="str">
        <f t="shared" ca="1" si="7"/>
        <v/>
      </c>
      <c r="BX31" s="115" t="str">
        <f t="shared" ca="1" si="7"/>
        <v/>
      </c>
      <c r="BY31" s="115" t="str">
        <f t="shared" ca="1" si="7"/>
        <v/>
      </c>
      <c r="BZ31" s="115" t="str">
        <f t="shared" ca="1" si="7"/>
        <v/>
      </c>
      <c r="CA31" s="115" t="str">
        <f t="shared" ca="1" si="7"/>
        <v/>
      </c>
      <c r="CB31" s="115" t="str">
        <f t="shared" ca="1" si="7"/>
        <v/>
      </c>
      <c r="CC31" s="116" t="str">
        <f t="shared" ca="1" si="7"/>
        <v/>
      </c>
    </row>
    <row r="32" spans="1:87" ht="23.25" customHeight="1">
      <c r="A32" s="112" t="s">
        <v>78</v>
      </c>
      <c r="B32" s="115" t="str">
        <f ca="1">IF(INDIRECT("标准工时表!N"&amp;B9*8)=0,"",INDIRECT("标准工时表!N"&amp;B9*8))</f>
        <v/>
      </c>
      <c r="C32" s="115" t="str">
        <f t="shared" ref="C32:BN32" ca="1" si="8">IF(INDIRECT("标准工时表!N"&amp;C9*8)=0,"",INDIRECT("标准工时表!N"&amp;C9*8))</f>
        <v/>
      </c>
      <c r="D32" s="115" t="str">
        <f t="shared" ca="1" si="8"/>
        <v/>
      </c>
      <c r="E32" s="115" t="str">
        <f t="shared" ca="1" si="8"/>
        <v/>
      </c>
      <c r="F32" s="115" t="str">
        <f t="shared" ca="1" si="8"/>
        <v/>
      </c>
      <c r="G32" s="115" t="str">
        <f t="shared" ca="1" si="8"/>
        <v/>
      </c>
      <c r="H32" s="115" t="str">
        <f t="shared" ca="1" si="8"/>
        <v/>
      </c>
      <c r="I32" s="115" t="str">
        <f t="shared" ca="1" si="8"/>
        <v/>
      </c>
      <c r="J32" s="115" t="str">
        <f t="shared" ca="1" si="8"/>
        <v/>
      </c>
      <c r="K32" s="115" t="str">
        <f t="shared" ca="1" si="8"/>
        <v/>
      </c>
      <c r="L32" s="115" t="str">
        <f t="shared" ca="1" si="8"/>
        <v/>
      </c>
      <c r="M32" s="115" t="str">
        <f t="shared" ca="1" si="8"/>
        <v/>
      </c>
      <c r="N32" s="115" t="str">
        <f t="shared" ca="1" si="8"/>
        <v/>
      </c>
      <c r="O32" s="115" t="str">
        <f t="shared" ca="1" si="8"/>
        <v/>
      </c>
      <c r="P32" s="115" t="str">
        <f t="shared" ca="1" si="8"/>
        <v/>
      </c>
      <c r="Q32" s="115" t="str">
        <f t="shared" ca="1" si="8"/>
        <v/>
      </c>
      <c r="R32" s="115" t="str">
        <f t="shared" ca="1" si="8"/>
        <v/>
      </c>
      <c r="S32" s="115" t="str">
        <f t="shared" ca="1" si="8"/>
        <v/>
      </c>
      <c r="T32" s="115" t="str">
        <f t="shared" ca="1" si="8"/>
        <v/>
      </c>
      <c r="U32" s="115" t="str">
        <f t="shared" ca="1" si="8"/>
        <v/>
      </c>
      <c r="V32" s="115" t="str">
        <f t="shared" ca="1" si="8"/>
        <v/>
      </c>
      <c r="W32" s="115" t="str">
        <f t="shared" ca="1" si="8"/>
        <v/>
      </c>
      <c r="X32" s="115" t="str">
        <f t="shared" ca="1" si="8"/>
        <v/>
      </c>
      <c r="Y32" s="115" t="str">
        <f t="shared" ca="1" si="8"/>
        <v/>
      </c>
      <c r="Z32" s="115" t="str">
        <f t="shared" ca="1" si="8"/>
        <v/>
      </c>
      <c r="AA32" s="115" t="str">
        <f t="shared" ca="1" si="8"/>
        <v/>
      </c>
      <c r="AB32" s="115" t="str">
        <f t="shared" ca="1" si="8"/>
        <v/>
      </c>
      <c r="AC32" s="115" t="str">
        <f t="shared" ca="1" si="8"/>
        <v/>
      </c>
      <c r="AD32" s="115" t="str">
        <f t="shared" ca="1" si="8"/>
        <v/>
      </c>
      <c r="AE32" s="115" t="str">
        <f t="shared" ca="1" si="8"/>
        <v/>
      </c>
      <c r="AF32" s="115" t="str">
        <f t="shared" ca="1" si="8"/>
        <v/>
      </c>
      <c r="AG32" s="115" t="str">
        <f t="shared" ca="1" si="8"/>
        <v/>
      </c>
      <c r="AH32" s="115" t="str">
        <f t="shared" ca="1" si="8"/>
        <v/>
      </c>
      <c r="AI32" s="115" t="str">
        <f t="shared" ca="1" si="8"/>
        <v/>
      </c>
      <c r="AJ32" s="115" t="str">
        <f t="shared" ca="1" si="8"/>
        <v/>
      </c>
      <c r="AK32" s="115" t="str">
        <f t="shared" ca="1" si="8"/>
        <v/>
      </c>
      <c r="AL32" s="115" t="str">
        <f t="shared" ca="1" si="8"/>
        <v/>
      </c>
      <c r="AM32" s="115" t="str">
        <f t="shared" ca="1" si="8"/>
        <v/>
      </c>
      <c r="AN32" s="115" t="str">
        <f t="shared" ca="1" si="8"/>
        <v/>
      </c>
      <c r="AO32" s="115" t="str">
        <f t="shared" ca="1" si="8"/>
        <v/>
      </c>
      <c r="AP32" s="115" t="str">
        <f t="shared" ca="1" si="8"/>
        <v/>
      </c>
      <c r="AQ32" s="115" t="str">
        <f t="shared" ca="1" si="8"/>
        <v/>
      </c>
      <c r="AR32" s="115" t="str">
        <f t="shared" ca="1" si="8"/>
        <v/>
      </c>
      <c r="AS32" s="115" t="str">
        <f t="shared" ca="1" si="8"/>
        <v/>
      </c>
      <c r="AT32" s="115" t="str">
        <f t="shared" ca="1" si="8"/>
        <v/>
      </c>
      <c r="AU32" s="115" t="str">
        <f t="shared" ca="1" si="8"/>
        <v/>
      </c>
      <c r="AV32" s="115" t="str">
        <f t="shared" ca="1" si="8"/>
        <v/>
      </c>
      <c r="AW32" s="115" t="str">
        <f t="shared" ca="1" si="8"/>
        <v/>
      </c>
      <c r="AX32" s="115" t="str">
        <f t="shared" ca="1" si="8"/>
        <v/>
      </c>
      <c r="AY32" s="115" t="str">
        <f t="shared" ca="1" si="8"/>
        <v/>
      </c>
      <c r="AZ32" s="115" t="str">
        <f t="shared" ca="1" si="8"/>
        <v/>
      </c>
      <c r="BA32" s="115" t="str">
        <f t="shared" ca="1" si="8"/>
        <v/>
      </c>
      <c r="BB32" s="115" t="str">
        <f t="shared" ca="1" si="8"/>
        <v/>
      </c>
      <c r="BC32" s="115" t="str">
        <f t="shared" ca="1" si="8"/>
        <v/>
      </c>
      <c r="BD32" s="115" t="str">
        <f t="shared" ca="1" si="8"/>
        <v/>
      </c>
      <c r="BE32" s="115" t="str">
        <f t="shared" ca="1" si="8"/>
        <v/>
      </c>
      <c r="BF32" s="115" t="str">
        <f t="shared" ca="1" si="8"/>
        <v/>
      </c>
      <c r="BG32" s="115" t="str">
        <f t="shared" ca="1" si="8"/>
        <v/>
      </c>
      <c r="BH32" s="115" t="str">
        <f t="shared" ca="1" si="8"/>
        <v/>
      </c>
      <c r="BI32" s="115" t="str">
        <f t="shared" ca="1" si="8"/>
        <v/>
      </c>
      <c r="BJ32" s="115" t="str">
        <f t="shared" ca="1" si="8"/>
        <v/>
      </c>
      <c r="BK32" s="115" t="str">
        <f t="shared" ca="1" si="8"/>
        <v/>
      </c>
      <c r="BL32" s="115" t="str">
        <f t="shared" ca="1" si="8"/>
        <v/>
      </c>
      <c r="BM32" s="115" t="str">
        <f t="shared" ca="1" si="8"/>
        <v/>
      </c>
      <c r="BN32" s="115" t="str">
        <f t="shared" ca="1" si="8"/>
        <v/>
      </c>
      <c r="BO32" s="115" t="str">
        <f t="shared" ref="BO32:CC32" ca="1" si="9">IF(INDIRECT("标准工时表!N"&amp;BO9*8)=0,"",INDIRECT("标准工时表!N"&amp;BO9*8))</f>
        <v/>
      </c>
      <c r="BP32" s="115" t="str">
        <f t="shared" ca="1" si="9"/>
        <v/>
      </c>
      <c r="BQ32" s="115" t="str">
        <f t="shared" ca="1" si="9"/>
        <v/>
      </c>
      <c r="BR32" s="115" t="str">
        <f t="shared" ca="1" si="9"/>
        <v/>
      </c>
      <c r="BS32" s="115" t="str">
        <f t="shared" ca="1" si="9"/>
        <v/>
      </c>
      <c r="BT32" s="115" t="str">
        <f t="shared" ca="1" si="9"/>
        <v/>
      </c>
      <c r="BU32" s="115" t="str">
        <f t="shared" ca="1" si="9"/>
        <v/>
      </c>
      <c r="BV32" s="115" t="str">
        <f t="shared" ca="1" si="9"/>
        <v/>
      </c>
      <c r="BW32" s="115" t="str">
        <f t="shared" ca="1" si="9"/>
        <v/>
      </c>
      <c r="BX32" s="115" t="str">
        <f t="shared" ca="1" si="9"/>
        <v/>
      </c>
      <c r="BY32" s="115" t="str">
        <f t="shared" ca="1" si="9"/>
        <v/>
      </c>
      <c r="BZ32" s="115" t="str">
        <f t="shared" ca="1" si="9"/>
        <v/>
      </c>
      <c r="CA32" s="115" t="str">
        <f t="shared" ca="1" si="9"/>
        <v/>
      </c>
      <c r="CB32" s="115" t="str">
        <f t="shared" ca="1" si="9"/>
        <v/>
      </c>
      <c r="CC32" s="116" t="str">
        <f t="shared" ca="1" si="9"/>
        <v/>
      </c>
    </row>
    <row r="33" spans="1:85" ht="23.25" customHeight="1">
      <c r="A33" s="112" t="s">
        <v>79</v>
      </c>
      <c r="B33" s="115" t="str">
        <f ca="1">IF(INDIRECT("标准工时表!N"&amp;B9*8+1)=0,"",INDIRECT("标准工时表!N"&amp;B9*8+1))</f>
        <v/>
      </c>
      <c r="C33" s="115" t="str">
        <f t="shared" ref="C33:BN33" ca="1" si="10">IF(INDIRECT("标准工时表!N"&amp;C9*8+1)=0,"",INDIRECT("标准工时表!N"&amp;C9*8+1))</f>
        <v/>
      </c>
      <c r="D33" s="115" t="str">
        <f t="shared" ca="1" si="10"/>
        <v/>
      </c>
      <c r="E33" s="115" t="str">
        <f t="shared" ca="1" si="10"/>
        <v/>
      </c>
      <c r="F33" s="115" t="str">
        <f t="shared" ca="1" si="10"/>
        <v/>
      </c>
      <c r="G33" s="115" t="str">
        <f t="shared" ca="1" si="10"/>
        <v/>
      </c>
      <c r="H33" s="115" t="str">
        <f t="shared" ca="1" si="10"/>
        <v/>
      </c>
      <c r="I33" s="115" t="str">
        <f t="shared" ca="1" si="10"/>
        <v/>
      </c>
      <c r="J33" s="115" t="str">
        <f t="shared" ca="1" si="10"/>
        <v/>
      </c>
      <c r="K33" s="115" t="str">
        <f t="shared" ca="1" si="10"/>
        <v/>
      </c>
      <c r="L33" s="115" t="str">
        <f t="shared" ca="1" si="10"/>
        <v/>
      </c>
      <c r="M33" s="115" t="str">
        <f t="shared" ca="1" si="10"/>
        <v/>
      </c>
      <c r="N33" s="115" t="str">
        <f t="shared" ca="1" si="10"/>
        <v/>
      </c>
      <c r="O33" s="115" t="str">
        <f t="shared" ca="1" si="10"/>
        <v/>
      </c>
      <c r="P33" s="115" t="str">
        <f t="shared" ca="1" si="10"/>
        <v/>
      </c>
      <c r="Q33" s="115" t="str">
        <f t="shared" ca="1" si="10"/>
        <v/>
      </c>
      <c r="R33" s="115" t="str">
        <f t="shared" ca="1" si="10"/>
        <v/>
      </c>
      <c r="S33" s="115" t="str">
        <f t="shared" ca="1" si="10"/>
        <v/>
      </c>
      <c r="T33" s="115" t="str">
        <f t="shared" ca="1" si="10"/>
        <v/>
      </c>
      <c r="U33" s="115" t="str">
        <f t="shared" ca="1" si="10"/>
        <v/>
      </c>
      <c r="V33" s="115" t="str">
        <f t="shared" ca="1" si="10"/>
        <v/>
      </c>
      <c r="W33" s="115" t="str">
        <f t="shared" ca="1" si="10"/>
        <v/>
      </c>
      <c r="X33" s="115" t="str">
        <f t="shared" ca="1" si="10"/>
        <v/>
      </c>
      <c r="Y33" s="115" t="str">
        <f t="shared" ca="1" si="10"/>
        <v/>
      </c>
      <c r="Z33" s="115" t="str">
        <f t="shared" ca="1" si="10"/>
        <v/>
      </c>
      <c r="AA33" s="115" t="str">
        <f t="shared" ca="1" si="10"/>
        <v/>
      </c>
      <c r="AB33" s="115" t="str">
        <f t="shared" ca="1" si="10"/>
        <v/>
      </c>
      <c r="AC33" s="115" t="str">
        <f t="shared" ca="1" si="10"/>
        <v/>
      </c>
      <c r="AD33" s="115" t="str">
        <f t="shared" ca="1" si="10"/>
        <v/>
      </c>
      <c r="AE33" s="115" t="str">
        <f t="shared" ca="1" si="10"/>
        <v/>
      </c>
      <c r="AF33" s="115" t="str">
        <f t="shared" ca="1" si="10"/>
        <v/>
      </c>
      <c r="AG33" s="115" t="str">
        <f t="shared" ca="1" si="10"/>
        <v/>
      </c>
      <c r="AH33" s="115" t="str">
        <f t="shared" ca="1" si="10"/>
        <v/>
      </c>
      <c r="AI33" s="115" t="str">
        <f t="shared" ca="1" si="10"/>
        <v/>
      </c>
      <c r="AJ33" s="115" t="str">
        <f t="shared" ca="1" si="10"/>
        <v/>
      </c>
      <c r="AK33" s="115" t="str">
        <f t="shared" ca="1" si="10"/>
        <v/>
      </c>
      <c r="AL33" s="115" t="str">
        <f t="shared" ca="1" si="10"/>
        <v/>
      </c>
      <c r="AM33" s="115" t="str">
        <f t="shared" ca="1" si="10"/>
        <v/>
      </c>
      <c r="AN33" s="115" t="str">
        <f t="shared" ca="1" si="10"/>
        <v/>
      </c>
      <c r="AO33" s="115" t="str">
        <f t="shared" ca="1" si="10"/>
        <v/>
      </c>
      <c r="AP33" s="115" t="str">
        <f t="shared" ca="1" si="10"/>
        <v/>
      </c>
      <c r="AQ33" s="115" t="str">
        <f t="shared" ca="1" si="10"/>
        <v/>
      </c>
      <c r="AR33" s="115" t="str">
        <f t="shared" ca="1" si="10"/>
        <v/>
      </c>
      <c r="AS33" s="115" t="str">
        <f t="shared" ca="1" si="10"/>
        <v/>
      </c>
      <c r="AT33" s="115" t="str">
        <f t="shared" ca="1" si="10"/>
        <v/>
      </c>
      <c r="AU33" s="115" t="str">
        <f t="shared" ca="1" si="10"/>
        <v/>
      </c>
      <c r="AV33" s="115" t="str">
        <f t="shared" ca="1" si="10"/>
        <v/>
      </c>
      <c r="AW33" s="115" t="str">
        <f t="shared" ca="1" si="10"/>
        <v/>
      </c>
      <c r="AX33" s="115" t="str">
        <f t="shared" ca="1" si="10"/>
        <v/>
      </c>
      <c r="AY33" s="115" t="str">
        <f t="shared" ca="1" si="10"/>
        <v/>
      </c>
      <c r="AZ33" s="115" t="str">
        <f t="shared" ca="1" si="10"/>
        <v/>
      </c>
      <c r="BA33" s="115" t="str">
        <f t="shared" ca="1" si="10"/>
        <v/>
      </c>
      <c r="BB33" s="115" t="str">
        <f t="shared" ca="1" si="10"/>
        <v/>
      </c>
      <c r="BC33" s="115" t="str">
        <f t="shared" ca="1" si="10"/>
        <v/>
      </c>
      <c r="BD33" s="115" t="str">
        <f t="shared" ca="1" si="10"/>
        <v/>
      </c>
      <c r="BE33" s="115" t="str">
        <f t="shared" ca="1" si="10"/>
        <v/>
      </c>
      <c r="BF33" s="115" t="str">
        <f t="shared" ca="1" si="10"/>
        <v/>
      </c>
      <c r="BG33" s="115" t="str">
        <f t="shared" ca="1" si="10"/>
        <v/>
      </c>
      <c r="BH33" s="115" t="str">
        <f t="shared" ca="1" si="10"/>
        <v/>
      </c>
      <c r="BI33" s="115" t="str">
        <f t="shared" ca="1" si="10"/>
        <v/>
      </c>
      <c r="BJ33" s="115" t="str">
        <f t="shared" ca="1" si="10"/>
        <v/>
      </c>
      <c r="BK33" s="115" t="str">
        <f t="shared" ca="1" si="10"/>
        <v/>
      </c>
      <c r="BL33" s="115" t="str">
        <f t="shared" ca="1" si="10"/>
        <v/>
      </c>
      <c r="BM33" s="115" t="str">
        <f t="shared" ca="1" si="10"/>
        <v/>
      </c>
      <c r="BN33" s="115" t="str">
        <f t="shared" ca="1" si="10"/>
        <v/>
      </c>
      <c r="BO33" s="115" t="str">
        <f t="shared" ref="BO33:CC33" ca="1" si="11">IF(INDIRECT("标准工时表!N"&amp;BO9*8+1)=0,"",INDIRECT("标准工时表!N"&amp;BO9*8+1))</f>
        <v/>
      </c>
      <c r="BP33" s="115" t="str">
        <f t="shared" ca="1" si="11"/>
        <v/>
      </c>
      <c r="BQ33" s="115" t="str">
        <f t="shared" ca="1" si="11"/>
        <v/>
      </c>
      <c r="BR33" s="115" t="str">
        <f t="shared" ca="1" si="11"/>
        <v/>
      </c>
      <c r="BS33" s="115" t="str">
        <f t="shared" ca="1" si="11"/>
        <v/>
      </c>
      <c r="BT33" s="115" t="str">
        <f t="shared" ca="1" si="11"/>
        <v/>
      </c>
      <c r="BU33" s="115" t="str">
        <f t="shared" ca="1" si="11"/>
        <v/>
      </c>
      <c r="BV33" s="115" t="str">
        <f t="shared" ca="1" si="11"/>
        <v/>
      </c>
      <c r="BW33" s="115" t="str">
        <f t="shared" ca="1" si="11"/>
        <v/>
      </c>
      <c r="BX33" s="115" t="str">
        <f t="shared" ca="1" si="11"/>
        <v/>
      </c>
      <c r="BY33" s="115" t="str">
        <f t="shared" ca="1" si="11"/>
        <v/>
      </c>
      <c r="BZ33" s="115" t="str">
        <f t="shared" ca="1" si="11"/>
        <v/>
      </c>
      <c r="CA33" s="115" t="str">
        <f t="shared" ca="1" si="11"/>
        <v/>
      </c>
      <c r="CB33" s="115" t="str">
        <f t="shared" ca="1" si="11"/>
        <v/>
      </c>
      <c r="CC33" s="116" t="str">
        <f t="shared" ca="1" si="11"/>
        <v/>
      </c>
    </row>
    <row r="34" spans="1:85" ht="23.25" customHeight="1">
      <c r="A34" s="112" t="s">
        <v>80</v>
      </c>
      <c r="B34" s="115" t="str">
        <f ca="1">IF(INDIRECT("标准工时表!N"&amp;B9*8+2)=0,"",INDIRECT("标准工时表!N"&amp;B9*8+2))</f>
        <v/>
      </c>
      <c r="C34" s="115" t="str">
        <f t="shared" ref="C34:BN34" ca="1" si="12">IF(INDIRECT("标准工时表!N"&amp;C9*8+2)=0,"",INDIRECT("标准工时表!N"&amp;C9*8+2))</f>
        <v/>
      </c>
      <c r="D34" s="115" t="str">
        <f t="shared" ca="1" si="12"/>
        <v/>
      </c>
      <c r="E34" s="115" t="str">
        <f t="shared" ca="1" si="12"/>
        <v/>
      </c>
      <c r="F34" s="115" t="str">
        <f t="shared" ca="1" si="12"/>
        <v/>
      </c>
      <c r="G34" s="115" t="str">
        <f t="shared" ca="1" si="12"/>
        <v/>
      </c>
      <c r="H34" s="115" t="str">
        <f t="shared" ca="1" si="12"/>
        <v/>
      </c>
      <c r="I34" s="115" t="str">
        <f t="shared" ca="1" si="12"/>
        <v/>
      </c>
      <c r="J34" s="115" t="str">
        <f t="shared" ca="1" si="12"/>
        <v/>
      </c>
      <c r="K34" s="115" t="str">
        <f t="shared" ca="1" si="12"/>
        <v/>
      </c>
      <c r="L34" s="115" t="str">
        <f t="shared" ca="1" si="12"/>
        <v/>
      </c>
      <c r="M34" s="115" t="str">
        <f t="shared" ca="1" si="12"/>
        <v/>
      </c>
      <c r="N34" s="115" t="str">
        <f t="shared" ca="1" si="12"/>
        <v/>
      </c>
      <c r="O34" s="115" t="str">
        <f t="shared" ca="1" si="12"/>
        <v/>
      </c>
      <c r="P34" s="115" t="str">
        <f t="shared" ca="1" si="12"/>
        <v/>
      </c>
      <c r="Q34" s="115" t="str">
        <f t="shared" ca="1" si="12"/>
        <v/>
      </c>
      <c r="R34" s="115" t="str">
        <f t="shared" ca="1" si="12"/>
        <v/>
      </c>
      <c r="S34" s="115" t="str">
        <f t="shared" ca="1" si="12"/>
        <v/>
      </c>
      <c r="T34" s="115" t="str">
        <f t="shared" ca="1" si="12"/>
        <v/>
      </c>
      <c r="U34" s="115" t="str">
        <f t="shared" ca="1" si="12"/>
        <v/>
      </c>
      <c r="V34" s="115" t="str">
        <f t="shared" ca="1" si="12"/>
        <v/>
      </c>
      <c r="W34" s="115" t="str">
        <f t="shared" ca="1" si="12"/>
        <v/>
      </c>
      <c r="X34" s="115" t="str">
        <f t="shared" ca="1" si="12"/>
        <v/>
      </c>
      <c r="Y34" s="115" t="str">
        <f t="shared" ca="1" si="12"/>
        <v/>
      </c>
      <c r="Z34" s="115" t="str">
        <f t="shared" ca="1" si="12"/>
        <v/>
      </c>
      <c r="AA34" s="115" t="str">
        <f t="shared" ca="1" si="12"/>
        <v/>
      </c>
      <c r="AB34" s="115" t="str">
        <f t="shared" ca="1" si="12"/>
        <v/>
      </c>
      <c r="AC34" s="115" t="str">
        <f t="shared" ca="1" si="12"/>
        <v/>
      </c>
      <c r="AD34" s="115" t="str">
        <f t="shared" ca="1" si="12"/>
        <v/>
      </c>
      <c r="AE34" s="115" t="str">
        <f t="shared" ca="1" si="12"/>
        <v/>
      </c>
      <c r="AF34" s="115" t="str">
        <f t="shared" ca="1" si="12"/>
        <v/>
      </c>
      <c r="AG34" s="115" t="str">
        <f t="shared" ca="1" si="12"/>
        <v/>
      </c>
      <c r="AH34" s="115" t="str">
        <f t="shared" ca="1" si="12"/>
        <v/>
      </c>
      <c r="AI34" s="115" t="str">
        <f t="shared" ca="1" si="12"/>
        <v/>
      </c>
      <c r="AJ34" s="115" t="str">
        <f t="shared" ca="1" si="12"/>
        <v/>
      </c>
      <c r="AK34" s="115" t="str">
        <f t="shared" ca="1" si="12"/>
        <v/>
      </c>
      <c r="AL34" s="115" t="str">
        <f t="shared" ca="1" si="12"/>
        <v/>
      </c>
      <c r="AM34" s="115" t="str">
        <f t="shared" ca="1" si="12"/>
        <v/>
      </c>
      <c r="AN34" s="115" t="str">
        <f t="shared" ca="1" si="12"/>
        <v/>
      </c>
      <c r="AO34" s="115" t="str">
        <f t="shared" ca="1" si="12"/>
        <v/>
      </c>
      <c r="AP34" s="115" t="str">
        <f t="shared" ca="1" si="12"/>
        <v/>
      </c>
      <c r="AQ34" s="115" t="str">
        <f t="shared" ca="1" si="12"/>
        <v/>
      </c>
      <c r="AR34" s="115" t="str">
        <f t="shared" ca="1" si="12"/>
        <v/>
      </c>
      <c r="AS34" s="115" t="str">
        <f t="shared" ca="1" si="12"/>
        <v/>
      </c>
      <c r="AT34" s="115" t="str">
        <f t="shared" ca="1" si="12"/>
        <v/>
      </c>
      <c r="AU34" s="115" t="str">
        <f t="shared" ca="1" si="12"/>
        <v/>
      </c>
      <c r="AV34" s="115" t="str">
        <f t="shared" ca="1" si="12"/>
        <v/>
      </c>
      <c r="AW34" s="115" t="str">
        <f t="shared" ca="1" si="12"/>
        <v/>
      </c>
      <c r="AX34" s="115" t="str">
        <f t="shared" ca="1" si="12"/>
        <v/>
      </c>
      <c r="AY34" s="115" t="str">
        <f t="shared" ca="1" si="12"/>
        <v/>
      </c>
      <c r="AZ34" s="115" t="str">
        <f t="shared" ca="1" si="12"/>
        <v/>
      </c>
      <c r="BA34" s="115" t="str">
        <f t="shared" ca="1" si="12"/>
        <v/>
      </c>
      <c r="BB34" s="115" t="str">
        <f t="shared" ca="1" si="12"/>
        <v/>
      </c>
      <c r="BC34" s="115" t="str">
        <f t="shared" ca="1" si="12"/>
        <v/>
      </c>
      <c r="BD34" s="115" t="str">
        <f t="shared" ca="1" si="12"/>
        <v/>
      </c>
      <c r="BE34" s="115" t="str">
        <f t="shared" ca="1" si="12"/>
        <v/>
      </c>
      <c r="BF34" s="115" t="str">
        <f t="shared" ca="1" si="12"/>
        <v/>
      </c>
      <c r="BG34" s="115" t="str">
        <f t="shared" ca="1" si="12"/>
        <v/>
      </c>
      <c r="BH34" s="115" t="str">
        <f t="shared" ca="1" si="12"/>
        <v/>
      </c>
      <c r="BI34" s="115" t="str">
        <f t="shared" ca="1" si="12"/>
        <v/>
      </c>
      <c r="BJ34" s="115" t="str">
        <f t="shared" ca="1" si="12"/>
        <v/>
      </c>
      <c r="BK34" s="115" t="str">
        <f t="shared" ca="1" si="12"/>
        <v/>
      </c>
      <c r="BL34" s="115" t="str">
        <f t="shared" ca="1" si="12"/>
        <v/>
      </c>
      <c r="BM34" s="115" t="str">
        <f t="shared" ca="1" si="12"/>
        <v/>
      </c>
      <c r="BN34" s="115" t="str">
        <f t="shared" ca="1" si="12"/>
        <v/>
      </c>
      <c r="BO34" s="115" t="str">
        <f t="shared" ref="BO34:CC34" ca="1" si="13">IF(INDIRECT("标准工时表!N"&amp;BO9*8+2)=0,"",INDIRECT("标准工时表!N"&amp;BO9*8+2))</f>
        <v/>
      </c>
      <c r="BP34" s="115" t="str">
        <f t="shared" ca="1" si="13"/>
        <v/>
      </c>
      <c r="BQ34" s="115" t="str">
        <f t="shared" ca="1" si="13"/>
        <v/>
      </c>
      <c r="BR34" s="115" t="str">
        <f t="shared" ca="1" si="13"/>
        <v/>
      </c>
      <c r="BS34" s="115" t="str">
        <f t="shared" ca="1" si="13"/>
        <v/>
      </c>
      <c r="BT34" s="115" t="str">
        <f t="shared" ca="1" si="13"/>
        <v/>
      </c>
      <c r="BU34" s="115" t="str">
        <f t="shared" ca="1" si="13"/>
        <v/>
      </c>
      <c r="BV34" s="115" t="str">
        <f t="shared" ca="1" si="13"/>
        <v/>
      </c>
      <c r="BW34" s="115" t="str">
        <f t="shared" ca="1" si="13"/>
        <v/>
      </c>
      <c r="BX34" s="115" t="str">
        <f t="shared" ca="1" si="13"/>
        <v/>
      </c>
      <c r="BY34" s="115" t="str">
        <f t="shared" ca="1" si="13"/>
        <v/>
      </c>
      <c r="BZ34" s="115" t="str">
        <f t="shared" ca="1" si="13"/>
        <v/>
      </c>
      <c r="CA34" s="115" t="str">
        <f t="shared" ca="1" si="13"/>
        <v/>
      </c>
      <c r="CB34" s="115" t="str">
        <f t="shared" ca="1" si="13"/>
        <v/>
      </c>
      <c r="CC34" s="116" t="str">
        <f t="shared" ca="1" si="13"/>
        <v/>
      </c>
    </row>
    <row r="35" spans="1:85" ht="23.25" customHeight="1">
      <c r="A35" s="112" t="s">
        <v>81</v>
      </c>
      <c r="B35" s="115" t="str">
        <f ca="1">IF(INDIRECT("标准工时表!N"&amp;B9*8+3)=0,"",INDIRECT("标准工时表!N"&amp;B9*8+3))</f>
        <v/>
      </c>
      <c r="C35" s="115" t="str">
        <f t="shared" ref="C35:BN35" ca="1" si="14">IF(INDIRECT("标准工时表!N"&amp;C9*8+3)=0,"",INDIRECT("标准工时表!N"&amp;C9*8+3))</f>
        <v/>
      </c>
      <c r="D35" s="115" t="str">
        <f t="shared" ca="1" si="14"/>
        <v/>
      </c>
      <c r="E35" s="115" t="str">
        <f t="shared" ca="1" si="14"/>
        <v/>
      </c>
      <c r="F35" s="115" t="str">
        <f t="shared" ca="1" si="14"/>
        <v/>
      </c>
      <c r="G35" s="115" t="str">
        <f t="shared" ca="1" si="14"/>
        <v/>
      </c>
      <c r="H35" s="115" t="str">
        <f t="shared" ca="1" si="14"/>
        <v/>
      </c>
      <c r="I35" s="115" t="str">
        <f t="shared" ca="1" si="14"/>
        <v/>
      </c>
      <c r="J35" s="115" t="str">
        <f t="shared" ca="1" si="14"/>
        <v/>
      </c>
      <c r="K35" s="115" t="str">
        <f t="shared" ca="1" si="14"/>
        <v/>
      </c>
      <c r="L35" s="115" t="str">
        <f t="shared" ca="1" si="14"/>
        <v/>
      </c>
      <c r="M35" s="115" t="str">
        <f t="shared" ca="1" si="14"/>
        <v/>
      </c>
      <c r="N35" s="115" t="str">
        <f t="shared" ca="1" si="14"/>
        <v/>
      </c>
      <c r="O35" s="115" t="str">
        <f t="shared" ca="1" si="14"/>
        <v/>
      </c>
      <c r="P35" s="115" t="str">
        <f t="shared" ca="1" si="14"/>
        <v/>
      </c>
      <c r="Q35" s="115" t="str">
        <f t="shared" ca="1" si="14"/>
        <v/>
      </c>
      <c r="R35" s="115" t="str">
        <f t="shared" ca="1" si="14"/>
        <v/>
      </c>
      <c r="S35" s="115" t="str">
        <f t="shared" ca="1" si="14"/>
        <v/>
      </c>
      <c r="T35" s="115" t="str">
        <f t="shared" ca="1" si="14"/>
        <v/>
      </c>
      <c r="U35" s="115" t="str">
        <f t="shared" ca="1" si="14"/>
        <v/>
      </c>
      <c r="V35" s="115" t="str">
        <f t="shared" ca="1" si="14"/>
        <v/>
      </c>
      <c r="W35" s="115" t="str">
        <f t="shared" ca="1" si="14"/>
        <v/>
      </c>
      <c r="X35" s="115" t="str">
        <f t="shared" ca="1" si="14"/>
        <v/>
      </c>
      <c r="Y35" s="115" t="str">
        <f t="shared" ca="1" si="14"/>
        <v/>
      </c>
      <c r="Z35" s="115" t="str">
        <f t="shared" ca="1" si="14"/>
        <v/>
      </c>
      <c r="AA35" s="115" t="str">
        <f t="shared" ca="1" si="14"/>
        <v/>
      </c>
      <c r="AB35" s="115" t="str">
        <f t="shared" ca="1" si="14"/>
        <v/>
      </c>
      <c r="AC35" s="115" t="str">
        <f t="shared" ca="1" si="14"/>
        <v/>
      </c>
      <c r="AD35" s="115" t="str">
        <f t="shared" ca="1" si="14"/>
        <v/>
      </c>
      <c r="AE35" s="115" t="str">
        <f t="shared" ca="1" si="14"/>
        <v/>
      </c>
      <c r="AF35" s="115" t="str">
        <f t="shared" ca="1" si="14"/>
        <v/>
      </c>
      <c r="AG35" s="115" t="str">
        <f t="shared" ca="1" si="14"/>
        <v/>
      </c>
      <c r="AH35" s="115" t="str">
        <f t="shared" ca="1" si="14"/>
        <v/>
      </c>
      <c r="AI35" s="115" t="str">
        <f t="shared" ca="1" si="14"/>
        <v/>
      </c>
      <c r="AJ35" s="115" t="str">
        <f t="shared" ca="1" si="14"/>
        <v/>
      </c>
      <c r="AK35" s="115" t="str">
        <f t="shared" ca="1" si="14"/>
        <v/>
      </c>
      <c r="AL35" s="115" t="str">
        <f t="shared" ca="1" si="14"/>
        <v/>
      </c>
      <c r="AM35" s="115" t="str">
        <f t="shared" ca="1" si="14"/>
        <v/>
      </c>
      <c r="AN35" s="115" t="str">
        <f t="shared" ca="1" si="14"/>
        <v/>
      </c>
      <c r="AO35" s="115" t="str">
        <f t="shared" ca="1" si="14"/>
        <v/>
      </c>
      <c r="AP35" s="115" t="str">
        <f t="shared" ca="1" si="14"/>
        <v/>
      </c>
      <c r="AQ35" s="115" t="str">
        <f t="shared" ca="1" si="14"/>
        <v/>
      </c>
      <c r="AR35" s="115" t="str">
        <f t="shared" ca="1" si="14"/>
        <v/>
      </c>
      <c r="AS35" s="115" t="str">
        <f t="shared" ca="1" si="14"/>
        <v/>
      </c>
      <c r="AT35" s="115" t="str">
        <f t="shared" ca="1" si="14"/>
        <v/>
      </c>
      <c r="AU35" s="115" t="str">
        <f t="shared" ca="1" si="14"/>
        <v/>
      </c>
      <c r="AV35" s="115" t="str">
        <f t="shared" ca="1" si="14"/>
        <v/>
      </c>
      <c r="AW35" s="115" t="str">
        <f t="shared" ca="1" si="14"/>
        <v/>
      </c>
      <c r="AX35" s="115" t="str">
        <f t="shared" ca="1" si="14"/>
        <v/>
      </c>
      <c r="AY35" s="115" t="str">
        <f t="shared" ca="1" si="14"/>
        <v/>
      </c>
      <c r="AZ35" s="115" t="str">
        <f t="shared" ca="1" si="14"/>
        <v/>
      </c>
      <c r="BA35" s="115" t="str">
        <f t="shared" ca="1" si="14"/>
        <v/>
      </c>
      <c r="BB35" s="115" t="str">
        <f t="shared" ca="1" si="14"/>
        <v/>
      </c>
      <c r="BC35" s="115" t="str">
        <f t="shared" ca="1" si="14"/>
        <v/>
      </c>
      <c r="BD35" s="115" t="str">
        <f t="shared" ca="1" si="14"/>
        <v/>
      </c>
      <c r="BE35" s="115" t="str">
        <f t="shared" ca="1" si="14"/>
        <v/>
      </c>
      <c r="BF35" s="115" t="str">
        <f t="shared" ca="1" si="14"/>
        <v/>
      </c>
      <c r="BG35" s="115" t="str">
        <f t="shared" ca="1" si="14"/>
        <v/>
      </c>
      <c r="BH35" s="115" t="str">
        <f t="shared" ca="1" si="14"/>
        <v/>
      </c>
      <c r="BI35" s="115" t="str">
        <f t="shared" ca="1" si="14"/>
        <v/>
      </c>
      <c r="BJ35" s="115" t="str">
        <f t="shared" ca="1" si="14"/>
        <v/>
      </c>
      <c r="BK35" s="115" t="str">
        <f t="shared" ca="1" si="14"/>
        <v/>
      </c>
      <c r="BL35" s="115" t="str">
        <f t="shared" ca="1" si="14"/>
        <v/>
      </c>
      <c r="BM35" s="115" t="str">
        <f t="shared" ca="1" si="14"/>
        <v/>
      </c>
      <c r="BN35" s="115" t="str">
        <f t="shared" ca="1" si="14"/>
        <v/>
      </c>
      <c r="BO35" s="115" t="str">
        <f t="shared" ref="BO35:CC35" ca="1" si="15">IF(INDIRECT("标准工时表!N"&amp;BO9*8+3)=0,"",INDIRECT("标准工时表!N"&amp;BO9*8+3))</f>
        <v/>
      </c>
      <c r="BP35" s="115" t="str">
        <f t="shared" ca="1" si="15"/>
        <v/>
      </c>
      <c r="BQ35" s="115" t="str">
        <f t="shared" ca="1" si="15"/>
        <v/>
      </c>
      <c r="BR35" s="115" t="str">
        <f t="shared" ca="1" si="15"/>
        <v/>
      </c>
      <c r="BS35" s="115" t="str">
        <f t="shared" ca="1" si="15"/>
        <v/>
      </c>
      <c r="BT35" s="115" t="str">
        <f t="shared" ca="1" si="15"/>
        <v/>
      </c>
      <c r="BU35" s="115" t="str">
        <f t="shared" ca="1" si="15"/>
        <v/>
      </c>
      <c r="BV35" s="115" t="str">
        <f t="shared" ca="1" si="15"/>
        <v/>
      </c>
      <c r="BW35" s="115" t="str">
        <f t="shared" ca="1" si="15"/>
        <v/>
      </c>
      <c r="BX35" s="115" t="str">
        <f t="shared" ca="1" si="15"/>
        <v/>
      </c>
      <c r="BY35" s="115" t="str">
        <f t="shared" ca="1" si="15"/>
        <v/>
      </c>
      <c r="BZ35" s="115" t="str">
        <f t="shared" ca="1" si="15"/>
        <v/>
      </c>
      <c r="CA35" s="115" t="str">
        <f t="shared" ca="1" si="15"/>
        <v/>
      </c>
      <c r="CB35" s="115" t="str">
        <f t="shared" ca="1" si="15"/>
        <v/>
      </c>
      <c r="CC35" s="116" t="str">
        <f t="shared" ca="1" si="15"/>
        <v/>
      </c>
    </row>
    <row r="36" spans="1:85" ht="23.25" customHeight="1">
      <c r="A36" s="112" t="s">
        <v>82</v>
      </c>
      <c r="B36" s="115" t="str">
        <f ca="1">IF(INDIRECT("标准工时表!N"&amp;B9*8+4)=0,"",INDIRECT("标准工时表!N"&amp;B9*8+4))</f>
        <v/>
      </c>
      <c r="C36" s="115" t="str">
        <f t="shared" ref="C36:BN36" ca="1" si="16">IF(INDIRECT("标准工时表!N"&amp;C9*8+4)=0,"",INDIRECT("标准工时表!N"&amp;C9*8+4))</f>
        <v/>
      </c>
      <c r="D36" s="115" t="str">
        <f t="shared" ca="1" si="16"/>
        <v/>
      </c>
      <c r="E36" s="115" t="str">
        <f t="shared" ca="1" si="16"/>
        <v/>
      </c>
      <c r="F36" s="115" t="str">
        <f t="shared" ca="1" si="16"/>
        <v/>
      </c>
      <c r="G36" s="115" t="str">
        <f t="shared" ca="1" si="16"/>
        <v/>
      </c>
      <c r="H36" s="115" t="str">
        <f t="shared" ca="1" si="16"/>
        <v/>
      </c>
      <c r="I36" s="115" t="str">
        <f t="shared" ca="1" si="16"/>
        <v/>
      </c>
      <c r="J36" s="115" t="str">
        <f t="shared" ca="1" si="16"/>
        <v/>
      </c>
      <c r="K36" s="115" t="str">
        <f t="shared" ca="1" si="16"/>
        <v/>
      </c>
      <c r="L36" s="115" t="str">
        <f t="shared" ca="1" si="16"/>
        <v/>
      </c>
      <c r="M36" s="115" t="str">
        <f t="shared" ca="1" si="16"/>
        <v/>
      </c>
      <c r="N36" s="115" t="str">
        <f t="shared" ca="1" si="16"/>
        <v/>
      </c>
      <c r="O36" s="115" t="str">
        <f t="shared" ca="1" si="16"/>
        <v/>
      </c>
      <c r="P36" s="115" t="str">
        <f t="shared" ca="1" si="16"/>
        <v/>
      </c>
      <c r="Q36" s="115" t="str">
        <f t="shared" ca="1" si="16"/>
        <v/>
      </c>
      <c r="R36" s="115" t="str">
        <f t="shared" ca="1" si="16"/>
        <v/>
      </c>
      <c r="S36" s="115" t="str">
        <f t="shared" ca="1" si="16"/>
        <v/>
      </c>
      <c r="T36" s="115" t="str">
        <f t="shared" ca="1" si="16"/>
        <v/>
      </c>
      <c r="U36" s="115" t="str">
        <f t="shared" ca="1" si="16"/>
        <v/>
      </c>
      <c r="V36" s="115" t="str">
        <f t="shared" ca="1" si="16"/>
        <v/>
      </c>
      <c r="W36" s="115" t="str">
        <f t="shared" ca="1" si="16"/>
        <v/>
      </c>
      <c r="X36" s="115" t="str">
        <f t="shared" ca="1" si="16"/>
        <v/>
      </c>
      <c r="Y36" s="115" t="str">
        <f t="shared" ca="1" si="16"/>
        <v/>
      </c>
      <c r="Z36" s="115" t="str">
        <f t="shared" ca="1" si="16"/>
        <v/>
      </c>
      <c r="AA36" s="115" t="str">
        <f t="shared" ca="1" si="16"/>
        <v/>
      </c>
      <c r="AB36" s="115" t="str">
        <f t="shared" ca="1" si="16"/>
        <v/>
      </c>
      <c r="AC36" s="115" t="str">
        <f t="shared" ca="1" si="16"/>
        <v/>
      </c>
      <c r="AD36" s="115" t="str">
        <f t="shared" ca="1" si="16"/>
        <v/>
      </c>
      <c r="AE36" s="115" t="str">
        <f t="shared" ca="1" si="16"/>
        <v/>
      </c>
      <c r="AF36" s="115" t="str">
        <f t="shared" ca="1" si="16"/>
        <v/>
      </c>
      <c r="AG36" s="115" t="str">
        <f t="shared" ca="1" si="16"/>
        <v/>
      </c>
      <c r="AH36" s="115" t="str">
        <f t="shared" ca="1" si="16"/>
        <v/>
      </c>
      <c r="AI36" s="115" t="str">
        <f t="shared" ca="1" si="16"/>
        <v/>
      </c>
      <c r="AJ36" s="115" t="str">
        <f t="shared" ca="1" si="16"/>
        <v/>
      </c>
      <c r="AK36" s="115" t="str">
        <f t="shared" ca="1" si="16"/>
        <v/>
      </c>
      <c r="AL36" s="115" t="str">
        <f t="shared" ca="1" si="16"/>
        <v/>
      </c>
      <c r="AM36" s="115" t="str">
        <f t="shared" ca="1" si="16"/>
        <v/>
      </c>
      <c r="AN36" s="115" t="str">
        <f t="shared" ca="1" si="16"/>
        <v/>
      </c>
      <c r="AO36" s="115" t="str">
        <f t="shared" ca="1" si="16"/>
        <v/>
      </c>
      <c r="AP36" s="115" t="str">
        <f t="shared" ca="1" si="16"/>
        <v/>
      </c>
      <c r="AQ36" s="115" t="str">
        <f t="shared" ca="1" si="16"/>
        <v/>
      </c>
      <c r="AR36" s="115" t="str">
        <f t="shared" ca="1" si="16"/>
        <v/>
      </c>
      <c r="AS36" s="115" t="str">
        <f t="shared" ca="1" si="16"/>
        <v/>
      </c>
      <c r="AT36" s="115" t="str">
        <f t="shared" ca="1" si="16"/>
        <v/>
      </c>
      <c r="AU36" s="115" t="str">
        <f t="shared" ca="1" si="16"/>
        <v/>
      </c>
      <c r="AV36" s="115" t="str">
        <f t="shared" ca="1" si="16"/>
        <v/>
      </c>
      <c r="AW36" s="115" t="str">
        <f t="shared" ca="1" si="16"/>
        <v/>
      </c>
      <c r="AX36" s="115" t="str">
        <f t="shared" ca="1" si="16"/>
        <v/>
      </c>
      <c r="AY36" s="115" t="str">
        <f t="shared" ca="1" si="16"/>
        <v/>
      </c>
      <c r="AZ36" s="115" t="str">
        <f t="shared" ca="1" si="16"/>
        <v/>
      </c>
      <c r="BA36" s="115" t="str">
        <f t="shared" ca="1" si="16"/>
        <v/>
      </c>
      <c r="BB36" s="115" t="str">
        <f t="shared" ca="1" si="16"/>
        <v/>
      </c>
      <c r="BC36" s="115" t="str">
        <f t="shared" ca="1" si="16"/>
        <v/>
      </c>
      <c r="BD36" s="115" t="str">
        <f t="shared" ca="1" si="16"/>
        <v/>
      </c>
      <c r="BE36" s="115" t="str">
        <f t="shared" ca="1" si="16"/>
        <v/>
      </c>
      <c r="BF36" s="115" t="str">
        <f t="shared" ca="1" si="16"/>
        <v/>
      </c>
      <c r="BG36" s="115" t="str">
        <f t="shared" ca="1" si="16"/>
        <v/>
      </c>
      <c r="BH36" s="115" t="str">
        <f t="shared" ca="1" si="16"/>
        <v/>
      </c>
      <c r="BI36" s="115" t="str">
        <f t="shared" ca="1" si="16"/>
        <v/>
      </c>
      <c r="BJ36" s="115" t="str">
        <f t="shared" ca="1" si="16"/>
        <v/>
      </c>
      <c r="BK36" s="115" t="str">
        <f t="shared" ca="1" si="16"/>
        <v/>
      </c>
      <c r="BL36" s="115" t="str">
        <f t="shared" ca="1" si="16"/>
        <v/>
      </c>
      <c r="BM36" s="115" t="str">
        <f t="shared" ca="1" si="16"/>
        <v/>
      </c>
      <c r="BN36" s="115" t="str">
        <f t="shared" ca="1" si="16"/>
        <v/>
      </c>
      <c r="BO36" s="115" t="str">
        <f t="shared" ref="BO36:CC36" ca="1" si="17">IF(INDIRECT("标准工时表!N"&amp;BO9*8+4)=0,"",INDIRECT("标准工时表!N"&amp;BO9*8+4))</f>
        <v/>
      </c>
      <c r="BP36" s="115" t="str">
        <f t="shared" ca="1" si="17"/>
        <v/>
      </c>
      <c r="BQ36" s="115" t="str">
        <f t="shared" ca="1" si="17"/>
        <v/>
      </c>
      <c r="BR36" s="115" t="str">
        <f t="shared" ca="1" si="17"/>
        <v/>
      </c>
      <c r="BS36" s="115" t="str">
        <f t="shared" ca="1" si="17"/>
        <v/>
      </c>
      <c r="BT36" s="115" t="str">
        <f t="shared" ca="1" si="17"/>
        <v/>
      </c>
      <c r="BU36" s="115" t="str">
        <f t="shared" ca="1" si="17"/>
        <v/>
      </c>
      <c r="BV36" s="115" t="str">
        <f t="shared" ca="1" si="17"/>
        <v/>
      </c>
      <c r="BW36" s="115" t="str">
        <f t="shared" ca="1" si="17"/>
        <v/>
      </c>
      <c r="BX36" s="115" t="str">
        <f t="shared" ca="1" si="17"/>
        <v/>
      </c>
      <c r="BY36" s="115" t="str">
        <f t="shared" ca="1" si="17"/>
        <v/>
      </c>
      <c r="BZ36" s="115" t="str">
        <f t="shared" ca="1" si="17"/>
        <v/>
      </c>
      <c r="CA36" s="115" t="str">
        <f t="shared" ca="1" si="17"/>
        <v/>
      </c>
      <c r="CB36" s="115" t="str">
        <f t="shared" ca="1" si="17"/>
        <v/>
      </c>
      <c r="CC36" s="116" t="str">
        <f t="shared" ca="1" si="17"/>
        <v/>
      </c>
    </row>
    <row r="37" spans="1:85" ht="23.25" customHeight="1">
      <c r="A37" s="112" t="s">
        <v>83</v>
      </c>
      <c r="B37" s="115" t="str">
        <f ca="1">IF(INDIRECT("标准工时表!N"&amp;B9*8+5)=0,"",INDIRECT("标准工时表!N"&amp;B9*8+5))</f>
        <v/>
      </c>
      <c r="C37" s="115" t="str">
        <f t="shared" ref="C37:BN37" ca="1" si="18">IF(INDIRECT("标准工时表!N"&amp;C9*8+5)=0,"",INDIRECT("标准工时表!N"&amp;C9*8+5))</f>
        <v/>
      </c>
      <c r="D37" s="115" t="str">
        <f t="shared" ca="1" si="18"/>
        <v/>
      </c>
      <c r="E37" s="115" t="str">
        <f t="shared" ca="1" si="18"/>
        <v/>
      </c>
      <c r="F37" s="115" t="str">
        <f t="shared" ca="1" si="18"/>
        <v/>
      </c>
      <c r="G37" s="115" t="str">
        <f t="shared" ca="1" si="18"/>
        <v/>
      </c>
      <c r="H37" s="115" t="str">
        <f t="shared" ca="1" si="18"/>
        <v/>
      </c>
      <c r="I37" s="115" t="str">
        <f t="shared" ca="1" si="18"/>
        <v/>
      </c>
      <c r="J37" s="115" t="str">
        <f t="shared" ca="1" si="18"/>
        <v/>
      </c>
      <c r="K37" s="115" t="str">
        <f t="shared" ca="1" si="18"/>
        <v/>
      </c>
      <c r="L37" s="115" t="str">
        <f t="shared" ca="1" si="18"/>
        <v/>
      </c>
      <c r="M37" s="115" t="str">
        <f t="shared" ca="1" si="18"/>
        <v/>
      </c>
      <c r="N37" s="115" t="str">
        <f t="shared" ca="1" si="18"/>
        <v/>
      </c>
      <c r="O37" s="115" t="str">
        <f t="shared" ca="1" si="18"/>
        <v/>
      </c>
      <c r="P37" s="115" t="str">
        <f t="shared" ca="1" si="18"/>
        <v/>
      </c>
      <c r="Q37" s="115" t="str">
        <f t="shared" ca="1" si="18"/>
        <v/>
      </c>
      <c r="R37" s="115" t="str">
        <f t="shared" ca="1" si="18"/>
        <v/>
      </c>
      <c r="S37" s="115" t="str">
        <f t="shared" ca="1" si="18"/>
        <v/>
      </c>
      <c r="T37" s="115" t="str">
        <f t="shared" ca="1" si="18"/>
        <v/>
      </c>
      <c r="U37" s="115" t="str">
        <f t="shared" ca="1" si="18"/>
        <v/>
      </c>
      <c r="V37" s="115" t="str">
        <f t="shared" ca="1" si="18"/>
        <v/>
      </c>
      <c r="W37" s="115" t="str">
        <f t="shared" ca="1" si="18"/>
        <v/>
      </c>
      <c r="X37" s="115" t="str">
        <f t="shared" ca="1" si="18"/>
        <v/>
      </c>
      <c r="Y37" s="115" t="str">
        <f t="shared" ca="1" si="18"/>
        <v/>
      </c>
      <c r="Z37" s="115" t="str">
        <f t="shared" ca="1" si="18"/>
        <v/>
      </c>
      <c r="AA37" s="115" t="str">
        <f t="shared" ca="1" si="18"/>
        <v/>
      </c>
      <c r="AB37" s="115" t="str">
        <f t="shared" ca="1" si="18"/>
        <v/>
      </c>
      <c r="AC37" s="115" t="str">
        <f t="shared" ca="1" si="18"/>
        <v/>
      </c>
      <c r="AD37" s="115" t="str">
        <f t="shared" ca="1" si="18"/>
        <v/>
      </c>
      <c r="AE37" s="115" t="str">
        <f t="shared" ca="1" si="18"/>
        <v/>
      </c>
      <c r="AF37" s="115" t="str">
        <f t="shared" ca="1" si="18"/>
        <v/>
      </c>
      <c r="AG37" s="115" t="str">
        <f t="shared" ca="1" si="18"/>
        <v/>
      </c>
      <c r="AH37" s="115" t="str">
        <f t="shared" ca="1" si="18"/>
        <v/>
      </c>
      <c r="AI37" s="115" t="str">
        <f t="shared" ca="1" si="18"/>
        <v/>
      </c>
      <c r="AJ37" s="115" t="str">
        <f t="shared" ca="1" si="18"/>
        <v/>
      </c>
      <c r="AK37" s="115" t="str">
        <f t="shared" ca="1" si="18"/>
        <v/>
      </c>
      <c r="AL37" s="115" t="str">
        <f t="shared" ca="1" si="18"/>
        <v/>
      </c>
      <c r="AM37" s="115" t="str">
        <f t="shared" ca="1" si="18"/>
        <v/>
      </c>
      <c r="AN37" s="115" t="str">
        <f t="shared" ca="1" si="18"/>
        <v/>
      </c>
      <c r="AO37" s="115" t="str">
        <f t="shared" ca="1" si="18"/>
        <v/>
      </c>
      <c r="AP37" s="115" t="str">
        <f t="shared" ca="1" si="18"/>
        <v/>
      </c>
      <c r="AQ37" s="115" t="str">
        <f t="shared" ca="1" si="18"/>
        <v/>
      </c>
      <c r="AR37" s="115" t="str">
        <f t="shared" ca="1" si="18"/>
        <v/>
      </c>
      <c r="AS37" s="115" t="str">
        <f t="shared" ca="1" si="18"/>
        <v/>
      </c>
      <c r="AT37" s="115" t="str">
        <f t="shared" ca="1" si="18"/>
        <v/>
      </c>
      <c r="AU37" s="115" t="str">
        <f t="shared" ca="1" si="18"/>
        <v/>
      </c>
      <c r="AV37" s="115" t="str">
        <f t="shared" ca="1" si="18"/>
        <v/>
      </c>
      <c r="AW37" s="115" t="str">
        <f t="shared" ca="1" si="18"/>
        <v/>
      </c>
      <c r="AX37" s="115" t="str">
        <f t="shared" ca="1" si="18"/>
        <v/>
      </c>
      <c r="AY37" s="115" t="str">
        <f t="shared" ca="1" si="18"/>
        <v/>
      </c>
      <c r="AZ37" s="115" t="str">
        <f t="shared" ca="1" si="18"/>
        <v/>
      </c>
      <c r="BA37" s="115" t="str">
        <f t="shared" ca="1" si="18"/>
        <v/>
      </c>
      <c r="BB37" s="115" t="str">
        <f t="shared" ca="1" si="18"/>
        <v/>
      </c>
      <c r="BC37" s="115" t="str">
        <f t="shared" ca="1" si="18"/>
        <v/>
      </c>
      <c r="BD37" s="115" t="str">
        <f t="shared" ca="1" si="18"/>
        <v/>
      </c>
      <c r="BE37" s="115" t="str">
        <f t="shared" ca="1" si="18"/>
        <v/>
      </c>
      <c r="BF37" s="115" t="str">
        <f t="shared" ca="1" si="18"/>
        <v/>
      </c>
      <c r="BG37" s="115" t="str">
        <f t="shared" ca="1" si="18"/>
        <v/>
      </c>
      <c r="BH37" s="115" t="str">
        <f t="shared" ca="1" si="18"/>
        <v/>
      </c>
      <c r="BI37" s="115" t="str">
        <f t="shared" ca="1" si="18"/>
        <v/>
      </c>
      <c r="BJ37" s="115" t="str">
        <f t="shared" ca="1" si="18"/>
        <v/>
      </c>
      <c r="BK37" s="115" t="str">
        <f t="shared" ca="1" si="18"/>
        <v/>
      </c>
      <c r="BL37" s="115" t="str">
        <f t="shared" ca="1" si="18"/>
        <v/>
      </c>
      <c r="BM37" s="115" t="str">
        <f t="shared" ca="1" si="18"/>
        <v/>
      </c>
      <c r="BN37" s="115" t="str">
        <f t="shared" ca="1" si="18"/>
        <v/>
      </c>
      <c r="BO37" s="115" t="str">
        <f t="shared" ref="BO37:CC37" ca="1" si="19">IF(INDIRECT("标准工时表!N"&amp;BO9*8+5)=0,"",INDIRECT("标准工时表!N"&amp;BO9*8+5))</f>
        <v/>
      </c>
      <c r="BP37" s="115" t="str">
        <f t="shared" ca="1" si="19"/>
        <v/>
      </c>
      <c r="BQ37" s="115" t="str">
        <f t="shared" ca="1" si="19"/>
        <v/>
      </c>
      <c r="BR37" s="115" t="str">
        <f t="shared" ca="1" si="19"/>
        <v/>
      </c>
      <c r="BS37" s="115" t="str">
        <f t="shared" ca="1" si="19"/>
        <v/>
      </c>
      <c r="BT37" s="115" t="str">
        <f t="shared" ca="1" si="19"/>
        <v/>
      </c>
      <c r="BU37" s="115" t="str">
        <f t="shared" ca="1" si="19"/>
        <v/>
      </c>
      <c r="BV37" s="115" t="str">
        <f t="shared" ca="1" si="19"/>
        <v/>
      </c>
      <c r="BW37" s="115" t="str">
        <f t="shared" ca="1" si="19"/>
        <v/>
      </c>
      <c r="BX37" s="115" t="str">
        <f t="shared" ca="1" si="19"/>
        <v/>
      </c>
      <c r="BY37" s="115" t="str">
        <f t="shared" ca="1" si="19"/>
        <v/>
      </c>
      <c r="BZ37" s="115" t="str">
        <f t="shared" ca="1" si="19"/>
        <v/>
      </c>
      <c r="CA37" s="115" t="str">
        <f t="shared" ca="1" si="19"/>
        <v/>
      </c>
      <c r="CB37" s="115" t="str">
        <f t="shared" ca="1" si="19"/>
        <v/>
      </c>
      <c r="CC37" s="116" t="str">
        <f t="shared" ca="1" si="19"/>
        <v/>
      </c>
    </row>
    <row r="38" spans="1:85" ht="23.25" customHeight="1">
      <c r="A38" s="112" t="s">
        <v>84</v>
      </c>
      <c r="B38" s="115" t="str">
        <f ca="1">IF(INDIRECT("标准工时表!N"&amp;B9*8+6)=0,"",INDIRECT("标准工时表!N"&amp;B9*8+6))</f>
        <v/>
      </c>
      <c r="C38" s="115" t="str">
        <f t="shared" ref="C38:BN38" ca="1" si="20">IF(INDIRECT("标准工时表!N"&amp;C9*8+6)=0,"",INDIRECT("标准工时表!N"&amp;C9*8+6))</f>
        <v/>
      </c>
      <c r="D38" s="115" t="str">
        <f t="shared" ca="1" si="20"/>
        <v/>
      </c>
      <c r="E38" s="115" t="str">
        <f t="shared" ca="1" si="20"/>
        <v/>
      </c>
      <c r="F38" s="115" t="str">
        <f t="shared" ca="1" si="20"/>
        <v/>
      </c>
      <c r="G38" s="115" t="str">
        <f t="shared" ca="1" si="20"/>
        <v/>
      </c>
      <c r="H38" s="115" t="str">
        <f t="shared" ca="1" si="20"/>
        <v/>
      </c>
      <c r="I38" s="115" t="str">
        <f t="shared" ca="1" si="20"/>
        <v/>
      </c>
      <c r="J38" s="115" t="str">
        <f t="shared" ca="1" si="20"/>
        <v/>
      </c>
      <c r="K38" s="115" t="str">
        <f t="shared" ca="1" si="20"/>
        <v/>
      </c>
      <c r="L38" s="115" t="str">
        <f t="shared" ca="1" si="20"/>
        <v/>
      </c>
      <c r="M38" s="115" t="str">
        <f t="shared" ca="1" si="20"/>
        <v/>
      </c>
      <c r="N38" s="115" t="str">
        <f t="shared" ca="1" si="20"/>
        <v/>
      </c>
      <c r="O38" s="115" t="str">
        <f t="shared" ca="1" si="20"/>
        <v/>
      </c>
      <c r="P38" s="115" t="str">
        <f t="shared" ca="1" si="20"/>
        <v/>
      </c>
      <c r="Q38" s="115" t="str">
        <f t="shared" ca="1" si="20"/>
        <v/>
      </c>
      <c r="R38" s="115" t="str">
        <f t="shared" ca="1" si="20"/>
        <v/>
      </c>
      <c r="S38" s="115" t="str">
        <f t="shared" ca="1" si="20"/>
        <v/>
      </c>
      <c r="T38" s="115" t="str">
        <f t="shared" ca="1" si="20"/>
        <v/>
      </c>
      <c r="U38" s="115" t="str">
        <f t="shared" ca="1" si="20"/>
        <v/>
      </c>
      <c r="V38" s="115" t="str">
        <f t="shared" ca="1" si="20"/>
        <v/>
      </c>
      <c r="W38" s="115" t="str">
        <f t="shared" ca="1" si="20"/>
        <v/>
      </c>
      <c r="X38" s="115" t="str">
        <f t="shared" ca="1" si="20"/>
        <v/>
      </c>
      <c r="Y38" s="115" t="str">
        <f t="shared" ca="1" si="20"/>
        <v/>
      </c>
      <c r="Z38" s="115" t="str">
        <f t="shared" ca="1" si="20"/>
        <v/>
      </c>
      <c r="AA38" s="115" t="str">
        <f t="shared" ca="1" si="20"/>
        <v/>
      </c>
      <c r="AB38" s="115" t="str">
        <f t="shared" ca="1" si="20"/>
        <v/>
      </c>
      <c r="AC38" s="115" t="str">
        <f t="shared" ca="1" si="20"/>
        <v/>
      </c>
      <c r="AD38" s="115" t="str">
        <f t="shared" ca="1" si="20"/>
        <v/>
      </c>
      <c r="AE38" s="115" t="str">
        <f t="shared" ca="1" si="20"/>
        <v/>
      </c>
      <c r="AF38" s="115" t="str">
        <f t="shared" ca="1" si="20"/>
        <v/>
      </c>
      <c r="AG38" s="115" t="str">
        <f t="shared" ca="1" si="20"/>
        <v/>
      </c>
      <c r="AH38" s="115" t="str">
        <f t="shared" ca="1" si="20"/>
        <v/>
      </c>
      <c r="AI38" s="115" t="str">
        <f t="shared" ca="1" si="20"/>
        <v/>
      </c>
      <c r="AJ38" s="115" t="str">
        <f t="shared" ca="1" si="20"/>
        <v/>
      </c>
      <c r="AK38" s="115" t="str">
        <f t="shared" ca="1" si="20"/>
        <v/>
      </c>
      <c r="AL38" s="115" t="str">
        <f t="shared" ca="1" si="20"/>
        <v/>
      </c>
      <c r="AM38" s="115" t="str">
        <f t="shared" ca="1" si="20"/>
        <v/>
      </c>
      <c r="AN38" s="115" t="str">
        <f t="shared" ca="1" si="20"/>
        <v/>
      </c>
      <c r="AO38" s="115" t="str">
        <f t="shared" ca="1" si="20"/>
        <v/>
      </c>
      <c r="AP38" s="115" t="str">
        <f t="shared" ca="1" si="20"/>
        <v/>
      </c>
      <c r="AQ38" s="115" t="str">
        <f t="shared" ca="1" si="20"/>
        <v/>
      </c>
      <c r="AR38" s="115" t="str">
        <f t="shared" ca="1" si="20"/>
        <v/>
      </c>
      <c r="AS38" s="115" t="str">
        <f t="shared" ca="1" si="20"/>
        <v/>
      </c>
      <c r="AT38" s="115" t="str">
        <f t="shared" ca="1" si="20"/>
        <v/>
      </c>
      <c r="AU38" s="115" t="str">
        <f t="shared" ca="1" si="20"/>
        <v/>
      </c>
      <c r="AV38" s="115" t="str">
        <f t="shared" ca="1" si="20"/>
        <v/>
      </c>
      <c r="AW38" s="115" t="str">
        <f t="shared" ca="1" si="20"/>
        <v/>
      </c>
      <c r="AX38" s="115" t="str">
        <f t="shared" ca="1" si="20"/>
        <v/>
      </c>
      <c r="AY38" s="115" t="str">
        <f t="shared" ca="1" si="20"/>
        <v/>
      </c>
      <c r="AZ38" s="115" t="str">
        <f t="shared" ca="1" si="20"/>
        <v/>
      </c>
      <c r="BA38" s="115" t="str">
        <f t="shared" ca="1" si="20"/>
        <v/>
      </c>
      <c r="BB38" s="115" t="str">
        <f t="shared" ca="1" si="20"/>
        <v/>
      </c>
      <c r="BC38" s="115" t="str">
        <f t="shared" ca="1" si="20"/>
        <v/>
      </c>
      <c r="BD38" s="115" t="str">
        <f t="shared" ca="1" si="20"/>
        <v/>
      </c>
      <c r="BE38" s="115" t="str">
        <f t="shared" ca="1" si="20"/>
        <v/>
      </c>
      <c r="BF38" s="115" t="str">
        <f t="shared" ca="1" si="20"/>
        <v/>
      </c>
      <c r="BG38" s="115" t="str">
        <f t="shared" ca="1" si="20"/>
        <v/>
      </c>
      <c r="BH38" s="115" t="str">
        <f t="shared" ca="1" si="20"/>
        <v/>
      </c>
      <c r="BI38" s="115" t="str">
        <f t="shared" ca="1" si="20"/>
        <v/>
      </c>
      <c r="BJ38" s="115" t="str">
        <f t="shared" ca="1" si="20"/>
        <v/>
      </c>
      <c r="BK38" s="115" t="str">
        <f t="shared" ca="1" si="20"/>
        <v/>
      </c>
      <c r="BL38" s="115" t="str">
        <f t="shared" ca="1" si="20"/>
        <v/>
      </c>
      <c r="BM38" s="115" t="str">
        <f t="shared" ca="1" si="20"/>
        <v/>
      </c>
      <c r="BN38" s="115" t="str">
        <f t="shared" ca="1" si="20"/>
        <v/>
      </c>
      <c r="BO38" s="115" t="str">
        <f t="shared" ref="BO38:CC38" ca="1" si="21">IF(INDIRECT("标准工时表!N"&amp;BO9*8+6)=0,"",INDIRECT("标准工时表!N"&amp;BO9*8+6))</f>
        <v/>
      </c>
      <c r="BP38" s="115" t="str">
        <f t="shared" ca="1" si="21"/>
        <v/>
      </c>
      <c r="BQ38" s="115" t="str">
        <f t="shared" ca="1" si="21"/>
        <v/>
      </c>
      <c r="BR38" s="115" t="str">
        <f t="shared" ca="1" si="21"/>
        <v/>
      </c>
      <c r="BS38" s="115" t="str">
        <f t="shared" ca="1" si="21"/>
        <v/>
      </c>
      <c r="BT38" s="115" t="str">
        <f t="shared" ca="1" si="21"/>
        <v/>
      </c>
      <c r="BU38" s="115" t="str">
        <f t="shared" ca="1" si="21"/>
        <v/>
      </c>
      <c r="BV38" s="115" t="str">
        <f t="shared" ca="1" si="21"/>
        <v/>
      </c>
      <c r="BW38" s="115" t="str">
        <f t="shared" ca="1" si="21"/>
        <v/>
      </c>
      <c r="BX38" s="115" t="str">
        <f t="shared" ca="1" si="21"/>
        <v/>
      </c>
      <c r="BY38" s="115" t="str">
        <f t="shared" ca="1" si="21"/>
        <v/>
      </c>
      <c r="BZ38" s="115" t="str">
        <f t="shared" ca="1" si="21"/>
        <v/>
      </c>
      <c r="CA38" s="115" t="str">
        <f t="shared" ca="1" si="21"/>
        <v/>
      </c>
      <c r="CB38" s="115" t="str">
        <f t="shared" ca="1" si="21"/>
        <v/>
      </c>
      <c r="CC38" s="116" t="str">
        <f t="shared" ca="1" si="21"/>
        <v/>
      </c>
    </row>
    <row r="39" spans="1:85" ht="23.25" customHeight="1">
      <c r="A39" s="117" t="s">
        <v>85</v>
      </c>
      <c r="B39" s="118" t="str">
        <f t="shared" ref="B39:J39" ca="1" si="22">IF(INDIRECT("标准工时表!O"&amp;B9*8-1)=0,"",INDIRECT("标准工时表!O"&amp;B9*8-1))</f>
        <v/>
      </c>
      <c r="C39" s="118" t="str">
        <f t="shared" ca="1" si="22"/>
        <v/>
      </c>
      <c r="D39" s="118" t="str">
        <f t="shared" ca="1" si="22"/>
        <v/>
      </c>
      <c r="E39" s="118" t="str">
        <f t="shared" ca="1" si="22"/>
        <v/>
      </c>
      <c r="F39" s="118" t="str">
        <f t="shared" ca="1" si="22"/>
        <v/>
      </c>
      <c r="G39" s="118" t="str">
        <f t="shared" ca="1" si="22"/>
        <v/>
      </c>
      <c r="H39" s="118" t="str">
        <f t="shared" ca="1" si="22"/>
        <v/>
      </c>
      <c r="I39" s="118" t="str">
        <f t="shared" ca="1" si="22"/>
        <v/>
      </c>
      <c r="J39" s="118" t="str">
        <f t="shared" ca="1" si="22"/>
        <v/>
      </c>
      <c r="K39" s="118" t="str">
        <f t="shared" ref="K39:CC39" ca="1" si="23">IF(INDIRECT("标准工时表!O"&amp;K9*8-1)=0,"",INDIRECT("标准工时表!O"&amp;K9*8-1))</f>
        <v/>
      </c>
      <c r="L39" s="118" t="str">
        <f t="shared" ca="1" si="23"/>
        <v/>
      </c>
      <c r="M39" s="118" t="str">
        <f t="shared" ca="1" si="23"/>
        <v/>
      </c>
      <c r="N39" s="118" t="str">
        <f t="shared" ca="1" si="23"/>
        <v/>
      </c>
      <c r="O39" s="118" t="str">
        <f t="shared" ca="1" si="23"/>
        <v/>
      </c>
      <c r="P39" s="118" t="str">
        <f t="shared" ca="1" si="23"/>
        <v/>
      </c>
      <c r="Q39" s="118" t="str">
        <f t="shared" ca="1" si="23"/>
        <v/>
      </c>
      <c r="R39" s="118" t="str">
        <f t="shared" ref="R39:Y39" ca="1" si="24">IF(INDIRECT("标准工时表!O"&amp;R9*8-1)=0,"",INDIRECT("标准工时表!O"&amp;R9*8-1))</f>
        <v/>
      </c>
      <c r="S39" s="118" t="str">
        <f t="shared" ca="1" si="24"/>
        <v/>
      </c>
      <c r="T39" s="118" t="str">
        <f t="shared" ca="1" si="24"/>
        <v/>
      </c>
      <c r="U39" s="118" t="str">
        <f t="shared" ca="1" si="24"/>
        <v/>
      </c>
      <c r="V39" s="118" t="str">
        <f t="shared" ca="1" si="24"/>
        <v/>
      </c>
      <c r="W39" s="118" t="str">
        <f t="shared" ca="1" si="24"/>
        <v/>
      </c>
      <c r="X39" s="118" t="str">
        <f t="shared" ca="1" si="24"/>
        <v/>
      </c>
      <c r="Y39" s="118" t="str">
        <f t="shared" ca="1" si="24"/>
        <v/>
      </c>
      <c r="Z39" s="118" t="str">
        <f t="shared" ca="1" si="23"/>
        <v/>
      </c>
      <c r="AA39" s="118" t="str">
        <f t="shared" ca="1" si="23"/>
        <v/>
      </c>
      <c r="AB39" s="118" t="str">
        <f t="shared" ca="1" si="23"/>
        <v/>
      </c>
      <c r="AC39" s="118" t="str">
        <f t="shared" ca="1" si="23"/>
        <v/>
      </c>
      <c r="AD39" s="118" t="str">
        <f t="shared" ca="1" si="23"/>
        <v/>
      </c>
      <c r="AE39" s="118" t="str">
        <f t="shared" ca="1" si="23"/>
        <v/>
      </c>
      <c r="AF39" s="118" t="str">
        <f t="shared" ca="1" si="23"/>
        <v/>
      </c>
      <c r="AG39" s="118" t="str">
        <f t="shared" ca="1" si="23"/>
        <v/>
      </c>
      <c r="AH39" s="118" t="str">
        <f t="shared" ca="1" si="23"/>
        <v/>
      </c>
      <c r="AI39" s="118" t="str">
        <f t="shared" ca="1" si="23"/>
        <v/>
      </c>
      <c r="AJ39" s="118" t="str">
        <f t="shared" ca="1" si="23"/>
        <v/>
      </c>
      <c r="AK39" s="118" t="str">
        <f t="shared" ca="1" si="23"/>
        <v/>
      </c>
      <c r="AL39" s="118" t="str">
        <f t="shared" ca="1" si="23"/>
        <v/>
      </c>
      <c r="AM39" s="118" t="str">
        <f t="shared" ca="1" si="23"/>
        <v/>
      </c>
      <c r="AN39" s="118" t="str">
        <f t="shared" ca="1" si="23"/>
        <v/>
      </c>
      <c r="AO39" s="118" t="str">
        <f t="shared" ca="1" si="23"/>
        <v/>
      </c>
      <c r="AP39" s="118" t="str">
        <f t="shared" ca="1" si="23"/>
        <v/>
      </c>
      <c r="AQ39" s="118" t="str">
        <f t="shared" ca="1" si="23"/>
        <v/>
      </c>
      <c r="AR39" s="118" t="str">
        <f t="shared" ca="1" si="23"/>
        <v/>
      </c>
      <c r="AS39" s="118" t="str">
        <f t="shared" ca="1" si="23"/>
        <v/>
      </c>
      <c r="AT39" s="118" t="str">
        <f t="shared" ca="1" si="23"/>
        <v/>
      </c>
      <c r="AU39" s="118" t="str">
        <f t="shared" ca="1" si="23"/>
        <v/>
      </c>
      <c r="AV39" s="118" t="str">
        <f t="shared" ca="1" si="23"/>
        <v/>
      </c>
      <c r="AW39" s="118" t="str">
        <f t="shared" ca="1" si="23"/>
        <v/>
      </c>
      <c r="AX39" s="118" t="str">
        <f t="shared" ca="1" si="23"/>
        <v/>
      </c>
      <c r="AY39" s="118" t="str">
        <f t="shared" ca="1" si="23"/>
        <v/>
      </c>
      <c r="AZ39" s="118" t="str">
        <f t="shared" ca="1" si="23"/>
        <v/>
      </c>
      <c r="BA39" s="118" t="str">
        <f t="shared" ca="1" si="23"/>
        <v/>
      </c>
      <c r="BB39" s="118" t="str">
        <f t="shared" ca="1" si="23"/>
        <v/>
      </c>
      <c r="BC39" s="118" t="str">
        <f t="shared" ca="1" si="23"/>
        <v/>
      </c>
      <c r="BD39" s="118" t="str">
        <f t="shared" ca="1" si="23"/>
        <v/>
      </c>
      <c r="BE39" s="118" t="str">
        <f t="shared" ca="1" si="23"/>
        <v/>
      </c>
      <c r="BF39" s="118" t="str">
        <f t="shared" ca="1" si="23"/>
        <v/>
      </c>
      <c r="BG39" s="118" t="str">
        <f t="shared" ca="1" si="23"/>
        <v/>
      </c>
      <c r="BH39" s="118" t="str">
        <f t="shared" ca="1" si="23"/>
        <v/>
      </c>
      <c r="BI39" s="118" t="str">
        <f t="shared" ca="1" si="23"/>
        <v/>
      </c>
      <c r="BJ39" s="118" t="str">
        <f t="shared" ca="1" si="23"/>
        <v/>
      </c>
      <c r="BK39" s="118" t="str">
        <f t="shared" ca="1" si="23"/>
        <v/>
      </c>
      <c r="BL39" s="118" t="str">
        <f t="shared" ca="1" si="23"/>
        <v/>
      </c>
      <c r="BM39" s="118" t="str">
        <f t="shared" ca="1" si="23"/>
        <v/>
      </c>
      <c r="BN39" s="119" t="str">
        <f t="shared" ca="1" si="23"/>
        <v/>
      </c>
      <c r="BO39" s="119" t="str">
        <f t="shared" ca="1" si="23"/>
        <v/>
      </c>
      <c r="BP39" s="119" t="str">
        <f t="shared" ca="1" si="23"/>
        <v/>
      </c>
      <c r="BQ39" s="119" t="str">
        <f t="shared" ca="1" si="23"/>
        <v/>
      </c>
      <c r="BR39" s="119" t="str">
        <f t="shared" ca="1" si="23"/>
        <v/>
      </c>
      <c r="BS39" s="119" t="str">
        <f t="shared" ca="1" si="23"/>
        <v/>
      </c>
      <c r="BT39" s="119" t="str">
        <f t="shared" ca="1" si="23"/>
        <v/>
      </c>
      <c r="BU39" s="119" t="str">
        <f t="shared" ca="1" si="23"/>
        <v/>
      </c>
      <c r="BV39" s="119" t="str">
        <f t="shared" ca="1" si="23"/>
        <v/>
      </c>
      <c r="BW39" s="119" t="str">
        <f t="shared" ca="1" si="23"/>
        <v/>
      </c>
      <c r="BX39" s="119" t="str">
        <f t="shared" ca="1" si="23"/>
        <v/>
      </c>
      <c r="BY39" s="119" t="str">
        <f t="shared" ca="1" si="23"/>
        <v/>
      </c>
      <c r="BZ39" s="119" t="str">
        <f t="shared" ca="1" si="23"/>
        <v/>
      </c>
      <c r="CA39" s="119" t="str">
        <f t="shared" ca="1" si="23"/>
        <v/>
      </c>
      <c r="CB39" s="119" t="str">
        <f t="shared" ca="1" si="23"/>
        <v/>
      </c>
      <c r="CC39" s="120" t="str">
        <f t="shared" ca="1" si="23"/>
        <v/>
      </c>
      <c r="CG39" s="93"/>
    </row>
    <row r="41" spans="1:85" s="92" customFormat="1" ht="18" customHeight="1">
      <c r="A41" s="121" t="s">
        <v>86</v>
      </c>
      <c r="B41" s="122" t="e">
        <f t="shared" ref="B41:J41" si="25">$CF$3</f>
        <v>#DIV/0!</v>
      </c>
      <c r="C41" s="122" t="e">
        <f t="shared" si="25"/>
        <v>#DIV/0!</v>
      </c>
      <c r="D41" s="122" t="e">
        <f t="shared" si="25"/>
        <v>#DIV/0!</v>
      </c>
      <c r="E41" s="122" t="e">
        <f t="shared" si="25"/>
        <v>#DIV/0!</v>
      </c>
      <c r="F41" s="122" t="e">
        <f t="shared" si="25"/>
        <v>#DIV/0!</v>
      </c>
      <c r="G41" s="122" t="e">
        <f t="shared" si="25"/>
        <v>#DIV/0!</v>
      </c>
      <c r="H41" s="122" t="e">
        <f t="shared" si="25"/>
        <v>#DIV/0!</v>
      </c>
      <c r="I41" s="122" t="e">
        <f t="shared" si="25"/>
        <v>#DIV/0!</v>
      </c>
      <c r="J41" s="122" t="e">
        <f t="shared" si="25"/>
        <v>#DIV/0!</v>
      </c>
      <c r="K41" s="122" t="e">
        <f t="shared" ref="K41:CC41" si="26">$CF$3</f>
        <v>#DIV/0!</v>
      </c>
      <c r="L41" s="122" t="e">
        <f t="shared" si="26"/>
        <v>#DIV/0!</v>
      </c>
      <c r="M41" s="122" t="e">
        <f t="shared" si="26"/>
        <v>#DIV/0!</v>
      </c>
      <c r="N41" s="122" t="e">
        <f t="shared" si="26"/>
        <v>#DIV/0!</v>
      </c>
      <c r="O41" s="122" t="e">
        <f t="shared" si="26"/>
        <v>#DIV/0!</v>
      </c>
      <c r="P41" s="122" t="e">
        <f t="shared" si="26"/>
        <v>#DIV/0!</v>
      </c>
      <c r="Q41" s="122" t="e">
        <f t="shared" si="26"/>
        <v>#DIV/0!</v>
      </c>
      <c r="R41" s="122" t="e">
        <f t="shared" si="26"/>
        <v>#DIV/0!</v>
      </c>
      <c r="S41" s="122" t="e">
        <f t="shared" si="26"/>
        <v>#DIV/0!</v>
      </c>
      <c r="T41" s="122" t="e">
        <f t="shared" si="26"/>
        <v>#DIV/0!</v>
      </c>
      <c r="U41" s="122" t="e">
        <f t="shared" si="26"/>
        <v>#DIV/0!</v>
      </c>
      <c r="V41" s="122" t="e">
        <f t="shared" si="26"/>
        <v>#DIV/0!</v>
      </c>
      <c r="W41" s="122" t="e">
        <f t="shared" si="26"/>
        <v>#DIV/0!</v>
      </c>
      <c r="X41" s="122" t="e">
        <f t="shared" si="26"/>
        <v>#DIV/0!</v>
      </c>
      <c r="Y41" s="122" t="e">
        <f t="shared" si="26"/>
        <v>#DIV/0!</v>
      </c>
      <c r="Z41" s="122" t="e">
        <f t="shared" si="26"/>
        <v>#DIV/0!</v>
      </c>
      <c r="AA41" s="122" t="e">
        <f t="shared" si="26"/>
        <v>#DIV/0!</v>
      </c>
      <c r="AB41" s="122" t="e">
        <f t="shared" si="26"/>
        <v>#DIV/0!</v>
      </c>
      <c r="AC41" s="122" t="e">
        <f t="shared" si="26"/>
        <v>#DIV/0!</v>
      </c>
      <c r="AD41" s="122" t="e">
        <f t="shared" si="26"/>
        <v>#DIV/0!</v>
      </c>
      <c r="AE41" s="122" t="e">
        <f t="shared" si="26"/>
        <v>#DIV/0!</v>
      </c>
      <c r="AF41" s="122" t="e">
        <f t="shared" si="26"/>
        <v>#DIV/0!</v>
      </c>
      <c r="AG41" s="122" t="e">
        <f t="shared" si="26"/>
        <v>#DIV/0!</v>
      </c>
      <c r="AH41" s="122" t="e">
        <f t="shared" si="26"/>
        <v>#DIV/0!</v>
      </c>
      <c r="AI41" s="122" t="e">
        <f t="shared" si="26"/>
        <v>#DIV/0!</v>
      </c>
      <c r="AJ41" s="122" t="e">
        <f t="shared" si="26"/>
        <v>#DIV/0!</v>
      </c>
      <c r="AK41" s="122" t="e">
        <f t="shared" si="26"/>
        <v>#DIV/0!</v>
      </c>
      <c r="AL41" s="122" t="e">
        <f t="shared" si="26"/>
        <v>#DIV/0!</v>
      </c>
      <c r="AM41" s="122" t="e">
        <f t="shared" si="26"/>
        <v>#DIV/0!</v>
      </c>
      <c r="AN41" s="122" t="e">
        <f t="shared" si="26"/>
        <v>#DIV/0!</v>
      </c>
      <c r="AO41" s="122" t="e">
        <f t="shared" si="26"/>
        <v>#DIV/0!</v>
      </c>
      <c r="AP41" s="122" t="e">
        <f t="shared" si="26"/>
        <v>#DIV/0!</v>
      </c>
      <c r="AQ41" s="122" t="e">
        <f t="shared" si="26"/>
        <v>#DIV/0!</v>
      </c>
      <c r="AR41" s="122" t="e">
        <f t="shared" si="26"/>
        <v>#DIV/0!</v>
      </c>
      <c r="AS41" s="122" t="e">
        <f t="shared" si="26"/>
        <v>#DIV/0!</v>
      </c>
      <c r="AT41" s="122" t="e">
        <f t="shared" si="26"/>
        <v>#DIV/0!</v>
      </c>
      <c r="AU41" s="122" t="e">
        <f t="shared" si="26"/>
        <v>#DIV/0!</v>
      </c>
      <c r="AV41" s="122" t="e">
        <f t="shared" si="26"/>
        <v>#DIV/0!</v>
      </c>
      <c r="AW41" s="122" t="e">
        <f t="shared" si="26"/>
        <v>#DIV/0!</v>
      </c>
      <c r="AX41" s="122" t="e">
        <f t="shared" si="26"/>
        <v>#DIV/0!</v>
      </c>
      <c r="AY41" s="122" t="e">
        <f t="shared" si="26"/>
        <v>#DIV/0!</v>
      </c>
      <c r="AZ41" s="122" t="e">
        <f t="shared" si="26"/>
        <v>#DIV/0!</v>
      </c>
      <c r="BA41" s="122" t="e">
        <f t="shared" si="26"/>
        <v>#DIV/0!</v>
      </c>
      <c r="BB41" s="122" t="e">
        <f t="shared" si="26"/>
        <v>#DIV/0!</v>
      </c>
      <c r="BC41" s="122" t="e">
        <f t="shared" si="26"/>
        <v>#DIV/0!</v>
      </c>
      <c r="BD41" s="122" t="e">
        <f t="shared" si="26"/>
        <v>#DIV/0!</v>
      </c>
      <c r="BE41" s="122" t="e">
        <f t="shared" si="26"/>
        <v>#DIV/0!</v>
      </c>
      <c r="BF41" s="122" t="e">
        <f t="shared" si="26"/>
        <v>#DIV/0!</v>
      </c>
      <c r="BG41" s="122" t="e">
        <f t="shared" si="26"/>
        <v>#DIV/0!</v>
      </c>
      <c r="BH41" s="122" t="e">
        <f t="shared" si="26"/>
        <v>#DIV/0!</v>
      </c>
      <c r="BI41" s="122" t="e">
        <f t="shared" si="26"/>
        <v>#DIV/0!</v>
      </c>
      <c r="BJ41" s="122" t="e">
        <f t="shared" si="26"/>
        <v>#DIV/0!</v>
      </c>
      <c r="BK41" s="122" t="e">
        <f t="shared" si="26"/>
        <v>#DIV/0!</v>
      </c>
      <c r="BL41" s="122" t="e">
        <f t="shared" si="26"/>
        <v>#DIV/0!</v>
      </c>
      <c r="BM41" s="122" t="e">
        <f t="shared" si="26"/>
        <v>#DIV/0!</v>
      </c>
      <c r="BN41" s="122" t="e">
        <f t="shared" si="26"/>
        <v>#DIV/0!</v>
      </c>
      <c r="BO41" s="122" t="e">
        <f t="shared" si="26"/>
        <v>#DIV/0!</v>
      </c>
      <c r="BP41" s="122" t="e">
        <f t="shared" si="26"/>
        <v>#DIV/0!</v>
      </c>
      <c r="BQ41" s="122" t="e">
        <f t="shared" si="26"/>
        <v>#DIV/0!</v>
      </c>
      <c r="BR41" s="122" t="e">
        <f t="shared" si="26"/>
        <v>#DIV/0!</v>
      </c>
      <c r="BS41" s="122" t="e">
        <f t="shared" si="26"/>
        <v>#DIV/0!</v>
      </c>
      <c r="BT41" s="122" t="e">
        <f t="shared" si="26"/>
        <v>#DIV/0!</v>
      </c>
      <c r="BU41" s="122" t="e">
        <f t="shared" si="26"/>
        <v>#DIV/0!</v>
      </c>
      <c r="BV41" s="122" t="e">
        <f t="shared" si="26"/>
        <v>#DIV/0!</v>
      </c>
      <c r="BW41" s="122" t="e">
        <f t="shared" si="26"/>
        <v>#DIV/0!</v>
      </c>
      <c r="BX41" s="122" t="e">
        <f t="shared" si="26"/>
        <v>#DIV/0!</v>
      </c>
      <c r="BY41" s="122" t="e">
        <f t="shared" si="26"/>
        <v>#DIV/0!</v>
      </c>
      <c r="BZ41" s="122" t="e">
        <f t="shared" si="26"/>
        <v>#DIV/0!</v>
      </c>
      <c r="CA41" s="122" t="e">
        <f t="shared" si="26"/>
        <v>#DIV/0!</v>
      </c>
      <c r="CB41" s="122" t="e">
        <f t="shared" si="26"/>
        <v>#DIV/0!</v>
      </c>
      <c r="CC41" s="122" t="e">
        <f t="shared" si="26"/>
        <v>#DIV/0!</v>
      </c>
      <c r="CE41" s="123"/>
      <c r="CF41" s="121"/>
      <c r="CG41" s="121"/>
    </row>
    <row r="42" spans="1:85" s="92" customFormat="1" ht="18" customHeight="1">
      <c r="A42" s="121" t="s">
        <v>87</v>
      </c>
      <c r="B42" s="124" t="str">
        <f t="shared" ref="B42:J42" ca="1" si="27">$CF$4</f>
        <v/>
      </c>
      <c r="C42" s="124" t="str">
        <f t="shared" ca="1" si="27"/>
        <v/>
      </c>
      <c r="D42" s="124" t="str">
        <f t="shared" ca="1" si="27"/>
        <v/>
      </c>
      <c r="E42" s="124" t="str">
        <f t="shared" ca="1" si="27"/>
        <v/>
      </c>
      <c r="F42" s="124" t="str">
        <f t="shared" ca="1" si="27"/>
        <v/>
      </c>
      <c r="G42" s="124" t="str">
        <f t="shared" ca="1" si="27"/>
        <v/>
      </c>
      <c r="H42" s="124" t="str">
        <f t="shared" ca="1" si="27"/>
        <v/>
      </c>
      <c r="I42" s="124" t="str">
        <f t="shared" ca="1" si="27"/>
        <v/>
      </c>
      <c r="J42" s="124" t="str">
        <f t="shared" ca="1" si="27"/>
        <v/>
      </c>
      <c r="K42" s="124" t="str">
        <f t="shared" ref="K42:CC42" ca="1" si="28">$CF$4</f>
        <v/>
      </c>
      <c r="L42" s="124" t="str">
        <f t="shared" ca="1" si="28"/>
        <v/>
      </c>
      <c r="M42" s="124" t="str">
        <f t="shared" ca="1" si="28"/>
        <v/>
      </c>
      <c r="N42" s="124" t="str">
        <f t="shared" ca="1" si="28"/>
        <v/>
      </c>
      <c r="O42" s="124" t="str">
        <f t="shared" ca="1" si="28"/>
        <v/>
      </c>
      <c r="P42" s="124" t="str">
        <f t="shared" ca="1" si="28"/>
        <v/>
      </c>
      <c r="Q42" s="124" t="str">
        <f t="shared" ca="1" si="28"/>
        <v/>
      </c>
      <c r="R42" s="124" t="str">
        <f t="shared" ca="1" si="28"/>
        <v/>
      </c>
      <c r="S42" s="124" t="str">
        <f t="shared" ca="1" si="28"/>
        <v/>
      </c>
      <c r="T42" s="124" t="str">
        <f t="shared" ca="1" si="28"/>
        <v/>
      </c>
      <c r="U42" s="124" t="str">
        <f t="shared" ca="1" si="28"/>
        <v/>
      </c>
      <c r="V42" s="124" t="str">
        <f t="shared" ca="1" si="28"/>
        <v/>
      </c>
      <c r="W42" s="124" t="str">
        <f t="shared" ca="1" si="28"/>
        <v/>
      </c>
      <c r="X42" s="124" t="str">
        <f t="shared" ca="1" si="28"/>
        <v/>
      </c>
      <c r="Y42" s="124" t="str">
        <f t="shared" ca="1" si="28"/>
        <v/>
      </c>
      <c r="Z42" s="124" t="str">
        <f t="shared" ca="1" si="28"/>
        <v/>
      </c>
      <c r="AA42" s="124" t="str">
        <f t="shared" ca="1" si="28"/>
        <v/>
      </c>
      <c r="AB42" s="124" t="str">
        <f t="shared" ca="1" si="28"/>
        <v/>
      </c>
      <c r="AC42" s="124" t="str">
        <f t="shared" ca="1" si="28"/>
        <v/>
      </c>
      <c r="AD42" s="124" t="str">
        <f t="shared" ca="1" si="28"/>
        <v/>
      </c>
      <c r="AE42" s="124" t="str">
        <f t="shared" ca="1" si="28"/>
        <v/>
      </c>
      <c r="AF42" s="124" t="str">
        <f t="shared" ca="1" si="28"/>
        <v/>
      </c>
      <c r="AG42" s="124" t="str">
        <f t="shared" ca="1" si="28"/>
        <v/>
      </c>
      <c r="AH42" s="124" t="str">
        <f t="shared" ca="1" si="28"/>
        <v/>
      </c>
      <c r="AI42" s="124" t="str">
        <f t="shared" ca="1" si="28"/>
        <v/>
      </c>
      <c r="AJ42" s="124" t="str">
        <f t="shared" ca="1" si="28"/>
        <v/>
      </c>
      <c r="AK42" s="124" t="str">
        <f t="shared" ca="1" si="28"/>
        <v/>
      </c>
      <c r="AL42" s="124" t="str">
        <f t="shared" ca="1" si="28"/>
        <v/>
      </c>
      <c r="AM42" s="124" t="str">
        <f t="shared" ca="1" si="28"/>
        <v/>
      </c>
      <c r="AN42" s="124" t="str">
        <f t="shared" ca="1" si="28"/>
        <v/>
      </c>
      <c r="AO42" s="124" t="str">
        <f t="shared" ca="1" si="28"/>
        <v/>
      </c>
      <c r="AP42" s="124" t="str">
        <f t="shared" ca="1" si="28"/>
        <v/>
      </c>
      <c r="AQ42" s="124" t="str">
        <f t="shared" ca="1" si="28"/>
        <v/>
      </c>
      <c r="AR42" s="124" t="str">
        <f t="shared" ca="1" si="28"/>
        <v/>
      </c>
      <c r="AS42" s="124" t="str">
        <f t="shared" ca="1" si="28"/>
        <v/>
      </c>
      <c r="AT42" s="124" t="str">
        <f t="shared" ca="1" si="28"/>
        <v/>
      </c>
      <c r="AU42" s="124" t="str">
        <f t="shared" ca="1" si="28"/>
        <v/>
      </c>
      <c r="AV42" s="124" t="str">
        <f t="shared" ca="1" si="28"/>
        <v/>
      </c>
      <c r="AW42" s="124" t="str">
        <f t="shared" ca="1" si="28"/>
        <v/>
      </c>
      <c r="AX42" s="124" t="str">
        <f t="shared" ca="1" si="28"/>
        <v/>
      </c>
      <c r="AY42" s="124" t="str">
        <f t="shared" ca="1" si="28"/>
        <v/>
      </c>
      <c r="AZ42" s="124" t="str">
        <f t="shared" ca="1" si="28"/>
        <v/>
      </c>
      <c r="BA42" s="124" t="str">
        <f t="shared" ca="1" si="28"/>
        <v/>
      </c>
      <c r="BB42" s="124" t="str">
        <f t="shared" ca="1" si="28"/>
        <v/>
      </c>
      <c r="BC42" s="124" t="str">
        <f t="shared" ca="1" si="28"/>
        <v/>
      </c>
      <c r="BD42" s="124" t="str">
        <f t="shared" ca="1" si="28"/>
        <v/>
      </c>
      <c r="BE42" s="124" t="str">
        <f t="shared" ca="1" si="28"/>
        <v/>
      </c>
      <c r="BF42" s="124" t="str">
        <f t="shared" ca="1" si="28"/>
        <v/>
      </c>
      <c r="BG42" s="124" t="str">
        <f t="shared" ca="1" si="28"/>
        <v/>
      </c>
      <c r="BH42" s="124" t="str">
        <f t="shared" ca="1" si="28"/>
        <v/>
      </c>
      <c r="BI42" s="124" t="str">
        <f t="shared" ca="1" si="28"/>
        <v/>
      </c>
      <c r="BJ42" s="124" t="str">
        <f t="shared" ca="1" si="28"/>
        <v/>
      </c>
      <c r="BK42" s="124" t="str">
        <f t="shared" ca="1" si="28"/>
        <v/>
      </c>
      <c r="BL42" s="124" t="str">
        <f t="shared" ca="1" si="28"/>
        <v/>
      </c>
      <c r="BM42" s="124" t="str">
        <f t="shared" ca="1" si="28"/>
        <v/>
      </c>
      <c r="BN42" s="124" t="str">
        <f t="shared" ca="1" si="28"/>
        <v/>
      </c>
      <c r="BO42" s="124" t="str">
        <f t="shared" ca="1" si="28"/>
        <v/>
      </c>
      <c r="BP42" s="124" t="str">
        <f t="shared" ca="1" si="28"/>
        <v/>
      </c>
      <c r="BQ42" s="124" t="str">
        <f t="shared" ca="1" si="28"/>
        <v/>
      </c>
      <c r="BR42" s="124" t="str">
        <f t="shared" ca="1" si="28"/>
        <v/>
      </c>
      <c r="BS42" s="124" t="str">
        <f t="shared" ca="1" si="28"/>
        <v/>
      </c>
      <c r="BT42" s="124" t="str">
        <f t="shared" ca="1" si="28"/>
        <v/>
      </c>
      <c r="BU42" s="124" t="str">
        <f t="shared" ca="1" si="28"/>
        <v/>
      </c>
      <c r="BV42" s="124" t="str">
        <f t="shared" ca="1" si="28"/>
        <v/>
      </c>
      <c r="BW42" s="124" t="str">
        <f t="shared" ca="1" si="28"/>
        <v/>
      </c>
      <c r="BX42" s="124" t="str">
        <f t="shared" ca="1" si="28"/>
        <v/>
      </c>
      <c r="BY42" s="124" t="str">
        <f t="shared" ca="1" si="28"/>
        <v/>
      </c>
      <c r="BZ42" s="124" t="str">
        <f t="shared" ca="1" si="28"/>
        <v/>
      </c>
      <c r="CA42" s="124" t="str">
        <f t="shared" ca="1" si="28"/>
        <v/>
      </c>
      <c r="CB42" s="124" t="str">
        <f t="shared" ca="1" si="28"/>
        <v/>
      </c>
      <c r="CC42" s="124" t="str">
        <f t="shared" ca="1" si="28"/>
        <v/>
      </c>
      <c r="CE42" s="121"/>
      <c r="CF42" s="121"/>
      <c r="CG42" s="121"/>
    </row>
  </sheetData>
  <mergeCells count="2">
    <mergeCell ref="CE12:CF13"/>
    <mergeCell ref="CE14:CF27"/>
  </mergeCells>
  <phoneticPr fontId="93" type="noConversion"/>
  <pageMargins left="0.75" right="0.75" top="1" bottom="1" header="0.5" footer="0.5"/>
  <pageSetup paperSize="9" orientation="portrait" horizontalDpi="1200" verticalDpi="12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T141"/>
  <sheetViews>
    <sheetView showGridLines="0" zoomScale="60" zoomScaleNormal="60" zoomScaleSheetLayoutView="70" workbookViewId="0">
      <pane ySplit="5" topLeftCell="A88" activePane="bottomLeft" state="frozen"/>
      <selection pane="bottomLeft" activeCell="Q87" sqref="Q87:Q89"/>
    </sheetView>
  </sheetViews>
  <sheetFormatPr defaultColWidth="9" defaultRowHeight="15"/>
  <cols>
    <col min="1" max="1" width="7.33203125" style="76" customWidth="1"/>
    <col min="2" max="2" width="14.88671875" style="77" customWidth="1"/>
    <col min="3" max="3" width="7" style="77" customWidth="1"/>
    <col min="4" max="4" width="8.33203125" style="77" customWidth="1"/>
    <col min="5" max="5" width="38.77734375" style="77" customWidth="1"/>
    <col min="6" max="20" width="8.77734375" style="78" customWidth="1"/>
    <col min="21" max="16384" width="9" style="78"/>
  </cols>
  <sheetData>
    <row r="1" spans="1:20" ht="39" customHeight="1">
      <c r="A1" s="311" t="s">
        <v>88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</row>
    <row r="2" spans="1:20" ht="36" customHeight="1">
      <c r="A2" s="79" t="s">
        <v>1</v>
      </c>
      <c r="B2" s="80"/>
      <c r="C2" s="81"/>
      <c r="D2" s="79" t="s">
        <v>2</v>
      </c>
      <c r="E2" s="82"/>
      <c r="F2" s="79" t="s">
        <v>89</v>
      </c>
      <c r="G2" s="313"/>
      <c r="H2" s="313"/>
      <c r="I2" s="313"/>
      <c r="J2" s="83" t="s">
        <v>90</v>
      </c>
      <c r="K2" s="84"/>
      <c r="L2" s="313"/>
      <c r="M2" s="313"/>
      <c r="N2" s="314" t="s">
        <v>91</v>
      </c>
      <c r="O2" s="314"/>
      <c r="P2" s="85"/>
      <c r="Q2" s="86" t="s">
        <v>45</v>
      </c>
      <c r="R2" s="85"/>
      <c r="S2" s="86" t="s">
        <v>51</v>
      </c>
      <c r="T2" s="87"/>
    </row>
    <row r="3" spans="1:20" ht="6.75" customHeight="1">
      <c r="A3" s="77"/>
      <c r="I3" s="315"/>
      <c r="J3" s="315"/>
      <c r="M3" s="315"/>
      <c r="N3" s="315"/>
      <c r="O3" s="315"/>
      <c r="P3" s="77"/>
      <c r="Q3" s="77"/>
      <c r="R3" s="77"/>
      <c r="S3" s="77"/>
      <c r="T3" s="77"/>
    </row>
    <row r="4" spans="1:20" ht="29.25" customHeight="1">
      <c r="A4" s="305" t="s">
        <v>11</v>
      </c>
      <c r="B4" s="305" t="s">
        <v>12</v>
      </c>
      <c r="C4" s="316" t="s">
        <v>6</v>
      </c>
      <c r="D4" s="295" t="s">
        <v>7</v>
      </c>
      <c r="E4" s="296"/>
      <c r="F4" s="305" t="s">
        <v>15</v>
      </c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16" t="s">
        <v>92</v>
      </c>
      <c r="R4" s="316"/>
      <c r="S4" s="316"/>
      <c r="T4" s="316"/>
    </row>
    <row r="5" spans="1:20" ht="27.75" customHeight="1">
      <c r="A5" s="305"/>
      <c r="B5" s="305"/>
      <c r="C5" s="305"/>
      <c r="D5" s="297"/>
      <c r="E5" s="298"/>
      <c r="F5" s="88">
        <v>1</v>
      </c>
      <c r="G5" s="88">
        <v>2</v>
      </c>
      <c r="H5" s="88">
        <v>3</v>
      </c>
      <c r="I5" s="88">
        <v>4</v>
      </c>
      <c r="J5" s="88">
        <v>5</v>
      </c>
      <c r="K5" s="88">
        <v>6</v>
      </c>
      <c r="L5" s="88">
        <v>7</v>
      </c>
      <c r="M5" s="88">
        <v>8</v>
      </c>
      <c r="N5" s="88">
        <v>9</v>
      </c>
      <c r="O5" s="88">
        <v>10</v>
      </c>
      <c r="P5" s="88">
        <v>11</v>
      </c>
      <c r="Q5" s="89" t="s">
        <v>93</v>
      </c>
      <c r="R5" s="89" t="s">
        <v>94</v>
      </c>
      <c r="S5" s="89" t="s">
        <v>95</v>
      </c>
      <c r="T5" s="89" t="s">
        <v>96</v>
      </c>
    </row>
    <row r="6" spans="1:20" ht="32.25" customHeight="1">
      <c r="A6" s="299"/>
      <c r="B6" s="306"/>
      <c r="C6" s="300"/>
      <c r="D6" s="309"/>
      <c r="E6" s="308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292"/>
      <c r="R6" s="292"/>
      <c r="S6" s="292"/>
      <c r="T6" s="292"/>
    </row>
    <row r="7" spans="1:20" ht="32.25" customHeight="1">
      <c r="A7" s="299"/>
      <c r="B7" s="299"/>
      <c r="C7" s="301"/>
      <c r="D7" s="309"/>
      <c r="E7" s="308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293"/>
      <c r="R7" s="293"/>
      <c r="S7" s="293"/>
      <c r="T7" s="293"/>
    </row>
    <row r="8" spans="1:20" ht="32.25" customHeight="1">
      <c r="A8" s="299"/>
      <c r="B8" s="299"/>
      <c r="C8" s="301"/>
      <c r="D8" s="309"/>
      <c r="E8" s="308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293"/>
      <c r="R8" s="293"/>
      <c r="S8" s="293"/>
      <c r="T8" s="293"/>
    </row>
    <row r="9" spans="1:20" ht="32.25" customHeight="1">
      <c r="A9" s="299"/>
      <c r="B9" s="299"/>
      <c r="C9" s="301"/>
      <c r="D9" s="309"/>
      <c r="E9" s="308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293"/>
      <c r="R9" s="293"/>
      <c r="S9" s="293"/>
      <c r="T9" s="293"/>
    </row>
    <row r="10" spans="1:20" ht="32.25" customHeight="1">
      <c r="A10" s="299"/>
      <c r="B10" s="299"/>
      <c r="C10" s="304"/>
      <c r="D10" s="307"/>
      <c r="E10" s="308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294"/>
      <c r="R10" s="294"/>
      <c r="S10" s="294"/>
      <c r="T10" s="294"/>
    </row>
    <row r="11" spans="1:20" ht="32.25" customHeight="1">
      <c r="A11" s="300"/>
      <c r="B11" s="302"/>
      <c r="C11" s="300"/>
      <c r="D11" s="309"/>
      <c r="E11" s="308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292"/>
      <c r="R11" s="292"/>
      <c r="S11" s="292"/>
      <c r="T11" s="292"/>
    </row>
    <row r="12" spans="1:20" ht="32.25" customHeight="1">
      <c r="A12" s="301"/>
      <c r="B12" s="301"/>
      <c r="C12" s="301"/>
      <c r="D12" s="309"/>
      <c r="E12" s="308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293"/>
      <c r="R12" s="293"/>
      <c r="S12" s="293"/>
      <c r="T12" s="293"/>
    </row>
    <row r="13" spans="1:20" ht="32.25" customHeight="1">
      <c r="A13" s="301"/>
      <c r="B13" s="301"/>
      <c r="C13" s="301"/>
      <c r="D13" s="307"/>
      <c r="E13" s="308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293"/>
      <c r="R13" s="293"/>
      <c r="S13" s="293"/>
      <c r="T13" s="293"/>
    </row>
    <row r="14" spans="1:20" ht="32.25" customHeight="1">
      <c r="A14" s="300"/>
      <c r="B14" s="302"/>
      <c r="C14" s="300"/>
      <c r="D14" s="309"/>
      <c r="E14" s="308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292"/>
      <c r="R14" s="292"/>
      <c r="S14" s="292"/>
      <c r="T14" s="292"/>
    </row>
    <row r="15" spans="1:20" ht="32.25" customHeight="1">
      <c r="A15" s="301"/>
      <c r="B15" s="301"/>
      <c r="C15" s="301"/>
      <c r="D15" s="309"/>
      <c r="E15" s="308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293"/>
      <c r="R15" s="293"/>
      <c r="S15" s="293"/>
      <c r="T15" s="293"/>
    </row>
    <row r="16" spans="1:20" ht="32.25" customHeight="1">
      <c r="A16" s="301"/>
      <c r="B16" s="301"/>
      <c r="C16" s="301"/>
      <c r="D16" s="307"/>
      <c r="E16" s="308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293"/>
      <c r="R16" s="293"/>
      <c r="S16" s="293"/>
      <c r="T16" s="293"/>
    </row>
    <row r="17" spans="1:20" ht="32.25" customHeight="1">
      <c r="A17" s="300"/>
      <c r="B17" s="302"/>
      <c r="C17" s="300"/>
      <c r="D17" s="309"/>
      <c r="E17" s="308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292"/>
      <c r="R17" s="292"/>
      <c r="S17" s="292"/>
      <c r="T17" s="292"/>
    </row>
    <row r="18" spans="1:20" ht="32.25" customHeight="1">
      <c r="A18" s="301"/>
      <c r="B18" s="301"/>
      <c r="C18" s="301"/>
      <c r="D18" s="307"/>
      <c r="E18" s="308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293"/>
      <c r="R18" s="293"/>
      <c r="S18" s="293"/>
      <c r="T18" s="293"/>
    </row>
    <row r="19" spans="1:20" ht="32.25" customHeight="1">
      <c r="A19" s="300"/>
      <c r="B19" s="300"/>
      <c r="C19" s="300"/>
      <c r="D19" s="309"/>
      <c r="E19" s="308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292"/>
      <c r="R19" s="292"/>
      <c r="S19" s="292"/>
      <c r="T19" s="292"/>
    </row>
    <row r="20" spans="1:20" ht="32.25" customHeight="1">
      <c r="A20" s="301"/>
      <c r="B20" s="301"/>
      <c r="C20" s="301"/>
      <c r="D20" s="309"/>
      <c r="E20" s="308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293"/>
      <c r="R20" s="293"/>
      <c r="S20" s="293"/>
      <c r="T20" s="293"/>
    </row>
    <row r="21" spans="1:20" ht="32.25" customHeight="1">
      <c r="A21" s="301"/>
      <c r="B21" s="301"/>
      <c r="C21" s="301"/>
      <c r="D21" s="307"/>
      <c r="E21" s="308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293"/>
      <c r="R21" s="293"/>
      <c r="S21" s="293"/>
      <c r="T21" s="293"/>
    </row>
    <row r="22" spans="1:20" ht="32.25" customHeight="1">
      <c r="A22" s="300"/>
      <c r="B22" s="302"/>
      <c r="C22" s="299"/>
      <c r="D22" s="309"/>
      <c r="E22" s="308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292"/>
      <c r="R22" s="292"/>
      <c r="S22" s="292"/>
      <c r="T22" s="292"/>
    </row>
    <row r="23" spans="1:20" ht="32.25" customHeight="1">
      <c r="A23" s="301"/>
      <c r="B23" s="301"/>
      <c r="C23" s="299"/>
      <c r="D23" s="307"/>
      <c r="E23" s="308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293"/>
      <c r="R23" s="293"/>
      <c r="S23" s="293"/>
      <c r="T23" s="293"/>
    </row>
    <row r="24" spans="1:20" ht="32.25" customHeight="1">
      <c r="A24" s="300"/>
      <c r="B24" s="302"/>
      <c r="C24" s="299"/>
      <c r="D24" s="309"/>
      <c r="E24" s="308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292"/>
      <c r="R24" s="292"/>
      <c r="S24" s="292"/>
      <c r="T24" s="292"/>
    </row>
    <row r="25" spans="1:20" ht="32.25" customHeight="1">
      <c r="A25" s="301"/>
      <c r="B25" s="301"/>
      <c r="C25" s="299"/>
      <c r="D25" s="309"/>
      <c r="E25" s="308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293"/>
      <c r="R25" s="293"/>
      <c r="S25" s="293"/>
      <c r="T25" s="293"/>
    </row>
    <row r="26" spans="1:20" ht="32.25" customHeight="1">
      <c r="A26" s="301"/>
      <c r="B26" s="301"/>
      <c r="C26" s="299"/>
      <c r="D26" s="307"/>
      <c r="E26" s="308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293"/>
      <c r="R26" s="293"/>
      <c r="S26" s="293"/>
      <c r="T26" s="293"/>
    </row>
    <row r="27" spans="1:20" ht="32.25" customHeight="1">
      <c r="A27" s="300"/>
      <c r="B27" s="302"/>
      <c r="C27" s="299"/>
      <c r="D27" s="309"/>
      <c r="E27" s="308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292"/>
      <c r="R27" s="292"/>
      <c r="S27" s="292"/>
      <c r="T27" s="292"/>
    </row>
    <row r="28" spans="1:20" ht="32.25" customHeight="1">
      <c r="A28" s="301"/>
      <c r="B28" s="301"/>
      <c r="C28" s="299"/>
      <c r="D28" s="309"/>
      <c r="E28" s="308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293"/>
      <c r="R28" s="293"/>
      <c r="S28" s="293"/>
      <c r="T28" s="293"/>
    </row>
    <row r="29" spans="1:20" ht="32.25" customHeight="1">
      <c r="A29" s="301"/>
      <c r="B29" s="301"/>
      <c r="C29" s="299"/>
      <c r="D29" s="309"/>
      <c r="E29" s="308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293"/>
      <c r="R29" s="293"/>
      <c r="S29" s="293"/>
      <c r="T29" s="293"/>
    </row>
    <row r="30" spans="1:20" ht="32.25" customHeight="1">
      <c r="A30" s="301"/>
      <c r="B30" s="301"/>
      <c r="C30" s="299"/>
      <c r="D30" s="307"/>
      <c r="E30" s="308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293"/>
      <c r="R30" s="293"/>
      <c r="S30" s="293"/>
      <c r="T30" s="293"/>
    </row>
    <row r="31" spans="1:20" ht="32.25" customHeight="1">
      <c r="A31" s="300"/>
      <c r="B31" s="302"/>
      <c r="C31" s="299"/>
      <c r="D31" s="309"/>
      <c r="E31" s="308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292"/>
      <c r="R31" s="292"/>
      <c r="S31" s="292"/>
      <c r="T31" s="292"/>
    </row>
    <row r="32" spans="1:20" ht="32.25" customHeight="1">
      <c r="A32" s="301"/>
      <c r="B32" s="301"/>
      <c r="C32" s="299"/>
      <c r="D32" s="309"/>
      <c r="E32" s="308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293"/>
      <c r="R32" s="293"/>
      <c r="S32" s="293"/>
      <c r="T32" s="293"/>
    </row>
    <row r="33" spans="1:20" ht="32.25" customHeight="1">
      <c r="A33" s="301"/>
      <c r="B33" s="301"/>
      <c r="C33" s="299"/>
      <c r="D33" s="309"/>
      <c r="E33" s="308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293"/>
      <c r="R33" s="293"/>
      <c r="S33" s="293"/>
      <c r="T33" s="293"/>
    </row>
    <row r="34" spans="1:20" ht="32.25" customHeight="1">
      <c r="A34" s="301"/>
      <c r="B34" s="301"/>
      <c r="C34" s="299"/>
      <c r="D34" s="307"/>
      <c r="E34" s="308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293"/>
      <c r="R34" s="293"/>
      <c r="S34" s="293"/>
      <c r="T34" s="293"/>
    </row>
    <row r="35" spans="1:20" ht="32.25" customHeight="1">
      <c r="A35" s="300"/>
      <c r="B35" s="302"/>
      <c r="C35" s="299"/>
      <c r="D35" s="309"/>
      <c r="E35" s="308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292"/>
      <c r="R35" s="292"/>
      <c r="S35" s="292"/>
      <c r="T35" s="292"/>
    </row>
    <row r="36" spans="1:20" ht="32.25" customHeight="1">
      <c r="A36" s="301"/>
      <c r="B36" s="301"/>
      <c r="C36" s="299"/>
      <c r="D36" s="309"/>
      <c r="E36" s="308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293"/>
      <c r="R36" s="293"/>
      <c r="S36" s="293"/>
      <c r="T36" s="293"/>
    </row>
    <row r="37" spans="1:20" ht="32.25" customHeight="1">
      <c r="A37" s="301"/>
      <c r="B37" s="301"/>
      <c r="C37" s="299"/>
      <c r="D37" s="307"/>
      <c r="E37" s="308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293"/>
      <c r="R37" s="293"/>
      <c r="S37" s="293"/>
      <c r="T37" s="293"/>
    </row>
    <row r="38" spans="1:20" ht="32.25" customHeight="1">
      <c r="A38" s="300"/>
      <c r="B38" s="300"/>
      <c r="C38" s="299"/>
      <c r="D38" s="309"/>
      <c r="E38" s="308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292"/>
      <c r="R38" s="292"/>
      <c r="S38" s="292"/>
      <c r="T38" s="292"/>
    </row>
    <row r="39" spans="1:20" ht="32.25" customHeight="1">
      <c r="A39" s="301"/>
      <c r="B39" s="301"/>
      <c r="C39" s="299"/>
      <c r="D39" s="309"/>
      <c r="E39" s="308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293"/>
      <c r="R39" s="293"/>
      <c r="S39" s="293"/>
      <c r="T39" s="293"/>
    </row>
    <row r="40" spans="1:20" ht="32.25" customHeight="1">
      <c r="A40" s="301"/>
      <c r="B40" s="301"/>
      <c r="C40" s="299"/>
      <c r="D40" s="307"/>
      <c r="E40" s="308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293"/>
      <c r="R40" s="293"/>
      <c r="S40" s="293"/>
      <c r="T40" s="293"/>
    </row>
    <row r="41" spans="1:20" ht="32.25" customHeight="1">
      <c r="A41" s="300"/>
      <c r="B41" s="300"/>
      <c r="C41" s="299"/>
      <c r="D41" s="309"/>
      <c r="E41" s="308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292"/>
      <c r="R41" s="292"/>
      <c r="S41" s="292"/>
      <c r="T41" s="292"/>
    </row>
    <row r="42" spans="1:20" ht="32.25" customHeight="1">
      <c r="A42" s="301"/>
      <c r="B42" s="301"/>
      <c r="C42" s="299"/>
      <c r="D42" s="309"/>
      <c r="E42" s="308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293"/>
      <c r="R42" s="293"/>
      <c r="S42" s="293"/>
      <c r="T42" s="293"/>
    </row>
    <row r="43" spans="1:20" ht="32.25" customHeight="1">
      <c r="A43" s="301"/>
      <c r="B43" s="301"/>
      <c r="C43" s="299"/>
      <c r="D43" s="307"/>
      <c r="E43" s="308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293"/>
      <c r="R43" s="293"/>
      <c r="S43" s="293"/>
      <c r="T43" s="293"/>
    </row>
    <row r="44" spans="1:20" ht="32.25" customHeight="1">
      <c r="A44" s="300"/>
      <c r="B44" s="302"/>
      <c r="C44" s="299"/>
      <c r="D44" s="309"/>
      <c r="E44" s="308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292"/>
      <c r="R44" s="292"/>
      <c r="S44" s="292"/>
      <c r="T44" s="292"/>
    </row>
    <row r="45" spans="1:20" ht="32.25" customHeight="1">
      <c r="A45" s="301"/>
      <c r="B45" s="301"/>
      <c r="C45" s="299"/>
      <c r="D45" s="309"/>
      <c r="E45" s="308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293"/>
      <c r="R45" s="293"/>
      <c r="S45" s="293"/>
      <c r="T45" s="293"/>
    </row>
    <row r="46" spans="1:20" ht="32.25" customHeight="1">
      <c r="A46" s="301"/>
      <c r="B46" s="301"/>
      <c r="C46" s="299"/>
      <c r="D46" s="309"/>
      <c r="E46" s="308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293"/>
      <c r="R46" s="293"/>
      <c r="S46" s="293"/>
      <c r="T46" s="293"/>
    </row>
    <row r="47" spans="1:20" ht="32.25" customHeight="1">
      <c r="A47" s="300"/>
      <c r="B47" s="302"/>
      <c r="C47" s="299"/>
      <c r="D47" s="309"/>
      <c r="E47" s="308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292"/>
      <c r="R47" s="292"/>
      <c r="S47" s="292"/>
      <c r="T47" s="292"/>
    </row>
    <row r="48" spans="1:20" ht="32.25" customHeight="1">
      <c r="A48" s="301"/>
      <c r="B48" s="301"/>
      <c r="C48" s="299"/>
      <c r="D48" s="307"/>
      <c r="E48" s="308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293"/>
      <c r="R48" s="293"/>
      <c r="S48" s="293"/>
      <c r="T48" s="293"/>
    </row>
    <row r="49" spans="1:20" ht="32.25" customHeight="1">
      <c r="A49" s="300"/>
      <c r="B49" s="302"/>
      <c r="C49" s="299"/>
      <c r="D49" s="309"/>
      <c r="E49" s="308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292"/>
      <c r="R49" s="292"/>
      <c r="S49" s="292"/>
      <c r="T49" s="292"/>
    </row>
    <row r="50" spans="1:20" ht="32.25" customHeight="1">
      <c r="A50" s="301"/>
      <c r="B50" s="301"/>
      <c r="C50" s="299"/>
      <c r="D50" s="309"/>
      <c r="E50" s="308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293"/>
      <c r="R50" s="293"/>
      <c r="S50" s="293"/>
      <c r="T50" s="293"/>
    </row>
    <row r="51" spans="1:20" ht="32.25" customHeight="1">
      <c r="A51" s="301"/>
      <c r="B51" s="301"/>
      <c r="C51" s="299"/>
      <c r="D51" s="309"/>
      <c r="E51" s="308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293"/>
      <c r="R51" s="293"/>
      <c r="S51" s="293"/>
      <c r="T51" s="293"/>
    </row>
    <row r="52" spans="1:20" ht="32.25" customHeight="1">
      <c r="A52" s="301"/>
      <c r="B52" s="301"/>
      <c r="C52" s="299"/>
      <c r="D52" s="307"/>
      <c r="E52" s="308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293"/>
      <c r="R52" s="293"/>
      <c r="S52" s="293"/>
      <c r="T52" s="293"/>
    </row>
    <row r="53" spans="1:20" ht="32.25" customHeight="1">
      <c r="A53" s="300"/>
      <c r="B53" s="302"/>
      <c r="C53" s="299"/>
      <c r="D53" s="309"/>
      <c r="E53" s="308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292"/>
      <c r="R53" s="292"/>
      <c r="S53" s="292"/>
      <c r="T53" s="292"/>
    </row>
    <row r="54" spans="1:20" ht="32.25" customHeight="1">
      <c r="A54" s="301"/>
      <c r="B54" s="301"/>
      <c r="C54" s="299"/>
      <c r="D54" s="309"/>
      <c r="E54" s="308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293"/>
      <c r="R54" s="293"/>
      <c r="S54" s="293"/>
      <c r="T54" s="293"/>
    </row>
    <row r="55" spans="1:20" ht="32.25" customHeight="1">
      <c r="A55" s="301"/>
      <c r="B55" s="301"/>
      <c r="C55" s="299"/>
      <c r="D55" s="307"/>
      <c r="E55" s="308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293"/>
      <c r="R55" s="293"/>
      <c r="S55" s="293"/>
      <c r="T55" s="293"/>
    </row>
    <row r="56" spans="1:20" ht="32.25" customHeight="1">
      <c r="A56" s="300"/>
      <c r="B56" s="302"/>
      <c r="C56" s="299"/>
      <c r="D56" s="309"/>
      <c r="E56" s="308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292"/>
      <c r="R56" s="292"/>
      <c r="S56" s="292"/>
      <c r="T56" s="292"/>
    </row>
    <row r="57" spans="1:20" ht="32.25" customHeight="1">
      <c r="A57" s="301"/>
      <c r="B57" s="301"/>
      <c r="C57" s="299"/>
      <c r="D57" s="307"/>
      <c r="E57" s="308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293"/>
      <c r="R57" s="293"/>
      <c r="S57" s="293"/>
      <c r="T57" s="293"/>
    </row>
    <row r="58" spans="1:20" ht="32.25" customHeight="1">
      <c r="A58" s="300"/>
      <c r="B58" s="302"/>
      <c r="C58" s="299"/>
      <c r="D58" s="309"/>
      <c r="E58" s="308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292"/>
      <c r="R58" s="292"/>
      <c r="S58" s="292"/>
      <c r="T58" s="292"/>
    </row>
    <row r="59" spans="1:20" ht="32.25" customHeight="1">
      <c r="A59" s="301"/>
      <c r="B59" s="301"/>
      <c r="C59" s="299"/>
      <c r="D59" s="307"/>
      <c r="E59" s="308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293"/>
      <c r="R59" s="293"/>
      <c r="S59" s="293"/>
      <c r="T59" s="293"/>
    </row>
    <row r="60" spans="1:20" ht="32.25" customHeight="1">
      <c r="A60" s="300"/>
      <c r="B60" s="302"/>
      <c r="C60" s="299"/>
      <c r="D60" s="309"/>
      <c r="E60" s="308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292"/>
      <c r="R60" s="292"/>
      <c r="S60" s="292"/>
      <c r="T60" s="292"/>
    </row>
    <row r="61" spans="1:20" ht="32.25" customHeight="1">
      <c r="A61" s="301"/>
      <c r="B61" s="301"/>
      <c r="C61" s="299"/>
      <c r="D61" s="307"/>
      <c r="E61" s="308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293"/>
      <c r="R61" s="293"/>
      <c r="S61" s="293"/>
      <c r="T61" s="293"/>
    </row>
    <row r="62" spans="1:20" ht="32.25" customHeight="1">
      <c r="A62" s="300"/>
      <c r="B62" s="302"/>
      <c r="C62" s="299"/>
      <c r="D62" s="309"/>
      <c r="E62" s="308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292"/>
      <c r="R62" s="292"/>
      <c r="S62" s="292"/>
      <c r="T62" s="292"/>
    </row>
    <row r="63" spans="1:20" ht="32.25" customHeight="1">
      <c r="A63" s="301"/>
      <c r="B63" s="301"/>
      <c r="C63" s="299"/>
      <c r="D63" s="307"/>
      <c r="E63" s="308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293"/>
      <c r="R63" s="293"/>
      <c r="S63" s="293"/>
      <c r="T63" s="293"/>
    </row>
    <row r="64" spans="1:20" ht="32.25" customHeight="1">
      <c r="A64" s="300"/>
      <c r="B64" s="302"/>
      <c r="C64" s="299"/>
      <c r="D64" s="309"/>
      <c r="E64" s="308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292"/>
      <c r="R64" s="292"/>
      <c r="S64" s="292"/>
      <c r="T64" s="292"/>
    </row>
    <row r="65" spans="1:20" ht="32.25" customHeight="1">
      <c r="A65" s="301"/>
      <c r="B65" s="301"/>
      <c r="C65" s="299"/>
      <c r="D65" s="309"/>
      <c r="E65" s="308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293"/>
      <c r="R65" s="293"/>
      <c r="S65" s="293"/>
      <c r="T65" s="293"/>
    </row>
    <row r="66" spans="1:20" ht="32.25" customHeight="1">
      <c r="A66" s="301"/>
      <c r="B66" s="301"/>
      <c r="C66" s="299"/>
      <c r="D66" s="309"/>
      <c r="E66" s="308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293"/>
      <c r="R66" s="293"/>
      <c r="S66" s="293"/>
      <c r="T66" s="293"/>
    </row>
    <row r="67" spans="1:20" ht="32.25" customHeight="1">
      <c r="A67" s="301"/>
      <c r="B67" s="301"/>
      <c r="C67" s="299"/>
      <c r="D67" s="307"/>
      <c r="E67" s="308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293"/>
      <c r="R67" s="293"/>
      <c r="S67" s="293"/>
      <c r="T67" s="293"/>
    </row>
    <row r="68" spans="1:20" ht="32.25" customHeight="1">
      <c r="A68" s="300"/>
      <c r="B68" s="302"/>
      <c r="C68" s="299"/>
      <c r="D68" s="309"/>
      <c r="E68" s="308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292"/>
      <c r="R68" s="292"/>
      <c r="S68" s="292"/>
      <c r="T68" s="292"/>
    </row>
    <row r="69" spans="1:20" ht="32.25" customHeight="1">
      <c r="A69" s="301"/>
      <c r="B69" s="301"/>
      <c r="C69" s="299"/>
      <c r="D69" s="307"/>
      <c r="E69" s="308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293"/>
      <c r="R69" s="293"/>
      <c r="S69" s="293"/>
      <c r="T69" s="293"/>
    </row>
    <row r="70" spans="1:20" ht="32.25" customHeight="1">
      <c r="A70" s="300"/>
      <c r="B70" s="302"/>
      <c r="C70" s="299"/>
      <c r="D70" s="309"/>
      <c r="E70" s="308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292"/>
      <c r="R70" s="292"/>
      <c r="S70" s="292"/>
      <c r="T70" s="292"/>
    </row>
    <row r="71" spans="1:20" ht="32.25" customHeight="1">
      <c r="A71" s="301"/>
      <c r="B71" s="301"/>
      <c r="C71" s="299"/>
      <c r="D71" s="307"/>
      <c r="E71" s="308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293"/>
      <c r="R71" s="293"/>
      <c r="S71" s="293"/>
      <c r="T71" s="293"/>
    </row>
    <row r="72" spans="1:20" ht="32.25" customHeight="1">
      <c r="A72" s="300"/>
      <c r="B72" s="302"/>
      <c r="C72" s="299"/>
      <c r="D72" s="309"/>
      <c r="E72" s="308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292"/>
      <c r="R72" s="292"/>
      <c r="S72" s="292"/>
      <c r="T72" s="292"/>
    </row>
    <row r="73" spans="1:20" ht="32.25" customHeight="1">
      <c r="A73" s="301"/>
      <c r="B73" s="301"/>
      <c r="C73" s="299"/>
      <c r="D73" s="309"/>
      <c r="E73" s="308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293"/>
      <c r="R73" s="293"/>
      <c r="S73" s="293"/>
      <c r="T73" s="293"/>
    </row>
    <row r="74" spans="1:20" ht="32.25" customHeight="1">
      <c r="A74" s="301"/>
      <c r="B74" s="301"/>
      <c r="C74" s="299"/>
      <c r="D74" s="307"/>
      <c r="E74" s="308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293"/>
      <c r="R74" s="293"/>
      <c r="S74" s="293"/>
      <c r="T74" s="293"/>
    </row>
    <row r="75" spans="1:20" ht="32.25" customHeight="1">
      <c r="A75" s="300"/>
      <c r="B75" s="300"/>
      <c r="C75" s="299"/>
      <c r="D75" s="307"/>
      <c r="E75" s="308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292"/>
      <c r="R75" s="292"/>
      <c r="S75" s="292"/>
      <c r="T75" s="292"/>
    </row>
    <row r="76" spans="1:20" ht="32.25" customHeight="1">
      <c r="A76" s="301"/>
      <c r="B76" s="301"/>
      <c r="C76" s="299"/>
      <c r="D76" s="307"/>
      <c r="E76" s="308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293"/>
      <c r="R76" s="293"/>
      <c r="S76" s="293"/>
      <c r="T76" s="293"/>
    </row>
    <row r="77" spans="1:20" ht="32.25" customHeight="1">
      <c r="A77" s="300"/>
      <c r="B77" s="300"/>
      <c r="C77" s="299"/>
      <c r="D77" s="307"/>
      <c r="E77" s="308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292"/>
      <c r="R77" s="292"/>
      <c r="S77" s="292"/>
      <c r="T77" s="292"/>
    </row>
    <row r="78" spans="1:20" ht="32.25" customHeight="1">
      <c r="A78" s="301"/>
      <c r="B78" s="301"/>
      <c r="C78" s="299"/>
      <c r="D78" s="307"/>
      <c r="E78" s="308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293"/>
      <c r="R78" s="293"/>
      <c r="S78" s="293"/>
      <c r="T78" s="293"/>
    </row>
    <row r="79" spans="1:20" ht="32.25" customHeight="1">
      <c r="A79" s="300"/>
      <c r="B79" s="302"/>
      <c r="C79" s="299"/>
      <c r="D79" s="309"/>
      <c r="E79" s="308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292"/>
      <c r="R79" s="292"/>
      <c r="S79" s="292"/>
      <c r="T79" s="292"/>
    </row>
    <row r="80" spans="1:20" ht="32.25" customHeight="1">
      <c r="A80" s="301"/>
      <c r="B80" s="301"/>
      <c r="C80" s="299"/>
      <c r="D80" s="307"/>
      <c r="E80" s="308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293"/>
      <c r="R80" s="293"/>
      <c r="S80" s="293"/>
      <c r="T80" s="293"/>
    </row>
    <row r="81" spans="1:20" ht="32.25" customHeight="1">
      <c r="A81" s="300"/>
      <c r="B81" s="302"/>
      <c r="C81" s="299"/>
      <c r="D81" s="309"/>
      <c r="E81" s="308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292"/>
      <c r="R81" s="292"/>
      <c r="S81" s="292"/>
      <c r="T81" s="292"/>
    </row>
    <row r="82" spans="1:20" ht="32.25" customHeight="1">
      <c r="A82" s="301"/>
      <c r="B82" s="301"/>
      <c r="C82" s="299"/>
      <c r="D82" s="309"/>
      <c r="E82" s="308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293"/>
      <c r="R82" s="293"/>
      <c r="S82" s="293"/>
      <c r="T82" s="293"/>
    </row>
    <row r="83" spans="1:20" ht="32.25" customHeight="1">
      <c r="A83" s="301"/>
      <c r="B83" s="301"/>
      <c r="C83" s="299"/>
      <c r="D83" s="307"/>
      <c r="E83" s="308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293"/>
      <c r="R83" s="293"/>
      <c r="S83" s="293"/>
      <c r="T83" s="293"/>
    </row>
    <row r="84" spans="1:20" ht="32.25" customHeight="1">
      <c r="A84" s="300"/>
      <c r="B84" s="302"/>
      <c r="C84" s="299"/>
      <c r="D84" s="309"/>
      <c r="E84" s="308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292"/>
      <c r="R84" s="292"/>
      <c r="S84" s="292"/>
      <c r="T84" s="292"/>
    </row>
    <row r="85" spans="1:20" ht="32.25" customHeight="1">
      <c r="A85" s="301"/>
      <c r="B85" s="301"/>
      <c r="C85" s="299"/>
      <c r="D85" s="309"/>
      <c r="E85" s="308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293"/>
      <c r="R85" s="293"/>
      <c r="S85" s="293"/>
      <c r="T85" s="293"/>
    </row>
    <row r="86" spans="1:20" ht="32.25" customHeight="1">
      <c r="A86" s="301"/>
      <c r="B86" s="301"/>
      <c r="C86" s="299"/>
      <c r="D86" s="307"/>
      <c r="E86" s="308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293"/>
      <c r="R86" s="293"/>
      <c r="S86" s="293"/>
      <c r="T86" s="293"/>
    </row>
    <row r="87" spans="1:20" ht="32.25" customHeight="1">
      <c r="A87" s="300"/>
      <c r="B87" s="302"/>
      <c r="C87" s="299"/>
      <c r="D87" s="309"/>
      <c r="E87" s="308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292"/>
      <c r="R87" s="292"/>
      <c r="S87" s="292"/>
      <c r="T87" s="292"/>
    </row>
    <row r="88" spans="1:20" ht="32.25" customHeight="1">
      <c r="A88" s="301"/>
      <c r="B88" s="301"/>
      <c r="C88" s="299"/>
      <c r="D88" s="309"/>
      <c r="E88" s="308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293"/>
      <c r="R88" s="293"/>
      <c r="S88" s="293"/>
      <c r="T88" s="293"/>
    </row>
    <row r="89" spans="1:20" ht="32.25" customHeight="1">
      <c r="A89" s="301"/>
      <c r="B89" s="301"/>
      <c r="C89" s="299"/>
      <c r="D89" s="307"/>
      <c r="E89" s="308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293"/>
      <c r="R89" s="293"/>
      <c r="S89" s="293"/>
      <c r="T89" s="293"/>
    </row>
    <row r="90" spans="1:20" ht="32.25" customHeight="1">
      <c r="A90" s="300"/>
      <c r="B90" s="302"/>
      <c r="C90" s="299"/>
      <c r="D90" s="309"/>
      <c r="E90" s="308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292"/>
      <c r="R90" s="292"/>
      <c r="S90" s="292"/>
      <c r="T90" s="292"/>
    </row>
    <row r="91" spans="1:20" ht="32.25" customHeight="1">
      <c r="A91" s="301"/>
      <c r="B91" s="301"/>
      <c r="C91" s="299"/>
      <c r="D91" s="309"/>
      <c r="E91" s="308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293"/>
      <c r="R91" s="293"/>
      <c r="S91" s="293"/>
      <c r="T91" s="293"/>
    </row>
    <row r="92" spans="1:20" ht="32.25" customHeight="1">
      <c r="A92" s="301"/>
      <c r="B92" s="301"/>
      <c r="C92" s="299"/>
      <c r="D92" s="307"/>
      <c r="E92" s="308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293"/>
      <c r="R92" s="293"/>
      <c r="S92" s="293"/>
      <c r="T92" s="293"/>
    </row>
    <row r="93" spans="1:20" ht="32.25" customHeight="1">
      <c r="A93" s="300"/>
      <c r="B93" s="302"/>
      <c r="C93" s="299"/>
      <c r="D93" s="309"/>
      <c r="E93" s="308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292"/>
      <c r="R93" s="292"/>
      <c r="S93" s="292"/>
      <c r="T93" s="292"/>
    </row>
    <row r="94" spans="1:20" ht="32.25" customHeight="1">
      <c r="A94" s="301"/>
      <c r="B94" s="301"/>
      <c r="C94" s="299"/>
      <c r="D94" s="309"/>
      <c r="E94" s="308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293"/>
      <c r="R94" s="293"/>
      <c r="S94" s="293"/>
      <c r="T94" s="293"/>
    </row>
    <row r="95" spans="1:20" ht="32.25" customHeight="1">
      <c r="A95" s="301"/>
      <c r="B95" s="301"/>
      <c r="C95" s="299"/>
      <c r="D95" s="307"/>
      <c r="E95" s="308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293"/>
      <c r="R95" s="293"/>
      <c r="S95" s="293"/>
      <c r="T95" s="293"/>
    </row>
    <row r="96" spans="1:20" ht="32.25" customHeight="1">
      <c r="A96" s="300"/>
      <c r="B96" s="302"/>
      <c r="C96" s="299"/>
      <c r="D96" s="309"/>
      <c r="E96" s="308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292"/>
      <c r="R96" s="292"/>
      <c r="S96" s="292"/>
      <c r="T96" s="292"/>
    </row>
    <row r="97" spans="1:20" ht="32.25" customHeight="1">
      <c r="A97" s="301"/>
      <c r="B97" s="301"/>
      <c r="C97" s="299"/>
      <c r="D97" s="307"/>
      <c r="E97" s="308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293"/>
      <c r="R97" s="293"/>
      <c r="S97" s="293"/>
      <c r="T97" s="293"/>
    </row>
    <row r="98" spans="1:20" ht="32.25" customHeight="1">
      <c r="A98" s="300"/>
      <c r="B98" s="302"/>
      <c r="C98" s="299"/>
      <c r="D98" s="309"/>
      <c r="E98" s="308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292"/>
      <c r="R98" s="292"/>
      <c r="S98" s="292"/>
      <c r="T98" s="292"/>
    </row>
    <row r="99" spans="1:20" ht="32.25" customHeight="1">
      <c r="A99" s="301"/>
      <c r="B99" s="301"/>
      <c r="C99" s="299"/>
      <c r="D99" s="307"/>
      <c r="E99" s="308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293"/>
      <c r="R99" s="293"/>
      <c r="S99" s="293"/>
      <c r="T99" s="293"/>
    </row>
    <row r="100" spans="1:20" ht="32.25" customHeight="1">
      <c r="A100" s="300"/>
      <c r="B100" s="302"/>
      <c r="C100" s="299"/>
      <c r="D100" s="309"/>
      <c r="E100" s="308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292"/>
      <c r="R100" s="292"/>
      <c r="S100" s="292"/>
      <c r="T100" s="292"/>
    </row>
    <row r="101" spans="1:20" ht="32.25" customHeight="1">
      <c r="A101" s="301"/>
      <c r="B101" s="301"/>
      <c r="C101" s="299"/>
      <c r="D101" s="307"/>
      <c r="E101" s="308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293"/>
      <c r="R101" s="293"/>
      <c r="S101" s="293"/>
      <c r="T101" s="293"/>
    </row>
    <row r="102" spans="1:20" ht="32.25" customHeight="1">
      <c r="A102" s="300"/>
      <c r="B102" s="302"/>
      <c r="C102" s="299"/>
      <c r="D102" s="309"/>
      <c r="E102" s="308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292"/>
      <c r="R102" s="292"/>
      <c r="S102" s="292"/>
      <c r="T102" s="292"/>
    </row>
    <row r="103" spans="1:20" ht="32.25" customHeight="1">
      <c r="A103" s="301"/>
      <c r="B103" s="301"/>
      <c r="C103" s="299"/>
      <c r="D103" s="309"/>
      <c r="E103" s="308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293"/>
      <c r="R103" s="293"/>
      <c r="S103" s="293"/>
      <c r="T103" s="293"/>
    </row>
    <row r="104" spans="1:20" ht="32.25" customHeight="1">
      <c r="A104" s="301"/>
      <c r="B104" s="301"/>
      <c r="C104" s="299"/>
      <c r="D104" s="307"/>
      <c r="E104" s="308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293"/>
      <c r="R104" s="293"/>
      <c r="S104" s="293"/>
      <c r="T104" s="293"/>
    </row>
    <row r="105" spans="1:20" ht="32.25" customHeight="1">
      <c r="A105" s="300"/>
      <c r="B105" s="302"/>
      <c r="C105" s="299"/>
      <c r="D105" s="309"/>
      <c r="E105" s="308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292"/>
      <c r="R105" s="292"/>
      <c r="S105" s="292"/>
      <c r="T105" s="292"/>
    </row>
    <row r="106" spans="1:20" ht="32.25" customHeight="1">
      <c r="A106" s="301"/>
      <c r="B106" s="301"/>
      <c r="C106" s="299"/>
      <c r="D106" s="307"/>
      <c r="E106" s="308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293"/>
      <c r="R106" s="293"/>
      <c r="S106" s="293"/>
      <c r="T106" s="293"/>
    </row>
    <row r="107" spans="1:20" ht="32.25" customHeight="1">
      <c r="A107" s="300"/>
      <c r="B107" s="302"/>
      <c r="C107" s="299"/>
      <c r="D107" s="309"/>
      <c r="E107" s="308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292"/>
      <c r="R107" s="292"/>
      <c r="S107" s="292"/>
      <c r="T107" s="292"/>
    </row>
    <row r="108" spans="1:20" ht="32.25" customHeight="1">
      <c r="A108" s="301"/>
      <c r="B108" s="301"/>
      <c r="C108" s="299"/>
      <c r="D108" s="309"/>
      <c r="E108" s="308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293"/>
      <c r="R108" s="293"/>
      <c r="S108" s="293"/>
      <c r="T108" s="293"/>
    </row>
    <row r="109" spans="1:20" ht="32.25" customHeight="1">
      <c r="A109" s="301"/>
      <c r="B109" s="301"/>
      <c r="C109" s="299"/>
      <c r="D109" s="309"/>
      <c r="E109" s="308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293"/>
      <c r="R109" s="293"/>
      <c r="S109" s="293"/>
      <c r="T109" s="293"/>
    </row>
    <row r="110" spans="1:20" ht="32.25" customHeight="1">
      <c r="A110" s="301"/>
      <c r="B110" s="301"/>
      <c r="C110" s="299"/>
      <c r="D110" s="307"/>
      <c r="E110" s="308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293"/>
      <c r="R110" s="293"/>
      <c r="S110" s="293"/>
      <c r="T110" s="293"/>
    </row>
    <row r="111" spans="1:20" ht="32.25" customHeight="1">
      <c r="A111" s="300"/>
      <c r="B111" s="302"/>
      <c r="C111" s="299"/>
      <c r="D111" s="309"/>
      <c r="E111" s="308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292"/>
      <c r="R111" s="292"/>
      <c r="S111" s="292"/>
      <c r="T111" s="292"/>
    </row>
    <row r="112" spans="1:20" ht="32.25" customHeight="1">
      <c r="A112" s="301"/>
      <c r="B112" s="301"/>
      <c r="C112" s="299"/>
      <c r="D112" s="309"/>
      <c r="E112" s="308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293"/>
      <c r="R112" s="293"/>
      <c r="S112" s="293"/>
      <c r="T112" s="293"/>
    </row>
    <row r="113" spans="1:20" ht="32.25" customHeight="1">
      <c r="A113" s="301"/>
      <c r="B113" s="301"/>
      <c r="C113" s="299"/>
      <c r="D113" s="307"/>
      <c r="E113" s="308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293"/>
      <c r="R113" s="293"/>
      <c r="S113" s="293"/>
      <c r="T113" s="293"/>
    </row>
    <row r="114" spans="1:20" ht="32.25" customHeight="1">
      <c r="A114" s="300"/>
      <c r="B114" s="302"/>
      <c r="C114" s="299"/>
      <c r="D114" s="309"/>
      <c r="E114" s="308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292"/>
      <c r="R114" s="292"/>
      <c r="S114" s="292"/>
      <c r="T114" s="292"/>
    </row>
    <row r="115" spans="1:20" ht="32.25" customHeight="1">
      <c r="A115" s="301"/>
      <c r="B115" s="301"/>
      <c r="C115" s="299"/>
      <c r="D115" s="307"/>
      <c r="E115" s="308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293"/>
      <c r="R115" s="293"/>
      <c r="S115" s="293"/>
      <c r="T115" s="293"/>
    </row>
    <row r="116" spans="1:20" ht="32.25" customHeight="1">
      <c r="A116" s="300"/>
      <c r="B116" s="302"/>
      <c r="C116" s="299"/>
      <c r="D116" s="309"/>
      <c r="E116" s="308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292"/>
      <c r="R116" s="292"/>
      <c r="S116" s="292"/>
      <c r="T116" s="292"/>
    </row>
    <row r="117" spans="1:20" ht="32.25" customHeight="1">
      <c r="A117" s="301"/>
      <c r="B117" s="301"/>
      <c r="C117" s="299"/>
      <c r="D117" s="309"/>
      <c r="E117" s="308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293"/>
      <c r="R117" s="293"/>
      <c r="S117" s="293"/>
      <c r="T117" s="293"/>
    </row>
    <row r="118" spans="1:20" ht="32.25" customHeight="1">
      <c r="A118" s="301"/>
      <c r="B118" s="301"/>
      <c r="C118" s="299"/>
      <c r="D118" s="307"/>
      <c r="E118" s="308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293"/>
      <c r="R118" s="293"/>
      <c r="S118" s="293"/>
      <c r="T118" s="293"/>
    </row>
    <row r="119" spans="1:20" ht="32.25" customHeight="1">
      <c r="A119" s="300"/>
      <c r="B119" s="302"/>
      <c r="C119" s="299"/>
      <c r="D119" s="309"/>
      <c r="E119" s="308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292"/>
      <c r="R119" s="292"/>
      <c r="S119" s="292"/>
      <c r="T119" s="292"/>
    </row>
    <row r="120" spans="1:20" ht="32.25" customHeight="1">
      <c r="A120" s="301"/>
      <c r="B120" s="301"/>
      <c r="C120" s="299"/>
      <c r="D120" s="309"/>
      <c r="E120" s="308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293"/>
      <c r="R120" s="293"/>
      <c r="S120" s="293"/>
      <c r="T120" s="293"/>
    </row>
    <row r="121" spans="1:20" ht="32.25" customHeight="1">
      <c r="A121" s="301"/>
      <c r="B121" s="301"/>
      <c r="C121" s="299"/>
      <c r="D121" s="309"/>
      <c r="E121" s="308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293"/>
      <c r="R121" s="293"/>
      <c r="S121" s="293"/>
      <c r="T121" s="293"/>
    </row>
    <row r="122" spans="1:20" ht="32.25" customHeight="1">
      <c r="A122" s="301"/>
      <c r="B122" s="301"/>
      <c r="C122" s="299"/>
      <c r="D122" s="307"/>
      <c r="E122" s="308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293"/>
      <c r="R122" s="293"/>
      <c r="S122" s="293"/>
      <c r="T122" s="293"/>
    </row>
    <row r="123" spans="1:20" ht="32.25" customHeight="1">
      <c r="A123" s="300"/>
      <c r="B123" s="302"/>
      <c r="C123" s="299"/>
      <c r="D123" s="309"/>
      <c r="E123" s="308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292"/>
      <c r="R123" s="292"/>
      <c r="S123" s="292"/>
      <c r="T123" s="292"/>
    </row>
    <row r="124" spans="1:20" ht="32.25" customHeight="1">
      <c r="A124" s="301"/>
      <c r="B124" s="301"/>
      <c r="C124" s="299"/>
      <c r="D124" s="309"/>
      <c r="E124" s="308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293"/>
      <c r="R124" s="293"/>
      <c r="S124" s="293"/>
      <c r="T124" s="293"/>
    </row>
    <row r="125" spans="1:20" ht="32.25" customHeight="1">
      <c r="A125" s="300"/>
      <c r="B125" s="302"/>
      <c r="C125" s="299"/>
      <c r="D125" s="309"/>
      <c r="E125" s="308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292"/>
      <c r="R125" s="292"/>
      <c r="S125" s="292"/>
      <c r="T125" s="292"/>
    </row>
    <row r="126" spans="1:20" ht="32.25" customHeight="1">
      <c r="A126" s="301"/>
      <c r="B126" s="301"/>
      <c r="C126" s="299"/>
      <c r="D126" s="309"/>
      <c r="E126" s="308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293"/>
      <c r="R126" s="293"/>
      <c r="S126" s="293"/>
      <c r="T126" s="293"/>
    </row>
    <row r="127" spans="1:20" ht="32.25" customHeight="1">
      <c r="A127" s="300"/>
      <c r="B127" s="302"/>
      <c r="C127" s="299"/>
      <c r="D127" s="309"/>
      <c r="E127" s="308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292"/>
      <c r="R127" s="292"/>
      <c r="S127" s="292"/>
      <c r="T127" s="292"/>
    </row>
    <row r="128" spans="1:20" ht="32.25" customHeight="1">
      <c r="A128" s="301"/>
      <c r="B128" s="301"/>
      <c r="C128" s="299"/>
      <c r="D128" s="309"/>
      <c r="E128" s="308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293"/>
      <c r="R128" s="293"/>
      <c r="S128" s="293"/>
      <c r="T128" s="293"/>
    </row>
    <row r="129" spans="1:20" ht="32.25" customHeight="1">
      <c r="A129" s="301"/>
      <c r="B129" s="301"/>
      <c r="C129" s="299"/>
      <c r="D129" s="309"/>
      <c r="E129" s="308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293"/>
      <c r="R129" s="293"/>
      <c r="S129" s="293"/>
      <c r="T129" s="293"/>
    </row>
    <row r="130" spans="1:20" ht="32.25" customHeight="1">
      <c r="A130" s="300"/>
      <c r="B130" s="302"/>
      <c r="C130" s="299"/>
      <c r="D130" s="309"/>
      <c r="E130" s="308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292"/>
      <c r="R130" s="292"/>
      <c r="S130" s="292"/>
      <c r="T130" s="292"/>
    </row>
    <row r="131" spans="1:20" ht="32.25" customHeight="1">
      <c r="A131" s="301"/>
      <c r="B131" s="301"/>
      <c r="C131" s="299"/>
      <c r="D131" s="309"/>
      <c r="E131" s="308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293"/>
      <c r="R131" s="293"/>
      <c r="S131" s="293"/>
      <c r="T131" s="293"/>
    </row>
    <row r="132" spans="1:20" ht="32.25" customHeight="1">
      <c r="A132" s="300"/>
      <c r="B132" s="302"/>
      <c r="C132" s="300"/>
      <c r="D132" s="309"/>
      <c r="E132" s="308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292"/>
      <c r="R132" s="292"/>
      <c r="S132" s="292"/>
      <c r="T132" s="292"/>
    </row>
    <row r="133" spans="1:20" ht="32.25" customHeight="1">
      <c r="A133" s="301"/>
      <c r="B133" s="303"/>
      <c r="C133" s="301"/>
      <c r="D133" s="309"/>
      <c r="E133" s="31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293"/>
      <c r="R133" s="293"/>
      <c r="S133" s="293"/>
      <c r="T133" s="293"/>
    </row>
    <row r="134" spans="1:20" ht="32.25" customHeight="1">
      <c r="A134" s="300"/>
      <c r="B134" s="302"/>
      <c r="C134" s="299"/>
      <c r="D134" s="309"/>
      <c r="E134" s="308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292"/>
      <c r="R134" s="292"/>
      <c r="S134" s="292"/>
      <c r="T134" s="292"/>
    </row>
    <row r="135" spans="1:20" ht="32.25" customHeight="1">
      <c r="A135" s="301"/>
      <c r="B135" s="301"/>
      <c r="C135" s="299"/>
      <c r="D135" s="309"/>
      <c r="E135" s="308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293"/>
      <c r="R135" s="293"/>
      <c r="S135" s="293"/>
      <c r="T135" s="293"/>
    </row>
    <row r="136" spans="1:20" ht="32.25" customHeight="1">
      <c r="A136" s="301"/>
      <c r="B136" s="301"/>
      <c r="C136" s="299"/>
      <c r="D136" s="309"/>
      <c r="E136" s="308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293"/>
      <c r="R136" s="293"/>
      <c r="S136" s="293"/>
      <c r="T136" s="293"/>
    </row>
    <row r="137" spans="1:20" ht="32.25" customHeight="1">
      <c r="A137" s="301"/>
      <c r="B137" s="301"/>
      <c r="C137" s="299"/>
      <c r="D137" s="307"/>
      <c r="E137" s="308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293"/>
      <c r="R137" s="293"/>
      <c r="S137" s="293"/>
      <c r="T137" s="293"/>
    </row>
    <row r="138" spans="1:20" ht="32.25" customHeight="1">
      <c r="A138" s="301"/>
      <c r="B138" s="301"/>
      <c r="C138" s="299"/>
      <c r="D138" s="307"/>
      <c r="E138" s="308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293"/>
      <c r="R138" s="293"/>
      <c r="S138" s="293"/>
      <c r="T138" s="293"/>
    </row>
    <row r="139" spans="1:20" ht="32.25" customHeight="1">
      <c r="A139" s="301"/>
      <c r="B139" s="301"/>
      <c r="C139" s="299"/>
      <c r="D139" s="307"/>
      <c r="E139" s="308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293"/>
      <c r="R139" s="293"/>
      <c r="S139" s="293"/>
      <c r="T139" s="293"/>
    </row>
    <row r="140" spans="1:20" ht="32.25" customHeight="1">
      <c r="A140" s="301"/>
      <c r="B140" s="301"/>
      <c r="C140" s="299"/>
      <c r="D140" s="307"/>
      <c r="E140" s="308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293"/>
      <c r="R140" s="293"/>
      <c r="S140" s="293"/>
      <c r="T140" s="293"/>
    </row>
    <row r="141" spans="1:20" ht="32.25" customHeight="1">
      <c r="A141" s="304"/>
      <c r="B141" s="304"/>
      <c r="C141" s="299"/>
      <c r="D141" s="307"/>
      <c r="E141" s="308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294"/>
      <c r="R141" s="294"/>
      <c r="S141" s="294"/>
      <c r="T141" s="294"/>
    </row>
  </sheetData>
  <mergeCells count="484">
    <mergeCell ref="A1:T1"/>
    <mergeCell ref="G2:I2"/>
    <mergeCell ref="L2:M2"/>
    <mergeCell ref="N2:O2"/>
    <mergeCell ref="I3:J3"/>
    <mergeCell ref="M3:O3"/>
    <mergeCell ref="F4:P4"/>
    <mergeCell ref="Q4:T4"/>
    <mergeCell ref="D6:E6"/>
    <mergeCell ref="A4:A5"/>
    <mergeCell ref="A6:A10"/>
    <mergeCell ref="C4:C5"/>
    <mergeCell ref="C6:C10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A11:A13"/>
    <mergeCell ref="A14:A16"/>
    <mergeCell ref="A17:A18"/>
    <mergeCell ref="A19:A21"/>
    <mergeCell ref="A22:A23"/>
    <mergeCell ref="A24:A26"/>
    <mergeCell ref="A27:A30"/>
    <mergeCell ref="A31:A34"/>
    <mergeCell ref="A35:A37"/>
    <mergeCell ref="A38:A40"/>
    <mergeCell ref="A41:A43"/>
    <mergeCell ref="A44:A46"/>
    <mergeCell ref="A47:A48"/>
    <mergeCell ref="A49:A52"/>
    <mergeCell ref="A53:A55"/>
    <mergeCell ref="A56:A57"/>
    <mergeCell ref="A58:A59"/>
    <mergeCell ref="A60:A61"/>
    <mergeCell ref="A62:A63"/>
    <mergeCell ref="A64:A67"/>
    <mergeCell ref="A68:A69"/>
    <mergeCell ref="A70:A71"/>
    <mergeCell ref="A72:A74"/>
    <mergeCell ref="A75:A76"/>
    <mergeCell ref="A77:A78"/>
    <mergeCell ref="A79:A80"/>
    <mergeCell ref="A81:A83"/>
    <mergeCell ref="A84:A86"/>
    <mergeCell ref="A87:A89"/>
    <mergeCell ref="A90:A92"/>
    <mergeCell ref="A93:A95"/>
    <mergeCell ref="A96:A97"/>
    <mergeCell ref="A98:A99"/>
    <mergeCell ref="A100:A101"/>
    <mergeCell ref="A102:A104"/>
    <mergeCell ref="A105:A106"/>
    <mergeCell ref="A107:A110"/>
    <mergeCell ref="A111:A113"/>
    <mergeCell ref="A114:A115"/>
    <mergeCell ref="A116:A118"/>
    <mergeCell ref="A119:A122"/>
    <mergeCell ref="A123:A124"/>
    <mergeCell ref="A125:A126"/>
    <mergeCell ref="A127:A129"/>
    <mergeCell ref="A130:A131"/>
    <mergeCell ref="A132:A133"/>
    <mergeCell ref="A134:A141"/>
    <mergeCell ref="B4:B5"/>
    <mergeCell ref="B6:B10"/>
    <mergeCell ref="B11:B13"/>
    <mergeCell ref="B14:B16"/>
    <mergeCell ref="B17:B18"/>
    <mergeCell ref="B19:B21"/>
    <mergeCell ref="B22:B23"/>
    <mergeCell ref="B24:B26"/>
    <mergeCell ref="B27:B30"/>
    <mergeCell ref="B31:B34"/>
    <mergeCell ref="B35:B37"/>
    <mergeCell ref="B38:B40"/>
    <mergeCell ref="B41:B43"/>
    <mergeCell ref="B44:B46"/>
    <mergeCell ref="B47:B48"/>
    <mergeCell ref="B49:B52"/>
    <mergeCell ref="B53:B55"/>
    <mergeCell ref="B56:B57"/>
    <mergeCell ref="B58:B59"/>
    <mergeCell ref="B60:B61"/>
    <mergeCell ref="B62:B63"/>
    <mergeCell ref="B64:B67"/>
    <mergeCell ref="B68:B69"/>
    <mergeCell ref="B70:B71"/>
    <mergeCell ref="B72:B74"/>
    <mergeCell ref="B75:B76"/>
    <mergeCell ref="B77:B78"/>
    <mergeCell ref="B79:B80"/>
    <mergeCell ref="B81:B83"/>
    <mergeCell ref="B84:B86"/>
    <mergeCell ref="B87:B89"/>
    <mergeCell ref="B90:B92"/>
    <mergeCell ref="B93:B95"/>
    <mergeCell ref="B96:B97"/>
    <mergeCell ref="B98:B99"/>
    <mergeCell ref="B100:B101"/>
    <mergeCell ref="B102:B104"/>
    <mergeCell ref="B105:B106"/>
    <mergeCell ref="B107:B110"/>
    <mergeCell ref="B111:B113"/>
    <mergeCell ref="B114:B115"/>
    <mergeCell ref="B116:B118"/>
    <mergeCell ref="B119:B122"/>
    <mergeCell ref="B123:B124"/>
    <mergeCell ref="B125:B126"/>
    <mergeCell ref="B127:B129"/>
    <mergeCell ref="B130:B131"/>
    <mergeCell ref="B132:B133"/>
    <mergeCell ref="B134:B141"/>
    <mergeCell ref="C11:C13"/>
    <mergeCell ref="C14:C16"/>
    <mergeCell ref="C17:C18"/>
    <mergeCell ref="C19:C21"/>
    <mergeCell ref="C22:C23"/>
    <mergeCell ref="C24:C26"/>
    <mergeCell ref="C27:C30"/>
    <mergeCell ref="C31:C34"/>
    <mergeCell ref="C35:C37"/>
    <mergeCell ref="C38:C40"/>
    <mergeCell ref="C41:C43"/>
    <mergeCell ref="C44:C46"/>
    <mergeCell ref="C47:C48"/>
    <mergeCell ref="C49:C52"/>
    <mergeCell ref="C53:C55"/>
    <mergeCell ref="C56:C57"/>
    <mergeCell ref="C58:C59"/>
    <mergeCell ref="C60:C61"/>
    <mergeCell ref="C62:C63"/>
    <mergeCell ref="C64:C67"/>
    <mergeCell ref="C68:C69"/>
    <mergeCell ref="C70:C71"/>
    <mergeCell ref="C72:C74"/>
    <mergeCell ref="C75:C76"/>
    <mergeCell ref="C77:C78"/>
    <mergeCell ref="C79:C80"/>
    <mergeCell ref="C81:C83"/>
    <mergeCell ref="C84:C86"/>
    <mergeCell ref="C87:C89"/>
    <mergeCell ref="C90:C92"/>
    <mergeCell ref="C93:C95"/>
    <mergeCell ref="C96:C97"/>
    <mergeCell ref="C98:C99"/>
    <mergeCell ref="C100:C101"/>
    <mergeCell ref="C102:C104"/>
    <mergeCell ref="C105:C106"/>
    <mergeCell ref="C107:C110"/>
    <mergeCell ref="C111:C113"/>
    <mergeCell ref="C114:C115"/>
    <mergeCell ref="C116:C118"/>
    <mergeCell ref="C119:C122"/>
    <mergeCell ref="C123:C124"/>
    <mergeCell ref="C125:C126"/>
    <mergeCell ref="C127:C129"/>
    <mergeCell ref="C130:C131"/>
    <mergeCell ref="C132:C133"/>
    <mergeCell ref="C134:C141"/>
    <mergeCell ref="Q6:Q10"/>
    <mergeCell ref="Q11:Q13"/>
    <mergeCell ref="Q14:Q16"/>
    <mergeCell ref="Q17:Q18"/>
    <mergeCell ref="Q19:Q21"/>
    <mergeCell ref="Q22:Q23"/>
    <mergeCell ref="Q24:Q26"/>
    <mergeCell ref="Q27:Q30"/>
    <mergeCell ref="Q31:Q34"/>
    <mergeCell ref="Q35:Q37"/>
    <mergeCell ref="Q38:Q40"/>
    <mergeCell ref="Q41:Q43"/>
    <mergeCell ref="Q44:Q46"/>
    <mergeCell ref="Q47:Q48"/>
    <mergeCell ref="Q49:Q52"/>
    <mergeCell ref="Q53:Q55"/>
    <mergeCell ref="Q56:Q57"/>
    <mergeCell ref="Q58:Q59"/>
    <mergeCell ref="Q60:Q61"/>
    <mergeCell ref="Q62:Q63"/>
    <mergeCell ref="Q64:Q67"/>
    <mergeCell ref="Q68:Q69"/>
    <mergeCell ref="Q70:Q71"/>
    <mergeCell ref="Q72:Q74"/>
    <mergeCell ref="Q75:Q76"/>
    <mergeCell ref="Q77:Q78"/>
    <mergeCell ref="Q79:Q80"/>
    <mergeCell ref="Q81:Q83"/>
    <mergeCell ref="Q84:Q86"/>
    <mergeCell ref="Q87:Q89"/>
    <mergeCell ref="Q90:Q92"/>
    <mergeCell ref="Q93:Q95"/>
    <mergeCell ref="Q96:Q97"/>
    <mergeCell ref="Q98:Q99"/>
    <mergeCell ref="Q100:Q101"/>
    <mergeCell ref="Q102:Q104"/>
    <mergeCell ref="Q105:Q106"/>
    <mergeCell ref="Q107:Q110"/>
    <mergeCell ref="Q111:Q113"/>
    <mergeCell ref="Q114:Q115"/>
    <mergeCell ref="Q116:Q118"/>
    <mergeCell ref="Q119:Q122"/>
    <mergeCell ref="Q123:Q124"/>
    <mergeCell ref="Q125:Q126"/>
    <mergeCell ref="Q127:Q129"/>
    <mergeCell ref="Q130:Q131"/>
    <mergeCell ref="Q132:Q133"/>
    <mergeCell ref="Q134:Q141"/>
    <mergeCell ref="R6:R10"/>
    <mergeCell ref="R11:R13"/>
    <mergeCell ref="R14:R16"/>
    <mergeCell ref="R17:R18"/>
    <mergeCell ref="R19:R21"/>
    <mergeCell ref="R22:R23"/>
    <mergeCell ref="R24:R26"/>
    <mergeCell ref="R27:R30"/>
    <mergeCell ref="R31:R34"/>
    <mergeCell ref="R35:R37"/>
    <mergeCell ref="R38:R40"/>
    <mergeCell ref="R41:R43"/>
    <mergeCell ref="R44:R46"/>
    <mergeCell ref="R47:R48"/>
    <mergeCell ref="R49:R52"/>
    <mergeCell ref="R53:R55"/>
    <mergeCell ref="R56:R57"/>
    <mergeCell ref="R58:R59"/>
    <mergeCell ref="R60:R61"/>
    <mergeCell ref="R62:R63"/>
    <mergeCell ref="R64:R67"/>
    <mergeCell ref="R68:R69"/>
    <mergeCell ref="R70:R71"/>
    <mergeCell ref="R72:R74"/>
    <mergeCell ref="R75:R76"/>
    <mergeCell ref="R77:R78"/>
    <mergeCell ref="R79:R80"/>
    <mergeCell ref="R81:R83"/>
    <mergeCell ref="R84:R86"/>
    <mergeCell ref="R87:R89"/>
    <mergeCell ref="R90:R92"/>
    <mergeCell ref="R93:R95"/>
    <mergeCell ref="R96:R97"/>
    <mergeCell ref="R98:R99"/>
    <mergeCell ref="R100:R101"/>
    <mergeCell ref="R102:R104"/>
    <mergeCell ref="R105:R106"/>
    <mergeCell ref="R107:R110"/>
    <mergeCell ref="R111:R113"/>
    <mergeCell ref="R114:R115"/>
    <mergeCell ref="R116:R118"/>
    <mergeCell ref="R119:R122"/>
    <mergeCell ref="R123:R124"/>
    <mergeCell ref="R125:R126"/>
    <mergeCell ref="R127:R129"/>
    <mergeCell ref="R130:R131"/>
    <mergeCell ref="R132:R133"/>
    <mergeCell ref="R134:R141"/>
    <mergeCell ref="S6:S10"/>
    <mergeCell ref="S11:S13"/>
    <mergeCell ref="S14:S16"/>
    <mergeCell ref="S17:S18"/>
    <mergeCell ref="S19:S21"/>
    <mergeCell ref="S22:S23"/>
    <mergeCell ref="S24:S26"/>
    <mergeCell ref="S27:S30"/>
    <mergeCell ref="S31:S34"/>
    <mergeCell ref="S35:S37"/>
    <mergeCell ref="S38:S40"/>
    <mergeCell ref="S41:S43"/>
    <mergeCell ref="S44:S46"/>
    <mergeCell ref="S47:S48"/>
    <mergeCell ref="S49:S52"/>
    <mergeCell ref="S53:S55"/>
    <mergeCell ref="S56:S57"/>
    <mergeCell ref="S58:S59"/>
    <mergeCell ref="S60:S61"/>
    <mergeCell ref="S125:S126"/>
    <mergeCell ref="S127:S129"/>
    <mergeCell ref="S130:S131"/>
    <mergeCell ref="S84:S86"/>
    <mergeCell ref="S87:S89"/>
    <mergeCell ref="S90:S92"/>
    <mergeCell ref="S93:S95"/>
    <mergeCell ref="S96:S97"/>
    <mergeCell ref="S98:S99"/>
    <mergeCell ref="S100:S101"/>
    <mergeCell ref="S102:S104"/>
    <mergeCell ref="S105:S106"/>
    <mergeCell ref="T116:T118"/>
    <mergeCell ref="T119:T122"/>
    <mergeCell ref="T123:T124"/>
    <mergeCell ref="T62:T63"/>
    <mergeCell ref="T64:T67"/>
    <mergeCell ref="T68:T69"/>
    <mergeCell ref="S107:S110"/>
    <mergeCell ref="S111:S113"/>
    <mergeCell ref="S114:S115"/>
    <mergeCell ref="S116:S118"/>
    <mergeCell ref="S119:S122"/>
    <mergeCell ref="S123:S124"/>
    <mergeCell ref="S62:S63"/>
    <mergeCell ref="S64:S67"/>
    <mergeCell ref="S68:S69"/>
    <mergeCell ref="S70:S71"/>
    <mergeCell ref="S72:S74"/>
    <mergeCell ref="S75:S76"/>
    <mergeCell ref="S77:S78"/>
    <mergeCell ref="S79:S80"/>
    <mergeCell ref="S81:S83"/>
    <mergeCell ref="T84:T86"/>
    <mergeCell ref="T87:T89"/>
    <mergeCell ref="T90:T92"/>
    <mergeCell ref="T38:T40"/>
    <mergeCell ref="T41:T43"/>
    <mergeCell ref="T44:T46"/>
    <mergeCell ref="T47:T48"/>
    <mergeCell ref="T49:T52"/>
    <mergeCell ref="T53:T55"/>
    <mergeCell ref="T56:T57"/>
    <mergeCell ref="T58:T59"/>
    <mergeCell ref="T60:T61"/>
    <mergeCell ref="T11:T13"/>
    <mergeCell ref="T14:T16"/>
    <mergeCell ref="T17:T18"/>
    <mergeCell ref="T19:T21"/>
    <mergeCell ref="T22:T23"/>
    <mergeCell ref="T24:T26"/>
    <mergeCell ref="T27:T30"/>
    <mergeCell ref="T31:T34"/>
    <mergeCell ref="T35:T37"/>
    <mergeCell ref="T125:T126"/>
    <mergeCell ref="T127:T129"/>
    <mergeCell ref="T130:T131"/>
    <mergeCell ref="T132:T133"/>
    <mergeCell ref="T134:T141"/>
    <mergeCell ref="D4:E5"/>
    <mergeCell ref="T93:T95"/>
    <mergeCell ref="T96:T97"/>
    <mergeCell ref="T98:T99"/>
    <mergeCell ref="T100:T101"/>
    <mergeCell ref="T102:T104"/>
    <mergeCell ref="T105:T106"/>
    <mergeCell ref="T107:T110"/>
    <mergeCell ref="T111:T113"/>
    <mergeCell ref="T114:T115"/>
    <mergeCell ref="T70:T71"/>
    <mergeCell ref="T72:T74"/>
    <mergeCell ref="T75:T76"/>
    <mergeCell ref="T77:T78"/>
    <mergeCell ref="T79:T80"/>
    <mergeCell ref="T81:T83"/>
    <mergeCell ref="S132:S133"/>
    <mergeCell ref="S134:S141"/>
    <mergeCell ref="T6:T10"/>
  </mergeCells>
  <phoneticPr fontId="93" type="noConversion"/>
  <conditionalFormatting sqref="F7:P141">
    <cfRule type="cellIs" priority="3" stopIfTrue="1" operator="equal">
      <formula>0</formula>
    </cfRule>
    <cfRule type="cellIs" dxfId="32" priority="4" stopIfTrue="1" operator="notBetween">
      <formula>#REF!</formula>
      <formula>#REF!</formula>
    </cfRule>
  </conditionalFormatting>
  <conditionalFormatting sqref="F6:T6 Q11:T11 Q14:T14 Q17:T17 Q19:T19 Q22:T22">
    <cfRule type="cellIs" dxfId="31" priority="229" stopIfTrue="1" operator="notBetween">
      <formula>#REF!</formula>
      <formula>#REF!</formula>
    </cfRule>
    <cfRule type="cellIs" priority="228" stopIfTrue="1" operator="equal">
      <formula>0</formula>
    </cfRule>
  </conditionalFormatting>
  <conditionalFormatting sqref="Q24:T24">
    <cfRule type="cellIs" dxfId="30" priority="110" stopIfTrue="1" operator="notBetween">
      <formula>#REF!</formula>
      <formula>#REF!</formula>
    </cfRule>
    <cfRule type="cellIs" priority="109" stopIfTrue="1" operator="equal">
      <formula>0</formula>
    </cfRule>
  </conditionalFormatting>
  <conditionalFormatting sqref="Q27:T27">
    <cfRule type="cellIs" dxfId="29" priority="108" stopIfTrue="1" operator="notBetween">
      <formula>#REF!</formula>
      <formula>#REF!</formula>
    </cfRule>
    <cfRule type="cellIs" priority="107" stopIfTrue="1" operator="equal">
      <formula>0</formula>
    </cfRule>
  </conditionalFormatting>
  <conditionalFormatting sqref="Q31:T31 Q35:T35 Q38:T38 Q41:T41 Q44:T44 Q47:T47 Q49:T49 Q53:T53 Q56:T56 Q58:T58 Q60:T60 Q62:T62 Q64:T64 Q68:T68">
    <cfRule type="cellIs" dxfId="28" priority="106" stopIfTrue="1" operator="notBetween">
      <formula>#REF!</formula>
      <formula>#REF!</formula>
    </cfRule>
    <cfRule type="cellIs" priority="105" stopIfTrue="1" operator="equal">
      <formula>0</formula>
    </cfRule>
  </conditionalFormatting>
  <conditionalFormatting sqref="Q70:T70">
    <cfRule type="cellIs" dxfId="27" priority="102" stopIfTrue="1" operator="notBetween">
      <formula>#REF!</formula>
      <formula>#REF!</formula>
    </cfRule>
    <cfRule type="cellIs" priority="101" stopIfTrue="1" operator="equal">
      <formula>0</formula>
    </cfRule>
  </conditionalFormatting>
  <conditionalFormatting sqref="Q72:T72">
    <cfRule type="cellIs" dxfId="26" priority="98" stopIfTrue="1" operator="notBetween">
      <formula>#REF!</formula>
      <formula>#REF!</formula>
    </cfRule>
    <cfRule type="cellIs" priority="97" stopIfTrue="1" operator="equal">
      <formula>0</formula>
    </cfRule>
  </conditionalFormatting>
  <conditionalFormatting sqref="Q75:T75">
    <cfRule type="cellIs" dxfId="25" priority="94" stopIfTrue="1" operator="notBetween">
      <formula>#REF!</formula>
      <formula>#REF!</formula>
    </cfRule>
    <cfRule type="cellIs" priority="93" stopIfTrue="1" operator="equal">
      <formula>0</formula>
    </cfRule>
  </conditionalFormatting>
  <conditionalFormatting sqref="Q77:T77">
    <cfRule type="cellIs" priority="89" stopIfTrue="1" operator="equal">
      <formula>0</formula>
    </cfRule>
    <cfRule type="cellIs" dxfId="24" priority="90" stopIfTrue="1" operator="notBetween">
      <formula>#REF!</formula>
      <formula>#REF!</formula>
    </cfRule>
  </conditionalFormatting>
  <conditionalFormatting sqref="Q79:T79">
    <cfRule type="cellIs" dxfId="23" priority="86" stopIfTrue="1" operator="notBetween">
      <formula>#REF!</formula>
      <formula>#REF!</formula>
    </cfRule>
    <cfRule type="cellIs" priority="85" stopIfTrue="1" operator="equal">
      <formula>0</formula>
    </cfRule>
  </conditionalFormatting>
  <conditionalFormatting sqref="Q81:T81">
    <cfRule type="cellIs" dxfId="22" priority="82" stopIfTrue="1" operator="notBetween">
      <formula>#REF!</formula>
      <formula>#REF!</formula>
    </cfRule>
    <cfRule type="cellIs" priority="81" stopIfTrue="1" operator="equal">
      <formula>0</formula>
    </cfRule>
  </conditionalFormatting>
  <conditionalFormatting sqref="Q84:T84">
    <cfRule type="cellIs" dxfId="21" priority="78" stopIfTrue="1" operator="notBetween">
      <formula>#REF!</formula>
      <formula>#REF!</formula>
    </cfRule>
    <cfRule type="cellIs" priority="77" stopIfTrue="1" operator="equal">
      <formula>0</formula>
    </cfRule>
  </conditionalFormatting>
  <conditionalFormatting sqref="Q87:T87">
    <cfRule type="cellIs" dxfId="20" priority="74" stopIfTrue="1" operator="notBetween">
      <formula>#REF!</formula>
      <formula>#REF!</formula>
    </cfRule>
    <cfRule type="cellIs" priority="73" stopIfTrue="1" operator="equal">
      <formula>0</formula>
    </cfRule>
  </conditionalFormatting>
  <conditionalFormatting sqref="Q90:T90">
    <cfRule type="cellIs" dxfId="19" priority="70" stopIfTrue="1" operator="notBetween">
      <formula>#REF!</formula>
      <formula>#REF!</formula>
    </cfRule>
    <cfRule type="cellIs" priority="69" stopIfTrue="1" operator="equal">
      <formula>0</formula>
    </cfRule>
  </conditionalFormatting>
  <conditionalFormatting sqref="Q93:T93">
    <cfRule type="cellIs" dxfId="18" priority="66" stopIfTrue="1" operator="notBetween">
      <formula>#REF!</formula>
      <formula>#REF!</formula>
    </cfRule>
    <cfRule type="cellIs" priority="65" stopIfTrue="1" operator="equal">
      <formula>0</formula>
    </cfRule>
  </conditionalFormatting>
  <conditionalFormatting sqref="Q96:T96">
    <cfRule type="cellIs" dxfId="17" priority="62" stopIfTrue="1" operator="notBetween">
      <formula>#REF!</formula>
      <formula>#REF!</formula>
    </cfRule>
    <cfRule type="cellIs" priority="61" stopIfTrue="1" operator="equal">
      <formula>0</formula>
    </cfRule>
  </conditionalFormatting>
  <conditionalFormatting sqref="Q98:T98">
    <cfRule type="cellIs" priority="57" stopIfTrue="1" operator="equal">
      <formula>0</formula>
    </cfRule>
    <cfRule type="cellIs" dxfId="16" priority="58" stopIfTrue="1" operator="notBetween">
      <formula>#REF!</formula>
      <formula>#REF!</formula>
    </cfRule>
  </conditionalFormatting>
  <conditionalFormatting sqref="Q100:T100">
    <cfRule type="cellIs" dxfId="15" priority="54" stopIfTrue="1" operator="notBetween">
      <formula>#REF!</formula>
      <formula>#REF!</formula>
    </cfRule>
    <cfRule type="cellIs" priority="53" stopIfTrue="1" operator="equal">
      <formula>0</formula>
    </cfRule>
  </conditionalFormatting>
  <conditionalFormatting sqref="Q102:T102">
    <cfRule type="cellIs" dxfId="14" priority="50" stopIfTrue="1" operator="notBetween">
      <formula>#REF!</formula>
      <formula>#REF!</formula>
    </cfRule>
    <cfRule type="cellIs" priority="49" stopIfTrue="1" operator="equal">
      <formula>0</formula>
    </cfRule>
  </conditionalFormatting>
  <conditionalFormatting sqref="Q105:T105">
    <cfRule type="cellIs" dxfId="13" priority="46" stopIfTrue="1" operator="notBetween">
      <formula>#REF!</formula>
      <formula>#REF!</formula>
    </cfRule>
    <cfRule type="cellIs" priority="45" stopIfTrue="1" operator="equal">
      <formula>0</formula>
    </cfRule>
  </conditionalFormatting>
  <conditionalFormatting sqref="Q107:T107">
    <cfRule type="cellIs" dxfId="12" priority="42" stopIfTrue="1" operator="notBetween">
      <formula>#REF!</formula>
      <formula>#REF!</formula>
    </cfRule>
    <cfRule type="cellIs" priority="41" stopIfTrue="1" operator="equal">
      <formula>0</formula>
    </cfRule>
  </conditionalFormatting>
  <conditionalFormatting sqref="Q111:T111">
    <cfRule type="cellIs" dxfId="11" priority="38" stopIfTrue="1" operator="notBetween">
      <formula>#REF!</formula>
      <formula>#REF!</formula>
    </cfRule>
    <cfRule type="cellIs" priority="37" stopIfTrue="1" operator="equal">
      <formula>0</formula>
    </cfRule>
  </conditionalFormatting>
  <conditionalFormatting sqref="Q114:T114">
    <cfRule type="cellIs" dxfId="10" priority="34" stopIfTrue="1" operator="notBetween">
      <formula>#REF!</formula>
      <formula>#REF!</formula>
    </cfRule>
    <cfRule type="cellIs" priority="33" stopIfTrue="1" operator="equal">
      <formula>0</formula>
    </cfRule>
  </conditionalFormatting>
  <conditionalFormatting sqref="Q116:T116">
    <cfRule type="cellIs" dxfId="9" priority="30" stopIfTrue="1" operator="notBetween">
      <formula>#REF!</formula>
      <formula>#REF!</formula>
    </cfRule>
    <cfRule type="cellIs" priority="29" stopIfTrue="1" operator="equal">
      <formula>0</formula>
    </cfRule>
  </conditionalFormatting>
  <conditionalFormatting sqref="Q119:T119">
    <cfRule type="cellIs" dxfId="8" priority="26" stopIfTrue="1" operator="notBetween">
      <formula>#REF!</formula>
      <formula>#REF!</formula>
    </cfRule>
    <cfRule type="cellIs" priority="25" stopIfTrue="1" operator="equal">
      <formula>0</formula>
    </cfRule>
  </conditionalFormatting>
  <conditionalFormatting sqref="Q123:T123">
    <cfRule type="cellIs" dxfId="7" priority="22" stopIfTrue="1" operator="notBetween">
      <formula>#REF!</formula>
      <formula>#REF!</formula>
    </cfRule>
    <cfRule type="cellIs" priority="21" stopIfTrue="1" operator="equal">
      <formula>0</formula>
    </cfRule>
  </conditionalFormatting>
  <conditionalFormatting sqref="Q125:T125">
    <cfRule type="cellIs" dxfId="6" priority="18" stopIfTrue="1" operator="notBetween">
      <formula>#REF!</formula>
      <formula>#REF!</formula>
    </cfRule>
    <cfRule type="cellIs" priority="17" stopIfTrue="1" operator="equal">
      <formula>0</formula>
    </cfRule>
  </conditionalFormatting>
  <conditionalFormatting sqref="Q127:T127">
    <cfRule type="cellIs" dxfId="5" priority="14" stopIfTrue="1" operator="notBetween">
      <formula>#REF!</formula>
      <formula>#REF!</formula>
    </cfRule>
    <cfRule type="cellIs" priority="13" stopIfTrue="1" operator="equal">
      <formula>0</formula>
    </cfRule>
  </conditionalFormatting>
  <conditionalFormatting sqref="Q130:T130">
    <cfRule type="cellIs" dxfId="4" priority="10" stopIfTrue="1" operator="notBetween">
      <formula>#REF!</formula>
      <formula>#REF!</formula>
    </cfRule>
    <cfRule type="cellIs" priority="9" stopIfTrue="1" operator="equal">
      <formula>0</formula>
    </cfRule>
  </conditionalFormatting>
  <conditionalFormatting sqref="Q132:T132">
    <cfRule type="cellIs" dxfId="3" priority="6" stopIfTrue="1" operator="notBetween">
      <formula>#REF!</formula>
      <formula>#REF!</formula>
    </cfRule>
    <cfRule type="cellIs" priority="5" stopIfTrue="1" operator="equal">
      <formula>0</formula>
    </cfRule>
  </conditionalFormatting>
  <conditionalFormatting sqref="Q134:T134">
    <cfRule type="cellIs" priority="1" stopIfTrue="1" operator="equal">
      <formula>0</formula>
    </cfRule>
    <cfRule type="cellIs" dxfId="2" priority="2" stopIfTrue="1" operator="notBetween">
      <formula>#REF!</formula>
      <formula>#REF!</formula>
    </cfRule>
  </conditionalFormatting>
  <printOptions horizontalCentered="1" verticalCentered="1"/>
  <pageMargins left="0.35433070866141703" right="0.35433070866141703" top="0.27559055118110198" bottom="0.27559055118110198" header="0" footer="0"/>
  <pageSetup paperSize="9" scale="46" orientation="portrait" horizontalDpi="1200" verticalDpi="12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34998626667073579"/>
    <pageSetUpPr fitToPage="1"/>
  </sheetPr>
  <dimension ref="A1:N90"/>
  <sheetViews>
    <sheetView showGridLines="0" view="pageBreakPreview" zoomScale="115" zoomScaleNormal="85" zoomScaleSheetLayoutView="115" workbookViewId="0">
      <pane ySplit="5" topLeftCell="A6" activePane="bottomLeft" state="frozen"/>
      <selection pane="bottomLeft" activeCell="E15" sqref="E15"/>
    </sheetView>
  </sheetViews>
  <sheetFormatPr defaultColWidth="9" defaultRowHeight="15.6"/>
  <cols>
    <col min="1" max="1" width="3.21875" style="206" customWidth="1"/>
    <col min="2" max="2" width="9.88671875" style="206" customWidth="1"/>
    <col min="3" max="3" width="3.88671875" style="206" customWidth="1"/>
    <col min="4" max="4" width="27.88671875" style="206" customWidth="1"/>
    <col min="5" max="14" width="5.6640625" style="206" customWidth="1"/>
    <col min="15" max="16384" width="9" style="206"/>
  </cols>
  <sheetData>
    <row r="1" spans="1:14" s="205" customFormat="1" ht="30.6">
      <c r="A1" s="330" t="s">
        <v>0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</row>
    <row r="2" spans="1:14" s="205" customFormat="1" ht="18.75" customHeight="1">
      <c r="A2" s="318" t="s">
        <v>1</v>
      </c>
      <c r="B2" s="318"/>
      <c r="C2" s="326"/>
      <c r="D2" s="326"/>
      <c r="E2" s="207" t="s">
        <v>2</v>
      </c>
      <c r="F2" s="327"/>
      <c r="G2" s="328"/>
      <c r="H2" s="328"/>
      <c r="I2" s="329"/>
      <c r="J2" s="207" t="s">
        <v>3</v>
      </c>
      <c r="K2" s="327"/>
      <c r="L2" s="328"/>
      <c r="M2" s="328"/>
      <c r="N2" s="329"/>
    </row>
    <row r="3" spans="1:14" s="205" customFormat="1" ht="6.75" customHeight="1">
      <c r="A3" s="208"/>
      <c r="B3" s="208"/>
      <c r="C3" s="208"/>
      <c r="D3" s="209"/>
      <c r="H3" s="321"/>
      <c r="I3" s="321"/>
      <c r="M3" s="321"/>
      <c r="N3" s="321"/>
    </row>
    <row r="4" spans="1:14" s="205" customFormat="1" ht="29.25" customHeight="1">
      <c r="A4" s="319" t="s">
        <v>4</v>
      </c>
      <c r="B4" s="319" t="s">
        <v>5</v>
      </c>
      <c r="C4" s="319" t="s">
        <v>6</v>
      </c>
      <c r="D4" s="318" t="s">
        <v>7</v>
      </c>
      <c r="E4" s="322" t="s">
        <v>8</v>
      </c>
      <c r="F4" s="323"/>
      <c r="G4" s="323"/>
      <c r="H4" s="323"/>
      <c r="I4" s="323"/>
      <c r="J4" s="323"/>
      <c r="K4" s="323"/>
      <c r="L4" s="323"/>
      <c r="M4" s="323"/>
      <c r="N4" s="324"/>
    </row>
    <row r="5" spans="1:14" s="205" customFormat="1" ht="27.75" customHeight="1">
      <c r="A5" s="319"/>
      <c r="B5" s="319"/>
      <c r="C5" s="319"/>
      <c r="D5" s="318"/>
      <c r="E5" s="210">
        <v>1</v>
      </c>
      <c r="F5" s="210">
        <v>2</v>
      </c>
      <c r="G5" s="210">
        <v>3</v>
      </c>
      <c r="H5" s="210">
        <v>4</v>
      </c>
      <c r="I5" s="210">
        <v>5</v>
      </c>
      <c r="J5" s="210">
        <v>6</v>
      </c>
      <c r="K5" s="210">
        <v>7</v>
      </c>
      <c r="L5" s="210">
        <v>8</v>
      </c>
      <c r="M5" s="210">
        <v>9</v>
      </c>
      <c r="N5" s="210">
        <v>10</v>
      </c>
    </row>
    <row r="6" spans="1:14" s="205" customFormat="1" ht="18" customHeight="1">
      <c r="A6" s="320">
        <v>1</v>
      </c>
      <c r="B6" s="317"/>
      <c r="C6" s="317"/>
      <c r="D6" s="211"/>
      <c r="E6" s="212"/>
      <c r="F6" s="212"/>
      <c r="G6" s="212"/>
      <c r="H6" s="212"/>
      <c r="I6" s="212"/>
      <c r="J6" s="212"/>
      <c r="K6" s="212"/>
      <c r="L6" s="212"/>
      <c r="M6" s="212"/>
      <c r="N6" s="212"/>
    </row>
    <row r="7" spans="1:14" s="205" customFormat="1" ht="18" customHeight="1">
      <c r="A7" s="320"/>
      <c r="B7" s="317"/>
      <c r="C7" s="317"/>
      <c r="D7" s="211"/>
      <c r="E7" s="212"/>
      <c r="F7" s="212"/>
      <c r="G7" s="212"/>
      <c r="H7" s="212"/>
      <c r="I7" s="212"/>
      <c r="J7" s="212"/>
      <c r="K7" s="212"/>
      <c r="L7" s="212"/>
      <c r="M7" s="212"/>
      <c r="N7" s="212"/>
    </row>
    <row r="8" spans="1:14" s="205" customFormat="1" ht="18" customHeight="1">
      <c r="A8" s="320"/>
      <c r="B8" s="317"/>
      <c r="C8" s="317"/>
      <c r="D8" s="211"/>
      <c r="E8" s="212"/>
      <c r="F8" s="212"/>
      <c r="G8" s="212"/>
      <c r="H8" s="212"/>
      <c r="I8" s="212"/>
      <c r="J8" s="212"/>
      <c r="K8" s="212"/>
      <c r="L8" s="212"/>
      <c r="M8" s="212"/>
      <c r="N8" s="212"/>
    </row>
    <row r="9" spans="1:14" s="205" customFormat="1" ht="18" customHeight="1">
      <c r="A9" s="320"/>
      <c r="B9" s="317"/>
      <c r="C9" s="317"/>
      <c r="D9" s="211"/>
      <c r="E9" s="212"/>
      <c r="F9" s="212"/>
      <c r="G9" s="212"/>
      <c r="H9" s="212"/>
      <c r="I9" s="212"/>
      <c r="J9" s="212"/>
      <c r="K9" s="212"/>
      <c r="L9" s="212"/>
      <c r="M9" s="212"/>
      <c r="N9" s="212"/>
    </row>
    <row r="10" spans="1:14" s="205" customFormat="1" ht="18" customHeight="1">
      <c r="A10" s="320">
        <v>2</v>
      </c>
      <c r="B10" s="317"/>
      <c r="C10" s="317"/>
      <c r="D10" s="211"/>
      <c r="E10" s="212"/>
      <c r="F10" s="212"/>
      <c r="G10" s="212"/>
      <c r="H10" s="212"/>
      <c r="I10" s="212"/>
      <c r="J10" s="212"/>
      <c r="K10" s="212"/>
      <c r="L10" s="212"/>
      <c r="M10" s="212"/>
      <c r="N10" s="212"/>
    </row>
    <row r="11" spans="1:14" s="205" customFormat="1" ht="18" customHeight="1">
      <c r="A11" s="320"/>
      <c r="B11" s="317"/>
      <c r="C11" s="317"/>
      <c r="D11" s="211"/>
      <c r="E11" s="212"/>
      <c r="F11" s="212"/>
      <c r="G11" s="212"/>
      <c r="H11" s="212"/>
      <c r="I11" s="212"/>
      <c r="J11" s="212"/>
      <c r="K11" s="212"/>
      <c r="L11" s="212"/>
      <c r="M11" s="212"/>
      <c r="N11" s="212"/>
    </row>
    <row r="12" spans="1:14" s="205" customFormat="1" ht="18" customHeight="1">
      <c r="A12" s="320"/>
      <c r="B12" s="317"/>
      <c r="C12" s="317"/>
      <c r="D12" s="211"/>
      <c r="E12" s="212"/>
      <c r="F12" s="212"/>
      <c r="G12" s="212"/>
      <c r="H12" s="212"/>
      <c r="I12" s="212"/>
      <c r="J12" s="212"/>
      <c r="K12" s="212"/>
      <c r="L12" s="212"/>
      <c r="M12" s="212"/>
      <c r="N12" s="212"/>
    </row>
    <row r="13" spans="1:14" s="205" customFormat="1" ht="18" customHeight="1">
      <c r="A13" s="320"/>
      <c r="B13" s="317"/>
      <c r="C13" s="317"/>
      <c r="D13" s="211"/>
      <c r="E13" s="212"/>
      <c r="F13" s="212"/>
      <c r="G13" s="212"/>
      <c r="H13" s="212"/>
      <c r="I13" s="212"/>
      <c r="J13" s="212"/>
      <c r="K13" s="212"/>
      <c r="L13" s="212"/>
      <c r="M13" s="212"/>
      <c r="N13" s="212"/>
    </row>
    <row r="14" spans="1:14" s="205" customFormat="1" ht="18" customHeight="1">
      <c r="A14" s="320">
        <v>3</v>
      </c>
      <c r="B14" s="317"/>
      <c r="C14" s="317"/>
      <c r="D14" s="211"/>
      <c r="E14" s="212"/>
      <c r="F14" s="212"/>
      <c r="G14" s="212"/>
      <c r="H14" s="212"/>
      <c r="I14" s="212"/>
      <c r="J14" s="212"/>
      <c r="K14" s="212"/>
      <c r="L14" s="212"/>
      <c r="M14" s="212"/>
      <c r="N14" s="212"/>
    </row>
    <row r="15" spans="1:14" s="205" customFormat="1" ht="18" customHeight="1">
      <c r="A15" s="320"/>
      <c r="B15" s="317"/>
      <c r="C15" s="317"/>
      <c r="D15" s="211"/>
      <c r="E15" s="212"/>
      <c r="F15" s="212"/>
      <c r="G15" s="212"/>
      <c r="H15" s="212"/>
      <c r="I15" s="212"/>
      <c r="J15" s="212"/>
      <c r="K15" s="212"/>
      <c r="L15" s="212"/>
      <c r="M15" s="212"/>
      <c r="N15" s="212"/>
    </row>
    <row r="16" spans="1:14" s="205" customFormat="1" ht="18" customHeight="1">
      <c r="A16" s="320"/>
      <c r="B16" s="317"/>
      <c r="C16" s="317"/>
      <c r="D16" s="211"/>
      <c r="E16" s="212"/>
      <c r="F16" s="212"/>
      <c r="G16" s="212"/>
      <c r="H16" s="212"/>
      <c r="I16" s="212"/>
      <c r="J16" s="212"/>
      <c r="K16" s="212"/>
      <c r="L16" s="212"/>
      <c r="M16" s="212"/>
      <c r="N16" s="212"/>
    </row>
    <row r="17" spans="1:14" s="205" customFormat="1" ht="18" customHeight="1">
      <c r="A17" s="320"/>
      <c r="B17" s="317"/>
      <c r="C17" s="317"/>
      <c r="D17" s="211"/>
      <c r="E17" s="212"/>
      <c r="F17" s="212"/>
      <c r="G17" s="212"/>
      <c r="H17" s="212"/>
      <c r="I17" s="212"/>
      <c r="J17" s="212"/>
      <c r="K17" s="212"/>
      <c r="L17" s="212"/>
      <c r="M17" s="212"/>
      <c r="N17" s="212"/>
    </row>
    <row r="18" spans="1:14" s="205" customFormat="1" ht="18" customHeight="1">
      <c r="A18" s="320">
        <v>4</v>
      </c>
      <c r="B18" s="317"/>
      <c r="C18" s="317"/>
      <c r="D18" s="211"/>
      <c r="E18" s="212"/>
      <c r="F18" s="212"/>
      <c r="G18" s="212"/>
      <c r="H18" s="212"/>
      <c r="I18" s="212"/>
      <c r="J18" s="212"/>
      <c r="K18" s="212"/>
      <c r="L18" s="212"/>
      <c r="M18" s="212"/>
      <c r="N18" s="212"/>
    </row>
    <row r="19" spans="1:14" s="205" customFormat="1" ht="18" customHeight="1">
      <c r="A19" s="320"/>
      <c r="B19" s="317"/>
      <c r="C19" s="317"/>
      <c r="D19" s="211"/>
      <c r="E19" s="212"/>
      <c r="F19" s="212"/>
      <c r="G19" s="212"/>
      <c r="H19" s="212"/>
      <c r="I19" s="212"/>
      <c r="J19" s="212"/>
      <c r="K19" s="212"/>
      <c r="L19" s="212"/>
      <c r="M19" s="212"/>
      <c r="N19" s="212"/>
    </row>
    <row r="20" spans="1:14" s="205" customFormat="1" ht="18" customHeight="1">
      <c r="A20" s="320"/>
      <c r="B20" s="317"/>
      <c r="C20" s="317"/>
      <c r="D20" s="211"/>
      <c r="E20" s="212"/>
      <c r="F20" s="212"/>
      <c r="G20" s="212"/>
      <c r="H20" s="212"/>
      <c r="I20" s="212"/>
      <c r="J20" s="212"/>
      <c r="K20" s="212"/>
      <c r="L20" s="212"/>
      <c r="M20" s="212"/>
      <c r="N20" s="212"/>
    </row>
    <row r="21" spans="1:14" s="205" customFormat="1" ht="18" customHeight="1">
      <c r="A21" s="320"/>
      <c r="B21" s="317"/>
      <c r="C21" s="317"/>
      <c r="D21" s="211"/>
      <c r="E21" s="212"/>
      <c r="F21" s="212"/>
      <c r="G21" s="212"/>
      <c r="H21" s="212"/>
      <c r="I21" s="212"/>
      <c r="J21" s="212"/>
      <c r="K21" s="212"/>
      <c r="L21" s="212"/>
      <c r="M21" s="212"/>
      <c r="N21" s="212"/>
    </row>
    <row r="22" spans="1:14" s="205" customFormat="1" ht="18" customHeight="1">
      <c r="A22" s="320">
        <v>5</v>
      </c>
      <c r="B22" s="317"/>
      <c r="C22" s="317"/>
      <c r="D22" s="211"/>
      <c r="E22" s="212"/>
      <c r="F22" s="212"/>
      <c r="G22" s="212"/>
      <c r="H22" s="212"/>
      <c r="I22" s="212"/>
      <c r="J22" s="212"/>
      <c r="K22" s="212"/>
      <c r="L22" s="212"/>
      <c r="M22" s="212"/>
      <c r="N22" s="212"/>
    </row>
    <row r="23" spans="1:14" s="205" customFormat="1" ht="18" customHeight="1">
      <c r="A23" s="320"/>
      <c r="B23" s="317"/>
      <c r="C23" s="317"/>
      <c r="D23" s="211"/>
      <c r="E23" s="212"/>
      <c r="F23" s="212"/>
      <c r="G23" s="212"/>
      <c r="H23" s="212"/>
      <c r="I23" s="212"/>
      <c r="J23" s="212"/>
      <c r="K23" s="212"/>
      <c r="L23" s="212"/>
      <c r="M23" s="212"/>
      <c r="N23" s="212"/>
    </row>
    <row r="24" spans="1:14" s="205" customFormat="1" ht="18" customHeight="1">
      <c r="A24" s="320"/>
      <c r="B24" s="317"/>
      <c r="C24" s="317"/>
      <c r="D24" s="211"/>
      <c r="E24" s="212"/>
      <c r="F24" s="212"/>
      <c r="G24" s="212"/>
      <c r="H24" s="212"/>
      <c r="I24" s="212"/>
      <c r="J24" s="212"/>
      <c r="K24" s="212"/>
      <c r="L24" s="212"/>
      <c r="M24" s="212"/>
      <c r="N24" s="212"/>
    </row>
    <row r="25" spans="1:14" s="205" customFormat="1" ht="18" customHeight="1">
      <c r="A25" s="320"/>
      <c r="B25" s="317"/>
      <c r="C25" s="317"/>
      <c r="D25" s="211"/>
      <c r="E25" s="212"/>
      <c r="F25" s="212"/>
      <c r="G25" s="212"/>
      <c r="H25" s="212"/>
      <c r="I25" s="212"/>
      <c r="J25" s="212"/>
      <c r="K25" s="212"/>
      <c r="L25" s="212"/>
      <c r="M25" s="212"/>
      <c r="N25" s="212"/>
    </row>
    <row r="26" spans="1:14" s="205" customFormat="1" ht="18" customHeight="1">
      <c r="A26" s="320">
        <v>6</v>
      </c>
      <c r="B26" s="317"/>
      <c r="C26" s="317"/>
      <c r="D26" s="211"/>
      <c r="E26" s="212"/>
      <c r="F26" s="212"/>
      <c r="G26" s="212"/>
      <c r="H26" s="212"/>
      <c r="I26" s="212"/>
      <c r="J26" s="212"/>
      <c r="K26" s="212"/>
      <c r="L26" s="212"/>
      <c r="M26" s="212"/>
      <c r="N26" s="212"/>
    </row>
    <row r="27" spans="1:14" s="205" customFormat="1" ht="18" customHeight="1">
      <c r="A27" s="320"/>
      <c r="B27" s="317"/>
      <c r="C27" s="317"/>
      <c r="D27" s="211"/>
      <c r="E27" s="212"/>
      <c r="F27" s="212"/>
      <c r="G27" s="212"/>
      <c r="H27" s="212"/>
      <c r="I27" s="212"/>
      <c r="J27" s="212"/>
      <c r="K27" s="212"/>
      <c r="L27" s="212"/>
      <c r="M27" s="212"/>
      <c r="N27" s="212"/>
    </row>
    <row r="28" spans="1:14" s="205" customFormat="1" ht="18" customHeight="1">
      <c r="A28" s="320"/>
      <c r="B28" s="317"/>
      <c r="C28" s="317"/>
      <c r="D28" s="211"/>
      <c r="E28" s="212"/>
      <c r="F28" s="212"/>
      <c r="G28" s="212"/>
      <c r="H28" s="212"/>
      <c r="I28" s="212"/>
      <c r="J28" s="212"/>
      <c r="K28" s="212"/>
      <c r="L28" s="212"/>
      <c r="M28" s="212"/>
      <c r="N28" s="212"/>
    </row>
    <row r="29" spans="1:14" s="205" customFormat="1" ht="18" customHeight="1">
      <c r="A29" s="320"/>
      <c r="B29" s="317"/>
      <c r="C29" s="317"/>
      <c r="D29" s="211"/>
      <c r="E29" s="212"/>
      <c r="F29" s="212"/>
      <c r="G29" s="212"/>
      <c r="H29" s="212"/>
      <c r="I29" s="212"/>
      <c r="J29" s="212"/>
      <c r="K29" s="212"/>
      <c r="L29" s="212"/>
      <c r="M29" s="212"/>
      <c r="N29" s="212"/>
    </row>
    <row r="30" spans="1:14" s="205" customFormat="1" ht="18" customHeight="1">
      <c r="A30" s="320">
        <v>7</v>
      </c>
      <c r="B30" s="317"/>
      <c r="C30" s="317"/>
      <c r="D30" s="211"/>
      <c r="E30" s="212"/>
      <c r="F30" s="212"/>
      <c r="G30" s="212"/>
      <c r="H30" s="212"/>
      <c r="I30" s="212"/>
      <c r="J30" s="212"/>
      <c r="K30" s="212"/>
      <c r="L30" s="212"/>
      <c r="M30" s="212"/>
      <c r="N30" s="212"/>
    </row>
    <row r="31" spans="1:14" s="205" customFormat="1" ht="18" customHeight="1">
      <c r="A31" s="320"/>
      <c r="B31" s="317"/>
      <c r="C31" s="317"/>
      <c r="D31" s="211"/>
      <c r="E31" s="212"/>
      <c r="F31" s="212"/>
      <c r="G31" s="212"/>
      <c r="H31" s="212"/>
      <c r="I31" s="212"/>
      <c r="J31" s="212"/>
      <c r="K31" s="212"/>
      <c r="L31" s="212"/>
      <c r="M31" s="212"/>
      <c r="N31" s="212"/>
    </row>
    <row r="32" spans="1:14" s="205" customFormat="1" ht="18" customHeight="1">
      <c r="A32" s="320"/>
      <c r="B32" s="317"/>
      <c r="C32" s="317"/>
      <c r="D32" s="211"/>
      <c r="E32" s="212"/>
      <c r="F32" s="212"/>
      <c r="G32" s="212"/>
      <c r="H32" s="212"/>
      <c r="I32" s="212"/>
      <c r="J32" s="212"/>
      <c r="K32" s="212"/>
      <c r="L32" s="212"/>
      <c r="M32" s="212"/>
      <c r="N32" s="212"/>
    </row>
    <row r="33" spans="1:14" s="205" customFormat="1" ht="18" customHeight="1">
      <c r="A33" s="320"/>
      <c r="B33" s="317"/>
      <c r="C33" s="317"/>
      <c r="D33" s="211"/>
      <c r="E33" s="212"/>
      <c r="F33" s="212"/>
      <c r="G33" s="212"/>
      <c r="H33" s="212"/>
      <c r="I33" s="212"/>
      <c r="J33" s="212"/>
      <c r="K33" s="212"/>
      <c r="L33" s="212"/>
      <c r="M33" s="212"/>
      <c r="N33" s="212"/>
    </row>
    <row r="34" spans="1:14" s="205" customFormat="1" ht="18" customHeight="1">
      <c r="A34" s="320">
        <v>8</v>
      </c>
      <c r="B34" s="317"/>
      <c r="C34" s="317"/>
      <c r="D34" s="211"/>
      <c r="E34" s="212"/>
      <c r="F34" s="212"/>
      <c r="G34" s="212"/>
      <c r="H34" s="212"/>
      <c r="I34" s="212"/>
      <c r="J34" s="212"/>
      <c r="K34" s="212"/>
      <c r="L34" s="212"/>
      <c r="M34" s="212"/>
      <c r="N34" s="212"/>
    </row>
    <row r="35" spans="1:14" s="205" customFormat="1" ht="18" customHeight="1">
      <c r="A35" s="320"/>
      <c r="B35" s="317"/>
      <c r="C35" s="317"/>
      <c r="D35" s="211"/>
      <c r="E35" s="212"/>
      <c r="F35" s="212"/>
      <c r="G35" s="212"/>
      <c r="H35" s="212"/>
      <c r="I35" s="212"/>
      <c r="J35" s="212"/>
      <c r="K35" s="212"/>
      <c r="L35" s="212"/>
      <c r="M35" s="212"/>
      <c r="N35" s="212"/>
    </row>
    <row r="36" spans="1:14" s="205" customFormat="1" ht="18" customHeight="1">
      <c r="A36" s="320"/>
      <c r="B36" s="317"/>
      <c r="C36" s="317"/>
      <c r="D36" s="211"/>
      <c r="E36" s="212"/>
      <c r="F36" s="212"/>
      <c r="G36" s="212"/>
      <c r="H36" s="212"/>
      <c r="I36" s="212"/>
      <c r="J36" s="212"/>
      <c r="K36" s="212"/>
      <c r="L36" s="212"/>
      <c r="M36" s="212"/>
      <c r="N36" s="212"/>
    </row>
    <row r="37" spans="1:14" s="205" customFormat="1" ht="18" customHeight="1">
      <c r="A37" s="320"/>
      <c r="B37" s="317"/>
      <c r="C37" s="317"/>
      <c r="D37" s="211"/>
      <c r="E37" s="212"/>
      <c r="F37" s="212"/>
      <c r="G37" s="212"/>
      <c r="H37" s="212"/>
      <c r="I37" s="212"/>
      <c r="J37" s="212"/>
      <c r="K37" s="212"/>
      <c r="L37" s="212"/>
      <c r="M37" s="212"/>
      <c r="N37" s="212"/>
    </row>
    <row r="38" spans="1:14" s="205" customFormat="1" ht="18" customHeight="1">
      <c r="A38" s="320">
        <v>9</v>
      </c>
      <c r="B38" s="317"/>
      <c r="C38" s="317"/>
      <c r="D38" s="211"/>
      <c r="E38" s="212"/>
      <c r="F38" s="212"/>
      <c r="G38" s="212"/>
      <c r="H38" s="212"/>
      <c r="I38" s="212"/>
      <c r="J38" s="212"/>
      <c r="K38" s="212"/>
      <c r="L38" s="212"/>
      <c r="M38" s="212"/>
      <c r="N38" s="212"/>
    </row>
    <row r="39" spans="1:14" s="205" customFormat="1" ht="18" customHeight="1">
      <c r="A39" s="320"/>
      <c r="B39" s="317"/>
      <c r="C39" s="317"/>
      <c r="D39" s="211"/>
      <c r="E39" s="212"/>
      <c r="F39" s="212"/>
      <c r="G39" s="212"/>
      <c r="H39" s="212"/>
      <c r="I39" s="212"/>
      <c r="J39" s="212"/>
      <c r="K39" s="212"/>
      <c r="L39" s="212"/>
      <c r="M39" s="212"/>
      <c r="N39" s="212"/>
    </row>
    <row r="40" spans="1:14" s="205" customFormat="1" ht="18" customHeight="1">
      <c r="A40" s="320"/>
      <c r="B40" s="317"/>
      <c r="C40" s="317"/>
      <c r="D40" s="211"/>
      <c r="E40" s="212"/>
      <c r="F40" s="212"/>
      <c r="G40" s="212"/>
      <c r="H40" s="212"/>
      <c r="I40" s="212"/>
      <c r="J40" s="212"/>
      <c r="K40" s="212"/>
      <c r="L40" s="212"/>
      <c r="M40" s="212"/>
      <c r="N40" s="212"/>
    </row>
    <row r="41" spans="1:14" s="205" customFormat="1" ht="18" customHeight="1">
      <c r="A41" s="320"/>
      <c r="B41" s="317"/>
      <c r="C41" s="317"/>
      <c r="D41" s="211"/>
      <c r="E41" s="212"/>
      <c r="F41" s="212"/>
      <c r="G41" s="212"/>
      <c r="H41" s="212"/>
      <c r="I41" s="212"/>
      <c r="J41" s="212"/>
      <c r="K41" s="212"/>
      <c r="L41" s="212"/>
      <c r="M41" s="212"/>
      <c r="N41" s="212"/>
    </row>
    <row r="42" spans="1:14" s="205" customFormat="1" ht="18" customHeight="1">
      <c r="A42" s="320">
        <v>10</v>
      </c>
      <c r="B42" s="317"/>
      <c r="C42" s="317"/>
      <c r="D42" s="211"/>
      <c r="E42" s="212"/>
      <c r="F42" s="212"/>
      <c r="G42" s="212"/>
      <c r="H42" s="212"/>
      <c r="I42" s="212"/>
      <c r="J42" s="212"/>
      <c r="K42" s="212"/>
      <c r="L42" s="212"/>
      <c r="M42" s="212"/>
      <c r="N42" s="212"/>
    </row>
    <row r="43" spans="1:14" s="205" customFormat="1" ht="18" customHeight="1">
      <c r="A43" s="320"/>
      <c r="B43" s="317"/>
      <c r="C43" s="317"/>
      <c r="D43" s="211"/>
      <c r="E43" s="212"/>
      <c r="F43" s="212"/>
      <c r="G43" s="212"/>
      <c r="H43" s="212"/>
      <c r="I43" s="212"/>
      <c r="J43" s="212"/>
      <c r="K43" s="212"/>
      <c r="L43" s="212"/>
      <c r="M43" s="212"/>
      <c r="N43" s="212"/>
    </row>
    <row r="44" spans="1:14" s="205" customFormat="1" ht="18" customHeight="1">
      <c r="A44" s="320"/>
      <c r="B44" s="317"/>
      <c r="C44" s="317"/>
      <c r="D44" s="211"/>
      <c r="E44" s="212"/>
      <c r="F44" s="212"/>
      <c r="G44" s="212"/>
      <c r="H44" s="212"/>
      <c r="I44" s="212"/>
      <c r="J44" s="212"/>
      <c r="K44" s="212"/>
      <c r="L44" s="212"/>
      <c r="M44" s="212"/>
      <c r="N44" s="212"/>
    </row>
    <row r="45" spans="1:14" s="205" customFormat="1" ht="18" customHeight="1">
      <c r="A45" s="320"/>
      <c r="B45" s="317"/>
      <c r="C45" s="317"/>
      <c r="D45" s="211"/>
      <c r="E45" s="212"/>
      <c r="F45" s="212"/>
      <c r="G45" s="212"/>
      <c r="H45" s="212"/>
      <c r="I45" s="212"/>
      <c r="J45" s="212"/>
      <c r="K45" s="212"/>
      <c r="L45" s="212"/>
      <c r="M45" s="212"/>
      <c r="N45" s="212"/>
    </row>
    <row r="46" spans="1:14" s="205" customFormat="1" ht="30.6">
      <c r="A46" s="325" t="s">
        <v>0</v>
      </c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</row>
    <row r="47" spans="1:14" s="205" customFormat="1" ht="18.75" customHeight="1">
      <c r="A47" s="318" t="s">
        <v>1</v>
      </c>
      <c r="B47" s="318"/>
      <c r="C47" s="326"/>
      <c r="D47" s="326"/>
      <c r="E47" s="207" t="s">
        <v>2</v>
      </c>
      <c r="F47" s="327"/>
      <c r="G47" s="328"/>
      <c r="H47" s="328"/>
      <c r="I47" s="329"/>
      <c r="J47" s="207" t="s">
        <v>3</v>
      </c>
      <c r="K47" s="327"/>
      <c r="L47" s="328"/>
      <c r="M47" s="328"/>
      <c r="N47" s="329"/>
    </row>
    <row r="48" spans="1:14" s="205" customFormat="1" ht="6.75" customHeight="1">
      <c r="A48" s="208"/>
      <c r="B48" s="208"/>
      <c r="C48" s="208"/>
      <c r="D48" s="209"/>
      <c r="H48" s="321"/>
      <c r="I48" s="321"/>
      <c r="M48" s="321"/>
      <c r="N48" s="321"/>
    </row>
    <row r="49" spans="1:14" s="205" customFormat="1" ht="29.25" customHeight="1">
      <c r="A49" s="319" t="s">
        <v>4</v>
      </c>
      <c r="B49" s="319" t="s">
        <v>5</v>
      </c>
      <c r="C49" s="319" t="s">
        <v>6</v>
      </c>
      <c r="D49" s="318" t="s">
        <v>7</v>
      </c>
      <c r="E49" s="322" t="s">
        <v>8</v>
      </c>
      <c r="F49" s="323"/>
      <c r="G49" s="323"/>
      <c r="H49" s="323"/>
      <c r="I49" s="323"/>
      <c r="J49" s="323"/>
      <c r="K49" s="323"/>
      <c r="L49" s="323"/>
      <c r="M49" s="323"/>
      <c r="N49" s="324"/>
    </row>
    <row r="50" spans="1:14" s="205" customFormat="1" ht="27.75" customHeight="1">
      <c r="A50" s="319"/>
      <c r="B50" s="319"/>
      <c r="C50" s="319"/>
      <c r="D50" s="318"/>
      <c r="E50" s="210">
        <v>1</v>
      </c>
      <c r="F50" s="210">
        <v>2</v>
      </c>
      <c r="G50" s="210">
        <v>3</v>
      </c>
      <c r="H50" s="210">
        <v>4</v>
      </c>
      <c r="I50" s="210">
        <v>5</v>
      </c>
      <c r="J50" s="210">
        <v>6</v>
      </c>
      <c r="K50" s="210">
        <v>7</v>
      </c>
      <c r="L50" s="210">
        <v>8</v>
      </c>
      <c r="M50" s="210">
        <v>9</v>
      </c>
      <c r="N50" s="210">
        <v>10</v>
      </c>
    </row>
    <row r="51" spans="1:14" s="205" customFormat="1" ht="18" customHeight="1">
      <c r="A51" s="320">
        <v>1</v>
      </c>
      <c r="B51" s="317"/>
      <c r="C51" s="317"/>
      <c r="D51" s="211"/>
      <c r="E51" s="212"/>
      <c r="F51" s="212"/>
      <c r="G51" s="212"/>
      <c r="H51" s="212"/>
      <c r="I51" s="212"/>
      <c r="J51" s="212"/>
      <c r="K51" s="212"/>
      <c r="L51" s="212"/>
      <c r="M51" s="212"/>
      <c r="N51" s="212"/>
    </row>
    <row r="52" spans="1:14" s="205" customFormat="1" ht="18" customHeight="1">
      <c r="A52" s="320"/>
      <c r="B52" s="317"/>
      <c r="C52" s="317"/>
      <c r="D52" s="211"/>
      <c r="E52" s="212"/>
      <c r="F52" s="212"/>
      <c r="G52" s="212"/>
      <c r="H52" s="212"/>
      <c r="I52" s="212"/>
      <c r="J52" s="212"/>
      <c r="K52" s="212"/>
      <c r="L52" s="212"/>
      <c r="M52" s="212"/>
      <c r="N52" s="212"/>
    </row>
    <row r="53" spans="1:14" s="205" customFormat="1" ht="18" customHeight="1">
      <c r="A53" s="320"/>
      <c r="B53" s="317"/>
      <c r="C53" s="317"/>
      <c r="D53" s="211"/>
      <c r="E53" s="212"/>
      <c r="F53" s="212"/>
      <c r="G53" s="212"/>
      <c r="H53" s="212"/>
      <c r="I53" s="212"/>
      <c r="J53" s="212"/>
      <c r="K53" s="212"/>
      <c r="L53" s="212"/>
      <c r="M53" s="212"/>
      <c r="N53" s="212"/>
    </row>
    <row r="54" spans="1:14" s="205" customFormat="1" ht="18" customHeight="1">
      <c r="A54" s="320"/>
      <c r="B54" s="317"/>
      <c r="C54" s="317"/>
      <c r="D54" s="211"/>
      <c r="E54" s="212"/>
      <c r="F54" s="212"/>
      <c r="G54" s="212"/>
      <c r="H54" s="212"/>
      <c r="I54" s="212"/>
      <c r="J54" s="212"/>
      <c r="K54" s="212"/>
      <c r="L54" s="212"/>
      <c r="M54" s="212"/>
      <c r="N54" s="212"/>
    </row>
    <row r="55" spans="1:14" s="205" customFormat="1" ht="18" customHeight="1">
      <c r="A55" s="320">
        <v>2</v>
      </c>
      <c r="B55" s="317"/>
      <c r="C55" s="317"/>
      <c r="D55" s="211"/>
      <c r="E55" s="212"/>
      <c r="F55" s="212"/>
      <c r="G55" s="212"/>
      <c r="H55" s="212"/>
      <c r="I55" s="212"/>
      <c r="J55" s="212"/>
      <c r="K55" s="212"/>
      <c r="L55" s="212"/>
      <c r="M55" s="212"/>
      <c r="N55" s="212"/>
    </row>
    <row r="56" spans="1:14" s="205" customFormat="1" ht="18" customHeight="1">
      <c r="A56" s="320"/>
      <c r="B56" s="317"/>
      <c r="C56" s="317"/>
      <c r="D56" s="211"/>
      <c r="E56" s="212"/>
      <c r="F56" s="212"/>
      <c r="G56" s="212"/>
      <c r="H56" s="212"/>
      <c r="I56" s="212"/>
      <c r="J56" s="212"/>
      <c r="K56" s="212"/>
      <c r="L56" s="212"/>
      <c r="M56" s="212"/>
      <c r="N56" s="212"/>
    </row>
    <row r="57" spans="1:14" s="205" customFormat="1" ht="18" customHeight="1">
      <c r="A57" s="320"/>
      <c r="B57" s="317"/>
      <c r="C57" s="317"/>
      <c r="D57" s="211"/>
      <c r="E57" s="212"/>
      <c r="F57" s="212"/>
      <c r="G57" s="212"/>
      <c r="H57" s="212"/>
      <c r="I57" s="212"/>
      <c r="J57" s="212"/>
      <c r="K57" s="212"/>
      <c r="L57" s="212"/>
      <c r="M57" s="212"/>
      <c r="N57" s="212"/>
    </row>
    <row r="58" spans="1:14" s="205" customFormat="1" ht="18" customHeight="1">
      <c r="A58" s="320"/>
      <c r="B58" s="317"/>
      <c r="C58" s="317"/>
      <c r="D58" s="211"/>
      <c r="E58" s="212"/>
      <c r="F58" s="212"/>
      <c r="G58" s="212"/>
      <c r="H58" s="212"/>
      <c r="I58" s="212"/>
      <c r="J58" s="212"/>
      <c r="K58" s="212"/>
      <c r="L58" s="212"/>
      <c r="M58" s="212"/>
      <c r="N58" s="212"/>
    </row>
    <row r="59" spans="1:14" s="205" customFormat="1" ht="18" customHeight="1">
      <c r="A59" s="320">
        <v>3</v>
      </c>
      <c r="B59" s="317"/>
      <c r="C59" s="317"/>
      <c r="D59" s="211"/>
      <c r="E59" s="212"/>
      <c r="F59" s="212"/>
      <c r="G59" s="212"/>
      <c r="H59" s="212"/>
      <c r="I59" s="212"/>
      <c r="J59" s="212"/>
      <c r="K59" s="212"/>
      <c r="L59" s="212"/>
      <c r="M59" s="212"/>
      <c r="N59" s="212"/>
    </row>
    <row r="60" spans="1:14" s="205" customFormat="1" ht="18" customHeight="1">
      <c r="A60" s="320"/>
      <c r="B60" s="317"/>
      <c r="C60" s="317"/>
      <c r="D60" s="211"/>
      <c r="E60" s="212"/>
      <c r="F60" s="212"/>
      <c r="G60" s="212"/>
      <c r="H60" s="212"/>
      <c r="I60" s="212"/>
      <c r="J60" s="212"/>
      <c r="K60" s="212"/>
      <c r="L60" s="212"/>
      <c r="M60" s="212"/>
      <c r="N60" s="212"/>
    </row>
    <row r="61" spans="1:14" s="205" customFormat="1" ht="18" customHeight="1">
      <c r="A61" s="320"/>
      <c r="B61" s="317"/>
      <c r="C61" s="317"/>
      <c r="D61" s="211"/>
      <c r="E61" s="212"/>
      <c r="F61" s="212"/>
      <c r="G61" s="212"/>
      <c r="H61" s="212"/>
      <c r="I61" s="212"/>
      <c r="J61" s="212"/>
      <c r="K61" s="212"/>
      <c r="L61" s="212"/>
      <c r="M61" s="212"/>
      <c r="N61" s="212"/>
    </row>
    <row r="62" spans="1:14" s="205" customFormat="1" ht="18" customHeight="1">
      <c r="A62" s="320"/>
      <c r="B62" s="317"/>
      <c r="C62" s="317"/>
      <c r="D62" s="211"/>
      <c r="E62" s="212"/>
      <c r="F62" s="212"/>
      <c r="G62" s="212"/>
      <c r="H62" s="212"/>
      <c r="I62" s="212"/>
      <c r="J62" s="212"/>
      <c r="K62" s="212"/>
      <c r="L62" s="212"/>
      <c r="M62" s="212"/>
      <c r="N62" s="212"/>
    </row>
    <row r="63" spans="1:14" s="205" customFormat="1" ht="18" customHeight="1">
      <c r="A63" s="320">
        <v>4</v>
      </c>
      <c r="B63" s="317"/>
      <c r="C63" s="317"/>
      <c r="D63" s="211"/>
      <c r="E63" s="212"/>
      <c r="F63" s="212"/>
      <c r="G63" s="212"/>
      <c r="H63" s="212"/>
      <c r="I63" s="212"/>
      <c r="J63" s="212"/>
      <c r="K63" s="212"/>
      <c r="L63" s="212"/>
      <c r="M63" s="212"/>
      <c r="N63" s="212"/>
    </row>
    <row r="64" spans="1:14" s="205" customFormat="1" ht="18" customHeight="1">
      <c r="A64" s="320"/>
      <c r="B64" s="317"/>
      <c r="C64" s="317"/>
      <c r="D64" s="211"/>
      <c r="E64" s="212"/>
      <c r="F64" s="212"/>
      <c r="G64" s="212"/>
      <c r="H64" s="212"/>
      <c r="I64" s="212"/>
      <c r="J64" s="212"/>
      <c r="K64" s="212"/>
      <c r="L64" s="212"/>
      <c r="M64" s="212"/>
      <c r="N64" s="212"/>
    </row>
    <row r="65" spans="1:14" s="205" customFormat="1" ht="18" customHeight="1">
      <c r="A65" s="320"/>
      <c r="B65" s="317"/>
      <c r="C65" s="317"/>
      <c r="D65" s="211"/>
      <c r="E65" s="212"/>
      <c r="F65" s="212"/>
      <c r="G65" s="212"/>
      <c r="H65" s="212"/>
      <c r="I65" s="212"/>
      <c r="J65" s="212"/>
      <c r="K65" s="212"/>
      <c r="L65" s="212"/>
      <c r="M65" s="212"/>
      <c r="N65" s="212"/>
    </row>
    <row r="66" spans="1:14" s="205" customFormat="1" ht="18" customHeight="1">
      <c r="A66" s="320"/>
      <c r="B66" s="317"/>
      <c r="C66" s="317"/>
      <c r="D66" s="211"/>
      <c r="E66" s="212"/>
      <c r="F66" s="212"/>
      <c r="G66" s="212"/>
      <c r="H66" s="212"/>
      <c r="I66" s="212"/>
      <c r="J66" s="212"/>
      <c r="K66" s="212"/>
      <c r="L66" s="212"/>
      <c r="M66" s="212"/>
      <c r="N66" s="212"/>
    </row>
    <row r="67" spans="1:14" s="205" customFormat="1" ht="18" customHeight="1">
      <c r="A67" s="320">
        <v>5</v>
      </c>
      <c r="B67" s="317"/>
      <c r="C67" s="317"/>
      <c r="D67" s="211"/>
      <c r="E67" s="212"/>
      <c r="F67" s="212"/>
      <c r="G67" s="212"/>
      <c r="H67" s="212"/>
      <c r="I67" s="212"/>
      <c r="J67" s="212"/>
      <c r="K67" s="212"/>
      <c r="L67" s="212"/>
      <c r="M67" s="212"/>
      <c r="N67" s="212"/>
    </row>
    <row r="68" spans="1:14" s="205" customFormat="1" ht="18" customHeight="1">
      <c r="A68" s="320"/>
      <c r="B68" s="317"/>
      <c r="C68" s="317"/>
      <c r="D68" s="211"/>
      <c r="E68" s="212"/>
      <c r="F68" s="212"/>
      <c r="G68" s="212"/>
      <c r="H68" s="212"/>
      <c r="I68" s="212"/>
      <c r="J68" s="212"/>
      <c r="K68" s="212"/>
      <c r="L68" s="212"/>
      <c r="M68" s="212"/>
      <c r="N68" s="212"/>
    </row>
    <row r="69" spans="1:14" s="205" customFormat="1" ht="18" customHeight="1">
      <c r="A69" s="320"/>
      <c r="B69" s="317"/>
      <c r="C69" s="317"/>
      <c r="D69" s="211"/>
      <c r="E69" s="212"/>
      <c r="F69" s="212"/>
      <c r="G69" s="212"/>
      <c r="H69" s="212"/>
      <c r="I69" s="212"/>
      <c r="J69" s="212"/>
      <c r="K69" s="212"/>
      <c r="L69" s="212"/>
      <c r="M69" s="212"/>
      <c r="N69" s="212"/>
    </row>
    <row r="70" spans="1:14" s="205" customFormat="1" ht="18" customHeight="1">
      <c r="A70" s="320"/>
      <c r="B70" s="317"/>
      <c r="C70" s="317"/>
      <c r="D70" s="211"/>
      <c r="E70" s="212"/>
      <c r="F70" s="212"/>
      <c r="G70" s="212"/>
      <c r="H70" s="212"/>
      <c r="I70" s="212"/>
      <c r="J70" s="212"/>
      <c r="K70" s="212"/>
      <c r="L70" s="212"/>
      <c r="M70" s="212"/>
      <c r="N70" s="212"/>
    </row>
    <row r="71" spans="1:14" s="205" customFormat="1" ht="18" customHeight="1">
      <c r="A71" s="320">
        <v>6</v>
      </c>
      <c r="B71" s="317"/>
      <c r="C71" s="317"/>
      <c r="D71" s="211"/>
      <c r="E71" s="212"/>
      <c r="F71" s="212"/>
      <c r="G71" s="212"/>
      <c r="H71" s="212"/>
      <c r="I71" s="212"/>
      <c r="J71" s="212"/>
      <c r="K71" s="212"/>
      <c r="L71" s="212"/>
      <c r="M71" s="212"/>
      <c r="N71" s="212"/>
    </row>
    <row r="72" spans="1:14" s="205" customFormat="1" ht="18" customHeight="1">
      <c r="A72" s="320"/>
      <c r="B72" s="317"/>
      <c r="C72" s="317"/>
      <c r="D72" s="211"/>
      <c r="E72" s="212"/>
      <c r="F72" s="212"/>
      <c r="G72" s="212"/>
      <c r="H72" s="212"/>
      <c r="I72" s="212"/>
      <c r="J72" s="212"/>
      <c r="K72" s="212"/>
      <c r="L72" s="212"/>
      <c r="M72" s="212"/>
      <c r="N72" s="212"/>
    </row>
    <row r="73" spans="1:14" s="205" customFormat="1" ht="18" customHeight="1">
      <c r="A73" s="320"/>
      <c r="B73" s="317"/>
      <c r="C73" s="317"/>
      <c r="D73" s="211"/>
      <c r="E73" s="212"/>
      <c r="F73" s="212"/>
      <c r="G73" s="212"/>
      <c r="H73" s="212"/>
      <c r="I73" s="212"/>
      <c r="J73" s="212"/>
      <c r="K73" s="212"/>
      <c r="L73" s="212"/>
      <c r="M73" s="212"/>
      <c r="N73" s="212"/>
    </row>
    <row r="74" spans="1:14" s="205" customFormat="1" ht="18" customHeight="1">
      <c r="A74" s="320"/>
      <c r="B74" s="317"/>
      <c r="C74" s="317"/>
      <c r="D74" s="211"/>
      <c r="E74" s="212"/>
      <c r="F74" s="212"/>
      <c r="G74" s="212"/>
      <c r="H74" s="212"/>
      <c r="I74" s="212"/>
      <c r="J74" s="212"/>
      <c r="K74" s="212"/>
      <c r="L74" s="212"/>
      <c r="M74" s="212"/>
      <c r="N74" s="212"/>
    </row>
    <row r="75" spans="1:14" s="205" customFormat="1" ht="18" customHeight="1">
      <c r="A75" s="320">
        <v>7</v>
      </c>
      <c r="B75" s="317"/>
      <c r="C75" s="317"/>
      <c r="D75" s="211"/>
      <c r="E75" s="212"/>
      <c r="F75" s="212"/>
      <c r="G75" s="212"/>
      <c r="H75" s="212"/>
      <c r="I75" s="212"/>
      <c r="J75" s="212"/>
      <c r="K75" s="212"/>
      <c r="L75" s="212"/>
      <c r="M75" s="212"/>
      <c r="N75" s="212"/>
    </row>
    <row r="76" spans="1:14" s="205" customFormat="1" ht="18" customHeight="1">
      <c r="A76" s="320"/>
      <c r="B76" s="317"/>
      <c r="C76" s="317"/>
      <c r="D76" s="211"/>
      <c r="E76" s="212"/>
      <c r="F76" s="212"/>
      <c r="G76" s="212"/>
      <c r="H76" s="212"/>
      <c r="I76" s="212"/>
      <c r="J76" s="212"/>
      <c r="K76" s="212"/>
      <c r="L76" s="212"/>
      <c r="M76" s="212"/>
      <c r="N76" s="212"/>
    </row>
    <row r="77" spans="1:14" s="205" customFormat="1" ht="18" customHeight="1">
      <c r="A77" s="320"/>
      <c r="B77" s="317"/>
      <c r="C77" s="317"/>
      <c r="D77" s="211"/>
      <c r="E77" s="212"/>
      <c r="F77" s="212"/>
      <c r="G77" s="212"/>
      <c r="H77" s="212"/>
      <c r="I77" s="212"/>
      <c r="J77" s="212"/>
      <c r="K77" s="212"/>
      <c r="L77" s="212"/>
      <c r="M77" s="212"/>
      <c r="N77" s="212"/>
    </row>
    <row r="78" spans="1:14" s="205" customFormat="1" ht="18" customHeight="1">
      <c r="A78" s="320"/>
      <c r="B78" s="317"/>
      <c r="C78" s="317"/>
      <c r="D78" s="211"/>
      <c r="E78" s="212"/>
      <c r="F78" s="212"/>
      <c r="G78" s="212"/>
      <c r="H78" s="212"/>
      <c r="I78" s="212"/>
      <c r="J78" s="212"/>
      <c r="K78" s="212"/>
      <c r="L78" s="212"/>
      <c r="M78" s="212"/>
      <c r="N78" s="212"/>
    </row>
    <row r="79" spans="1:14" s="205" customFormat="1" ht="18" customHeight="1">
      <c r="A79" s="320">
        <v>8</v>
      </c>
      <c r="B79" s="317"/>
      <c r="C79" s="317"/>
      <c r="D79" s="211"/>
      <c r="E79" s="212"/>
      <c r="F79" s="212"/>
      <c r="G79" s="212"/>
      <c r="H79" s="212"/>
      <c r="I79" s="212"/>
      <c r="J79" s="212"/>
      <c r="K79" s="212"/>
      <c r="L79" s="212"/>
      <c r="M79" s="212"/>
      <c r="N79" s="212"/>
    </row>
    <row r="80" spans="1:14" s="205" customFormat="1" ht="18" customHeight="1">
      <c r="A80" s="320"/>
      <c r="B80" s="317"/>
      <c r="C80" s="317"/>
      <c r="D80" s="211"/>
      <c r="E80" s="212"/>
      <c r="F80" s="212"/>
      <c r="G80" s="212"/>
      <c r="H80" s="212"/>
      <c r="I80" s="212"/>
      <c r="J80" s="212"/>
      <c r="K80" s="212"/>
      <c r="L80" s="212"/>
      <c r="M80" s="212"/>
      <c r="N80" s="212"/>
    </row>
    <row r="81" spans="1:14" s="205" customFormat="1" ht="18" customHeight="1">
      <c r="A81" s="320"/>
      <c r="B81" s="317"/>
      <c r="C81" s="317"/>
      <c r="D81" s="211"/>
      <c r="E81" s="212"/>
      <c r="F81" s="212"/>
      <c r="G81" s="212"/>
      <c r="H81" s="212"/>
      <c r="I81" s="212"/>
      <c r="J81" s="212"/>
      <c r="K81" s="212"/>
      <c r="L81" s="212"/>
      <c r="M81" s="212"/>
      <c r="N81" s="212"/>
    </row>
    <row r="82" spans="1:14" s="205" customFormat="1" ht="18" customHeight="1">
      <c r="A82" s="320"/>
      <c r="B82" s="317"/>
      <c r="C82" s="317"/>
      <c r="D82" s="211"/>
      <c r="E82" s="212"/>
      <c r="F82" s="212"/>
      <c r="G82" s="212"/>
      <c r="H82" s="212"/>
      <c r="I82" s="212"/>
      <c r="J82" s="212"/>
      <c r="K82" s="212"/>
      <c r="L82" s="212"/>
      <c r="M82" s="212"/>
      <c r="N82" s="212"/>
    </row>
    <row r="83" spans="1:14" s="205" customFormat="1" ht="18" customHeight="1">
      <c r="A83" s="320">
        <v>9</v>
      </c>
      <c r="B83" s="317"/>
      <c r="C83" s="317"/>
      <c r="D83" s="211"/>
      <c r="E83" s="212"/>
      <c r="F83" s="212"/>
      <c r="G83" s="212"/>
      <c r="H83" s="212"/>
      <c r="I83" s="212"/>
      <c r="J83" s="212"/>
      <c r="K83" s="212"/>
      <c r="L83" s="212"/>
      <c r="M83" s="212"/>
      <c r="N83" s="212"/>
    </row>
    <row r="84" spans="1:14" s="205" customFormat="1" ht="18" customHeight="1">
      <c r="A84" s="320"/>
      <c r="B84" s="317"/>
      <c r="C84" s="317"/>
      <c r="D84" s="211"/>
      <c r="E84" s="212"/>
      <c r="F84" s="212"/>
      <c r="G84" s="212"/>
      <c r="H84" s="212"/>
      <c r="I84" s="212"/>
      <c r="J84" s="212"/>
      <c r="K84" s="212"/>
      <c r="L84" s="212"/>
      <c r="M84" s="212"/>
      <c r="N84" s="212"/>
    </row>
    <row r="85" spans="1:14" s="205" customFormat="1" ht="18" customHeight="1">
      <c r="A85" s="320"/>
      <c r="B85" s="317"/>
      <c r="C85" s="317"/>
      <c r="D85" s="211"/>
      <c r="E85" s="212"/>
      <c r="F85" s="212"/>
      <c r="G85" s="212"/>
      <c r="H85" s="212"/>
      <c r="I85" s="212"/>
      <c r="J85" s="212"/>
      <c r="K85" s="212"/>
      <c r="L85" s="212"/>
      <c r="M85" s="212"/>
      <c r="N85" s="212"/>
    </row>
    <row r="86" spans="1:14" s="205" customFormat="1" ht="18" customHeight="1">
      <c r="A86" s="320"/>
      <c r="B86" s="317"/>
      <c r="C86" s="317"/>
      <c r="D86" s="211"/>
      <c r="E86" s="212"/>
      <c r="F86" s="212"/>
      <c r="G86" s="212"/>
      <c r="H86" s="212"/>
      <c r="I86" s="212"/>
      <c r="J86" s="212"/>
      <c r="K86" s="212"/>
      <c r="L86" s="212"/>
      <c r="M86" s="212"/>
      <c r="N86" s="212"/>
    </row>
    <row r="87" spans="1:14" s="205" customFormat="1" ht="18" customHeight="1">
      <c r="A87" s="320">
        <v>10</v>
      </c>
      <c r="B87" s="317"/>
      <c r="C87" s="317"/>
      <c r="D87" s="211"/>
      <c r="E87" s="212"/>
      <c r="F87" s="212"/>
      <c r="G87" s="212"/>
      <c r="H87" s="212"/>
      <c r="I87" s="212"/>
      <c r="J87" s="212"/>
      <c r="K87" s="212"/>
      <c r="L87" s="212"/>
      <c r="M87" s="212"/>
      <c r="N87" s="212"/>
    </row>
    <row r="88" spans="1:14" s="205" customFormat="1" ht="18" customHeight="1">
      <c r="A88" s="320"/>
      <c r="B88" s="317"/>
      <c r="C88" s="317"/>
      <c r="D88" s="211"/>
      <c r="E88" s="212"/>
      <c r="F88" s="212"/>
      <c r="G88" s="212"/>
      <c r="H88" s="212"/>
      <c r="I88" s="212"/>
      <c r="J88" s="212"/>
      <c r="K88" s="212"/>
      <c r="L88" s="212"/>
      <c r="M88" s="212"/>
      <c r="N88" s="212"/>
    </row>
    <row r="89" spans="1:14" s="205" customFormat="1" ht="18" customHeight="1">
      <c r="A89" s="320"/>
      <c r="B89" s="317"/>
      <c r="C89" s="317"/>
      <c r="D89" s="211"/>
      <c r="E89" s="212"/>
      <c r="F89" s="212"/>
      <c r="G89" s="212"/>
      <c r="H89" s="212"/>
      <c r="I89" s="212"/>
      <c r="J89" s="212"/>
      <c r="K89" s="212"/>
      <c r="L89" s="212"/>
      <c r="M89" s="212"/>
      <c r="N89" s="212"/>
    </row>
    <row r="90" spans="1:14" s="205" customFormat="1" ht="18" customHeight="1">
      <c r="A90" s="320"/>
      <c r="B90" s="317"/>
      <c r="C90" s="317"/>
      <c r="D90" s="211"/>
      <c r="E90" s="212"/>
      <c r="F90" s="212"/>
      <c r="G90" s="212"/>
      <c r="H90" s="212"/>
      <c r="I90" s="212"/>
      <c r="J90" s="212"/>
      <c r="K90" s="212"/>
      <c r="L90" s="212"/>
      <c r="M90" s="212"/>
      <c r="N90" s="212"/>
    </row>
  </sheetData>
  <mergeCells count="84">
    <mergeCell ref="A1:N1"/>
    <mergeCell ref="A2:B2"/>
    <mergeCell ref="C2:D2"/>
    <mergeCell ref="F2:I2"/>
    <mergeCell ref="K2:N2"/>
    <mergeCell ref="H3:I3"/>
    <mergeCell ref="M3:N3"/>
    <mergeCell ref="E4:N4"/>
    <mergeCell ref="A46:N46"/>
    <mergeCell ref="A47:B47"/>
    <mergeCell ref="C47:D47"/>
    <mergeCell ref="F47:I47"/>
    <mergeCell ref="K47:N47"/>
    <mergeCell ref="B6:B9"/>
    <mergeCell ref="B10:B13"/>
    <mergeCell ref="B14:B17"/>
    <mergeCell ref="B18:B21"/>
    <mergeCell ref="B22:B25"/>
    <mergeCell ref="B26:B29"/>
    <mergeCell ref="B30:B33"/>
    <mergeCell ref="B34:B37"/>
    <mergeCell ref="H48:I48"/>
    <mergeCell ref="M48:N48"/>
    <mergeCell ref="E49:N49"/>
    <mergeCell ref="A4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9:A50"/>
    <mergeCell ref="B4:B5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B38:B41"/>
    <mergeCell ref="B42:B45"/>
    <mergeCell ref="B49:B50"/>
    <mergeCell ref="B51:B54"/>
    <mergeCell ref="B55:B58"/>
    <mergeCell ref="B59:B62"/>
    <mergeCell ref="B63:B66"/>
    <mergeCell ref="B67:B70"/>
    <mergeCell ref="B71:B74"/>
    <mergeCell ref="B75:B78"/>
    <mergeCell ref="B79:B82"/>
    <mergeCell ref="B83:B86"/>
    <mergeCell ref="B87:B90"/>
    <mergeCell ref="C4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9:C50"/>
    <mergeCell ref="C51:C54"/>
    <mergeCell ref="C75:C78"/>
    <mergeCell ref="C79:C82"/>
    <mergeCell ref="C83:C86"/>
    <mergeCell ref="C87:C90"/>
    <mergeCell ref="D4:D5"/>
    <mergeCell ref="D49:D50"/>
    <mergeCell ref="C55:C58"/>
    <mergeCell ref="C59:C62"/>
    <mergeCell ref="C63:C66"/>
    <mergeCell ref="C67:C70"/>
    <mergeCell ref="C71:C74"/>
  </mergeCells>
  <phoneticPr fontId="93" type="noConversion"/>
  <conditionalFormatting sqref="E6:N45">
    <cfRule type="cellIs" priority="3" stopIfTrue="1" operator="equal">
      <formula>0</formula>
    </cfRule>
    <cfRule type="cellIs" dxfId="1" priority="4" stopIfTrue="1" operator="notBetween">
      <formula>#REF!</formula>
      <formula>#REF!</formula>
    </cfRule>
  </conditionalFormatting>
  <conditionalFormatting sqref="E51:N90">
    <cfRule type="cellIs" priority="1" stopIfTrue="1" operator="equal">
      <formula>0</formula>
    </cfRule>
    <cfRule type="cellIs" dxfId="0" priority="2" stopIfTrue="1" operator="notBetween">
      <formula>#REF!</formula>
      <formula>#REF!</formula>
    </cfRule>
  </conditionalFormatting>
  <printOptions horizontalCentered="1" verticalCentered="1"/>
  <pageMargins left="0.196850393700787" right="0.196850393700787" top="0" bottom="0" header="0" footer="0"/>
  <pageSetup paperSize="9" scale="98" fitToHeight="0" orientation="portrait" r:id="rId1"/>
  <headerFooter alignWithMargins="0"/>
  <rowBreaks count="1" manualBreakCount="1">
    <brk id="4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P14"/>
  <sheetViews>
    <sheetView showGridLines="0" tabSelected="1" workbookViewId="0">
      <selection activeCell="B1" sqref="B1:P14"/>
    </sheetView>
  </sheetViews>
  <sheetFormatPr defaultColWidth="9" defaultRowHeight="15.6"/>
  <cols>
    <col min="1" max="1" width="1.21875" style="64" customWidth="1"/>
    <col min="2" max="4" width="9" style="64"/>
    <col min="5" max="5" width="1.21875" style="64" customWidth="1"/>
    <col min="6" max="8" width="9" style="64"/>
    <col min="9" max="9" width="1.21875" style="64" customWidth="1"/>
    <col min="10" max="12" width="9" style="64"/>
    <col min="13" max="13" width="1.21875" style="64" customWidth="1"/>
    <col min="14" max="16384" width="9" style="64"/>
  </cols>
  <sheetData>
    <row r="1" spans="1:16" ht="30" customHeight="1">
      <c r="B1" s="335" t="s">
        <v>97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</row>
    <row r="2" spans="1:16" ht="7.5" customHeight="1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</row>
    <row r="3" spans="1:16">
      <c r="B3" s="336" t="s">
        <v>98</v>
      </c>
      <c r="C3" s="337"/>
      <c r="D3" s="338"/>
      <c r="F3" s="336" t="s">
        <v>99</v>
      </c>
      <c r="G3" s="337"/>
      <c r="H3" s="338"/>
      <c r="J3" s="336" t="s">
        <v>100</v>
      </c>
      <c r="K3" s="337"/>
      <c r="L3" s="338"/>
      <c r="N3" s="336" t="s">
        <v>101</v>
      </c>
      <c r="O3" s="337"/>
      <c r="P3" s="338"/>
    </row>
    <row r="4" spans="1:16">
      <c r="A4" s="66"/>
      <c r="B4" s="334" t="s">
        <v>102</v>
      </c>
      <c r="C4" s="67" t="s">
        <v>103</v>
      </c>
      <c r="D4" s="68">
        <v>0.15</v>
      </c>
      <c r="E4" s="66"/>
      <c r="F4" s="331" t="s">
        <v>102</v>
      </c>
      <c r="G4" s="70" t="s">
        <v>103</v>
      </c>
      <c r="H4" s="71">
        <v>0.13</v>
      </c>
      <c r="I4" s="66"/>
      <c r="J4" s="69" t="s">
        <v>104</v>
      </c>
      <c r="K4" s="70" t="s">
        <v>27</v>
      </c>
      <c r="L4" s="71">
        <v>-0.06</v>
      </c>
      <c r="M4" s="66"/>
      <c r="N4" s="69" t="s">
        <v>102</v>
      </c>
      <c r="O4" s="70" t="s">
        <v>27</v>
      </c>
      <c r="P4" s="71">
        <v>0.04</v>
      </c>
    </row>
    <row r="5" spans="1:16">
      <c r="A5" s="66"/>
      <c r="B5" s="332"/>
      <c r="C5" s="72" t="s">
        <v>105</v>
      </c>
      <c r="D5" s="71">
        <v>0.13</v>
      </c>
      <c r="E5" s="66"/>
      <c r="F5" s="332"/>
      <c r="G5" s="72" t="s">
        <v>105</v>
      </c>
      <c r="H5" s="71">
        <v>0.12</v>
      </c>
      <c r="I5" s="66"/>
      <c r="J5" s="58" t="s">
        <v>106</v>
      </c>
      <c r="K5" s="72" t="s">
        <v>28</v>
      </c>
      <c r="L5" s="71">
        <v>-0.04</v>
      </c>
      <c r="M5" s="66"/>
      <c r="N5" s="58" t="s">
        <v>106</v>
      </c>
      <c r="O5" s="72" t="s">
        <v>28</v>
      </c>
      <c r="P5" s="71">
        <v>0.03</v>
      </c>
    </row>
    <row r="6" spans="1:16">
      <c r="A6" s="66"/>
      <c r="B6" s="332" t="s">
        <v>106</v>
      </c>
      <c r="C6" s="72" t="s">
        <v>107</v>
      </c>
      <c r="D6" s="71">
        <v>0.11</v>
      </c>
      <c r="E6" s="66"/>
      <c r="F6" s="332" t="s">
        <v>106</v>
      </c>
      <c r="G6" s="72" t="s">
        <v>107</v>
      </c>
      <c r="H6" s="71">
        <v>0.1</v>
      </c>
      <c r="I6" s="66"/>
      <c r="J6" s="58" t="s">
        <v>108</v>
      </c>
      <c r="K6" s="72" t="s">
        <v>109</v>
      </c>
      <c r="L6" s="71">
        <v>-0.02</v>
      </c>
      <c r="M6" s="66"/>
      <c r="N6" s="58" t="s">
        <v>108</v>
      </c>
      <c r="O6" s="72" t="s">
        <v>109</v>
      </c>
      <c r="P6" s="71">
        <v>0.01</v>
      </c>
    </row>
    <row r="7" spans="1:16">
      <c r="A7" s="66"/>
      <c r="B7" s="332"/>
      <c r="C7" s="72" t="s">
        <v>110</v>
      </c>
      <c r="D7" s="71">
        <v>0.08</v>
      </c>
      <c r="E7" s="66"/>
      <c r="F7" s="332"/>
      <c r="G7" s="72" t="s">
        <v>110</v>
      </c>
      <c r="H7" s="71">
        <v>0.08</v>
      </c>
      <c r="I7" s="66"/>
      <c r="J7" s="58" t="s">
        <v>111</v>
      </c>
      <c r="K7" s="72" t="s">
        <v>112</v>
      </c>
      <c r="L7" s="73">
        <v>0</v>
      </c>
      <c r="M7" s="66"/>
      <c r="N7" s="58" t="s">
        <v>111</v>
      </c>
      <c r="O7" s="72" t="s">
        <v>112</v>
      </c>
      <c r="P7" s="73">
        <v>0</v>
      </c>
    </row>
    <row r="8" spans="1:16">
      <c r="A8" s="66"/>
      <c r="B8" s="332" t="s">
        <v>108</v>
      </c>
      <c r="C8" s="72" t="s">
        <v>113</v>
      </c>
      <c r="D8" s="71">
        <v>0.06</v>
      </c>
      <c r="E8" s="66"/>
      <c r="F8" s="332" t="s">
        <v>108</v>
      </c>
      <c r="G8" s="72" t="s">
        <v>113</v>
      </c>
      <c r="H8" s="71">
        <v>0.05</v>
      </c>
      <c r="I8" s="66"/>
      <c r="J8" s="58" t="s">
        <v>114</v>
      </c>
      <c r="K8" s="72" t="s">
        <v>115</v>
      </c>
      <c r="L8" s="71">
        <v>0.03</v>
      </c>
      <c r="M8" s="66"/>
      <c r="N8" s="58" t="s">
        <v>114</v>
      </c>
      <c r="O8" s="72" t="s">
        <v>115</v>
      </c>
      <c r="P8" s="71">
        <v>-0.02</v>
      </c>
    </row>
    <row r="9" spans="1:16">
      <c r="A9" s="66"/>
      <c r="B9" s="332"/>
      <c r="C9" s="72" t="s">
        <v>116</v>
      </c>
      <c r="D9" s="71">
        <v>0.03</v>
      </c>
      <c r="E9" s="66"/>
      <c r="F9" s="332"/>
      <c r="G9" s="72" t="s">
        <v>116</v>
      </c>
      <c r="H9" s="71">
        <v>0.02</v>
      </c>
      <c r="I9" s="66"/>
      <c r="J9" s="61" t="s">
        <v>117</v>
      </c>
      <c r="K9" s="74" t="s">
        <v>118</v>
      </c>
      <c r="L9" s="75">
        <v>7.0000000000000007E-2</v>
      </c>
      <c r="M9" s="66"/>
      <c r="N9" s="61" t="s">
        <v>117</v>
      </c>
      <c r="O9" s="74" t="s">
        <v>118</v>
      </c>
      <c r="P9" s="75">
        <v>-0.04</v>
      </c>
    </row>
    <row r="10" spans="1:16">
      <c r="A10" s="66"/>
      <c r="B10" s="58" t="s">
        <v>111</v>
      </c>
      <c r="C10" s="72" t="s">
        <v>112</v>
      </c>
      <c r="D10" s="73">
        <v>0</v>
      </c>
      <c r="E10" s="66"/>
      <c r="F10" s="58" t="s">
        <v>111</v>
      </c>
      <c r="G10" s="72" t="s">
        <v>112</v>
      </c>
      <c r="H10" s="73">
        <v>0</v>
      </c>
      <c r="I10" s="66"/>
      <c r="M10" s="66"/>
    </row>
    <row r="11" spans="1:16">
      <c r="A11" s="66"/>
      <c r="B11" s="332" t="s">
        <v>114</v>
      </c>
      <c r="C11" s="72" t="s">
        <v>119</v>
      </c>
      <c r="D11" s="71">
        <v>-0.05</v>
      </c>
      <c r="E11" s="66"/>
      <c r="F11" s="332" t="s">
        <v>114</v>
      </c>
      <c r="G11" s="72" t="s">
        <v>119</v>
      </c>
      <c r="H11" s="71">
        <v>-0.04</v>
      </c>
      <c r="I11" s="66"/>
      <c r="M11" s="66"/>
    </row>
    <row r="12" spans="1:16">
      <c r="A12" s="66"/>
      <c r="B12" s="332"/>
      <c r="C12" s="72" t="s">
        <v>120</v>
      </c>
      <c r="D12" s="71">
        <v>-0.1</v>
      </c>
      <c r="E12" s="66"/>
      <c r="F12" s="332"/>
      <c r="G12" s="72" t="s">
        <v>120</v>
      </c>
      <c r="H12" s="71">
        <v>-0.08</v>
      </c>
      <c r="I12" s="66"/>
      <c r="M12" s="66"/>
    </row>
    <row r="13" spans="1:16">
      <c r="A13" s="66"/>
      <c r="B13" s="332" t="s">
        <v>117</v>
      </c>
      <c r="C13" s="72" t="s">
        <v>121</v>
      </c>
      <c r="D13" s="71">
        <v>-0.16</v>
      </c>
      <c r="E13" s="66"/>
      <c r="F13" s="332" t="s">
        <v>117</v>
      </c>
      <c r="G13" s="72" t="s">
        <v>121</v>
      </c>
      <c r="H13" s="71">
        <v>-0.12</v>
      </c>
      <c r="I13" s="66"/>
      <c r="M13" s="66"/>
    </row>
    <row r="14" spans="1:16">
      <c r="A14" s="66"/>
      <c r="B14" s="333"/>
      <c r="C14" s="74" t="s">
        <v>122</v>
      </c>
      <c r="D14" s="75">
        <v>-0.22</v>
      </c>
      <c r="E14" s="66"/>
      <c r="F14" s="333"/>
      <c r="G14" s="74" t="s">
        <v>122</v>
      </c>
      <c r="H14" s="75">
        <v>-0.17</v>
      </c>
      <c r="I14" s="66"/>
      <c r="M14" s="66"/>
    </row>
  </sheetData>
  <mergeCells count="15">
    <mergeCell ref="B1:P1"/>
    <mergeCell ref="B3:D3"/>
    <mergeCell ref="F3:H3"/>
    <mergeCell ref="J3:L3"/>
    <mergeCell ref="N3:P3"/>
    <mergeCell ref="B4:B5"/>
    <mergeCell ref="B6:B7"/>
    <mergeCell ref="B8:B9"/>
    <mergeCell ref="B11:B12"/>
    <mergeCell ref="B13:B14"/>
    <mergeCell ref="F4:F5"/>
    <mergeCell ref="F6:F7"/>
    <mergeCell ref="F8:F9"/>
    <mergeCell ref="F11:F12"/>
    <mergeCell ref="F13:F14"/>
  </mergeCells>
  <phoneticPr fontId="93" type="noConversion"/>
  <pageMargins left="0.75" right="0.75" top="1" bottom="1" header="0.5" footer="0.5"/>
  <pageSetup paperSize="9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B1:D7"/>
  <sheetViews>
    <sheetView showGridLines="0" zoomScale="90" zoomScaleNormal="90" workbookViewId="0">
      <selection activeCell="A6" sqref="A6"/>
    </sheetView>
  </sheetViews>
  <sheetFormatPr defaultColWidth="9" defaultRowHeight="15.6"/>
  <cols>
    <col min="1" max="1" width="5.6640625" style="53" customWidth="1"/>
    <col min="2" max="2" width="16.109375" style="53" customWidth="1"/>
    <col min="3" max="3" width="24.33203125" style="53" customWidth="1"/>
    <col min="4" max="4" width="29.33203125" style="53" customWidth="1"/>
    <col min="5" max="16384" width="9" style="53"/>
  </cols>
  <sheetData>
    <row r="1" spans="2:4" ht="30.6">
      <c r="B1" s="339" t="s">
        <v>123</v>
      </c>
      <c r="C1" s="339"/>
      <c r="D1" s="339"/>
    </row>
    <row r="2" spans="2:4" ht="6" customHeight="1">
      <c r="B2" s="54"/>
      <c r="C2" s="54"/>
      <c r="D2" s="54"/>
    </row>
    <row r="3" spans="2:4" ht="19.5" customHeight="1">
      <c r="B3" s="340" t="s">
        <v>124</v>
      </c>
      <c r="C3" s="341"/>
      <c r="D3" s="55" t="s">
        <v>125</v>
      </c>
    </row>
    <row r="4" spans="2:4" ht="57.75" customHeight="1">
      <c r="B4" s="334" t="s">
        <v>126</v>
      </c>
      <c r="C4" s="56" t="s">
        <v>127</v>
      </c>
      <c r="D4" s="57" t="s">
        <v>128</v>
      </c>
    </row>
    <row r="5" spans="2:4" ht="102" customHeight="1">
      <c r="B5" s="332"/>
      <c r="C5" s="59" t="s">
        <v>129</v>
      </c>
      <c r="D5" s="60" t="s">
        <v>130</v>
      </c>
    </row>
    <row r="6" spans="2:4" ht="41.25" customHeight="1">
      <c r="B6" s="332"/>
      <c r="C6" s="59" t="s">
        <v>131</v>
      </c>
      <c r="D6" s="60" t="s">
        <v>132</v>
      </c>
    </row>
    <row r="7" spans="2:4" ht="41.25" customHeight="1">
      <c r="B7" s="61" t="s">
        <v>133</v>
      </c>
      <c r="C7" s="62" t="s">
        <v>134</v>
      </c>
      <c r="D7" s="63" t="s">
        <v>135</v>
      </c>
    </row>
  </sheetData>
  <mergeCells count="3">
    <mergeCell ref="B1:D1"/>
    <mergeCell ref="B3:C3"/>
    <mergeCell ref="B4:B6"/>
  </mergeCells>
  <phoneticPr fontId="93" type="noConversion"/>
  <pageMargins left="0.75" right="0.75" top="1" bottom="1" header="0.5" footer="0.5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S109"/>
  <sheetViews>
    <sheetView view="pageBreakPreview" topLeftCell="A4" zoomScale="50" zoomScaleNormal="100" workbookViewId="0">
      <selection sqref="A1:S1"/>
    </sheetView>
  </sheetViews>
  <sheetFormatPr defaultColWidth="9" defaultRowHeight="14.4"/>
  <cols>
    <col min="1" max="1" width="7.44140625" style="1" customWidth="1"/>
    <col min="2" max="2" width="12.44140625" style="1" customWidth="1"/>
    <col min="3" max="3" width="34.77734375" style="1" customWidth="1"/>
    <col min="4" max="8" width="4.33203125" style="1" customWidth="1"/>
    <col min="9" max="13" width="5.77734375" style="1" customWidth="1"/>
    <col min="14" max="14" width="7.33203125" style="2" customWidth="1"/>
    <col min="15" max="15" width="8.77734375" style="1" customWidth="1"/>
    <col min="16" max="16" width="8.77734375" style="3" customWidth="1"/>
    <col min="17" max="17" width="12.77734375" style="1" customWidth="1"/>
    <col min="18" max="18" width="10.77734375" style="3" customWidth="1"/>
    <col min="19" max="19" width="13.33203125" style="3" customWidth="1"/>
    <col min="20" max="16384" width="9" style="4"/>
  </cols>
  <sheetData>
    <row r="1" spans="1:19" ht="34.950000000000003" customHeight="1">
      <c r="A1" s="376" t="s">
        <v>136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</row>
    <row r="2" spans="1:19" ht="25.95" customHeight="1">
      <c r="A2" s="5" t="s">
        <v>137</v>
      </c>
      <c r="B2" s="5"/>
      <c r="C2" s="5"/>
      <c r="D2" s="377"/>
      <c r="E2" s="377"/>
      <c r="F2" s="378"/>
      <c r="G2" s="378"/>
      <c r="H2" s="378"/>
      <c r="I2" s="378"/>
      <c r="J2" s="377"/>
      <c r="K2" s="377"/>
      <c r="L2" s="379"/>
      <c r="M2" s="379"/>
      <c r="N2" s="379"/>
      <c r="O2" s="379"/>
      <c r="P2" s="5"/>
      <c r="Q2" s="379"/>
      <c r="R2" s="379"/>
      <c r="S2" s="379"/>
    </row>
    <row r="3" spans="1:19" ht="24.6" customHeight="1">
      <c r="A3" s="359" t="s">
        <v>138</v>
      </c>
      <c r="B3" s="344" t="s">
        <v>139</v>
      </c>
      <c r="C3" s="350" t="s">
        <v>140</v>
      </c>
      <c r="D3" s="344" t="s">
        <v>141</v>
      </c>
      <c r="E3" s="344"/>
      <c r="F3" s="344"/>
      <c r="G3" s="344"/>
      <c r="H3" s="344"/>
      <c r="I3" s="344" t="s">
        <v>142</v>
      </c>
      <c r="J3" s="344"/>
      <c r="K3" s="344"/>
      <c r="L3" s="344"/>
      <c r="M3" s="344"/>
      <c r="N3" s="355" t="s">
        <v>143</v>
      </c>
      <c r="O3" s="350" t="s">
        <v>144</v>
      </c>
      <c r="P3" s="344" t="s">
        <v>145</v>
      </c>
      <c r="Q3" s="350" t="s">
        <v>146</v>
      </c>
      <c r="R3" s="344" t="s">
        <v>147</v>
      </c>
      <c r="S3" s="342"/>
    </row>
    <row r="4" spans="1:19" ht="18.600000000000001" customHeight="1">
      <c r="A4" s="360"/>
      <c r="B4" s="345"/>
      <c r="C4" s="351"/>
      <c r="D4" s="6" t="s">
        <v>148</v>
      </c>
      <c r="E4" s="6" t="s">
        <v>149</v>
      </c>
      <c r="F4" s="6" t="s">
        <v>150</v>
      </c>
      <c r="G4" s="6" t="s">
        <v>151</v>
      </c>
      <c r="H4" s="6" t="s">
        <v>112</v>
      </c>
      <c r="I4" s="345"/>
      <c r="J4" s="345"/>
      <c r="K4" s="345"/>
      <c r="L4" s="345"/>
      <c r="M4" s="345"/>
      <c r="N4" s="356"/>
      <c r="O4" s="351"/>
      <c r="P4" s="345"/>
      <c r="Q4" s="351"/>
      <c r="R4" s="345"/>
      <c r="S4" s="343"/>
    </row>
    <row r="5" spans="1:19" ht="19.95" customHeight="1">
      <c r="A5" s="361">
        <v>10</v>
      </c>
      <c r="B5" s="349"/>
      <c r="C5" s="7"/>
      <c r="D5" s="7"/>
      <c r="E5" s="7"/>
      <c r="F5" s="7"/>
      <c r="G5" s="7"/>
      <c r="H5" s="7"/>
      <c r="I5" s="8"/>
      <c r="J5" s="8"/>
      <c r="K5" s="8"/>
      <c r="L5" s="8"/>
      <c r="M5" s="8"/>
      <c r="N5" s="8">
        <f>(SUM(I5:M5)-MAX(I5:M5)-MIN(I5:M5))/(COUNT(I5:M5)-2)</f>
        <v>0</v>
      </c>
      <c r="O5" s="347"/>
      <c r="P5" s="9"/>
      <c r="Q5" s="10"/>
      <c r="R5" s="11"/>
      <c r="S5" s="12"/>
    </row>
    <row r="6" spans="1:19" ht="19.95" customHeight="1">
      <c r="A6" s="361"/>
      <c r="B6" s="354"/>
      <c r="C6" s="13"/>
      <c r="D6" s="13"/>
      <c r="E6" s="13"/>
      <c r="F6" s="13"/>
      <c r="G6" s="13"/>
      <c r="H6" s="13"/>
      <c r="I6" s="14"/>
      <c r="J6" s="14"/>
      <c r="K6" s="14"/>
      <c r="L6" s="8"/>
      <c r="M6" s="14"/>
      <c r="N6" s="14">
        <f t="shared" ref="N6:N100" si="0">(SUM(I6:M6)-MAX(I6:M6)-MIN(I6:M6))/(COUNT(I6:M6)-2)</f>
        <v>0</v>
      </c>
      <c r="O6" s="347"/>
      <c r="P6" s="9"/>
      <c r="Q6" s="10"/>
      <c r="R6" s="11"/>
      <c r="S6" s="12"/>
    </row>
    <row r="7" spans="1:19" ht="19.95" customHeight="1">
      <c r="A7" s="361"/>
      <c r="B7" s="354"/>
      <c r="C7" s="13"/>
      <c r="D7" s="13"/>
      <c r="E7" s="13"/>
      <c r="F7" s="13"/>
      <c r="G7" s="13"/>
      <c r="H7" s="13"/>
      <c r="I7" s="14"/>
      <c r="J7" s="14"/>
      <c r="K7" s="14"/>
      <c r="L7" s="8"/>
      <c r="M7" s="14"/>
      <c r="N7" s="14">
        <f t="shared" si="0"/>
        <v>0</v>
      </c>
      <c r="O7" s="347"/>
      <c r="P7" s="9"/>
      <c r="Q7" s="10"/>
      <c r="R7" s="11"/>
      <c r="S7" s="12"/>
    </row>
    <row r="8" spans="1:19" ht="19.95" customHeight="1">
      <c r="A8" s="361"/>
      <c r="B8" s="354"/>
      <c r="C8" s="13"/>
      <c r="D8" s="13"/>
      <c r="E8" s="13"/>
      <c r="F8" s="13"/>
      <c r="G8" s="13"/>
      <c r="H8" s="13"/>
      <c r="I8" s="14"/>
      <c r="J8" s="14"/>
      <c r="K8" s="14"/>
      <c r="L8" s="8"/>
      <c r="M8" s="14"/>
      <c r="N8" s="14">
        <f t="shared" si="0"/>
        <v>0</v>
      </c>
      <c r="O8" s="347"/>
      <c r="P8" s="9"/>
      <c r="Q8" s="10"/>
      <c r="R8" s="11"/>
      <c r="S8" s="12"/>
    </row>
    <row r="9" spans="1:19" ht="19.95" customHeight="1">
      <c r="A9" s="361"/>
      <c r="B9" s="354"/>
      <c r="C9" s="13"/>
      <c r="D9" s="13"/>
      <c r="E9" s="13"/>
      <c r="F9" s="13"/>
      <c r="G9" s="13"/>
      <c r="H9" s="13"/>
      <c r="I9" s="14"/>
      <c r="J9" s="14"/>
      <c r="K9" s="14"/>
      <c r="L9" s="8"/>
      <c r="M9" s="14"/>
      <c r="N9" s="14">
        <f t="shared" si="0"/>
        <v>0</v>
      </c>
      <c r="O9" s="347"/>
      <c r="P9" s="9"/>
      <c r="Q9" s="10"/>
      <c r="R9" s="11"/>
      <c r="S9" s="12"/>
    </row>
    <row r="10" spans="1:19" ht="19.95" customHeight="1">
      <c r="A10" s="361"/>
      <c r="B10" s="354"/>
      <c r="C10" s="13"/>
      <c r="D10" s="13"/>
      <c r="E10" s="13"/>
      <c r="F10" s="13"/>
      <c r="G10" s="13"/>
      <c r="H10" s="13"/>
      <c r="I10" s="14"/>
      <c r="J10" s="14"/>
      <c r="K10" s="14"/>
      <c r="L10" s="8"/>
      <c r="M10" s="14"/>
      <c r="N10" s="14">
        <f t="shared" si="0"/>
        <v>0</v>
      </c>
      <c r="O10" s="347"/>
      <c r="P10" s="9"/>
      <c r="Q10" s="10"/>
      <c r="R10" s="11"/>
      <c r="S10" s="12"/>
    </row>
    <row r="11" spans="1:19" ht="19.95" customHeight="1">
      <c r="A11" s="361"/>
      <c r="B11" s="354"/>
      <c r="C11" s="13"/>
      <c r="D11" s="13"/>
      <c r="E11" s="13"/>
      <c r="F11" s="13"/>
      <c r="G11" s="13"/>
      <c r="H11" s="13"/>
      <c r="I11" s="14"/>
      <c r="J11" s="14"/>
      <c r="K11" s="14"/>
      <c r="L11" s="8"/>
      <c r="M11" s="14"/>
      <c r="N11" s="14">
        <f t="shared" si="0"/>
        <v>0</v>
      </c>
      <c r="O11" s="347"/>
      <c r="P11" s="9"/>
      <c r="Q11" s="10"/>
      <c r="R11" s="11"/>
      <c r="S11" s="12"/>
    </row>
    <row r="12" spans="1:19" ht="19.95" customHeight="1">
      <c r="A12" s="361"/>
      <c r="B12" s="354"/>
      <c r="C12" s="373"/>
      <c r="D12" s="374"/>
      <c r="E12" s="374"/>
      <c r="F12" s="374"/>
      <c r="G12" s="374"/>
      <c r="H12" s="374"/>
      <c r="I12" s="374"/>
      <c r="J12" s="374"/>
      <c r="K12" s="374"/>
      <c r="L12" s="374"/>
      <c r="M12" s="375"/>
      <c r="N12" s="15">
        <f>SUM(N5:N11)</f>
        <v>0</v>
      </c>
      <c r="O12" s="349"/>
      <c r="P12" s="16"/>
      <c r="Q12" s="17"/>
      <c r="R12" s="18"/>
      <c r="S12" s="19"/>
    </row>
    <row r="13" spans="1:19" ht="19.95" customHeight="1">
      <c r="A13" s="361"/>
      <c r="B13" s="348"/>
      <c r="C13" s="13"/>
      <c r="D13" s="13"/>
      <c r="E13" s="13"/>
      <c r="F13" s="13"/>
      <c r="G13" s="13"/>
      <c r="H13" s="13"/>
      <c r="I13" s="14"/>
      <c r="J13" s="14"/>
      <c r="K13" s="14"/>
      <c r="L13" s="14"/>
      <c r="M13" s="14"/>
      <c r="N13" s="14">
        <f t="shared" si="0"/>
        <v>0</v>
      </c>
      <c r="O13" s="348"/>
      <c r="P13" s="20"/>
      <c r="Q13" s="21"/>
      <c r="R13" s="20"/>
      <c r="S13" s="22"/>
    </row>
    <row r="14" spans="1:19" ht="19.95" customHeight="1">
      <c r="A14" s="361"/>
      <c r="B14" s="347"/>
      <c r="C14" s="13"/>
      <c r="D14" s="13"/>
      <c r="E14" s="13"/>
      <c r="F14" s="13"/>
      <c r="G14" s="13"/>
      <c r="H14" s="13"/>
      <c r="I14" s="14"/>
      <c r="J14" s="14"/>
      <c r="K14" s="14"/>
      <c r="L14" s="14"/>
      <c r="M14" s="14"/>
      <c r="N14" s="14">
        <f t="shared" si="0"/>
        <v>0</v>
      </c>
      <c r="O14" s="347"/>
      <c r="P14" s="9"/>
      <c r="Q14" s="10"/>
      <c r="R14" s="9"/>
      <c r="S14" s="12"/>
    </row>
    <row r="15" spans="1:19" ht="19.95" customHeight="1">
      <c r="A15" s="361"/>
      <c r="B15" s="347"/>
      <c r="C15" s="13"/>
      <c r="D15" s="13"/>
      <c r="E15" s="13"/>
      <c r="F15" s="13"/>
      <c r="G15" s="13"/>
      <c r="H15" s="13"/>
      <c r="I15" s="14"/>
      <c r="J15" s="14"/>
      <c r="K15" s="14"/>
      <c r="L15" s="14"/>
      <c r="M15" s="14"/>
      <c r="N15" s="14">
        <f t="shared" si="0"/>
        <v>0</v>
      </c>
      <c r="O15" s="347"/>
      <c r="P15" s="9"/>
      <c r="Q15" s="10"/>
      <c r="R15" s="9"/>
      <c r="S15" s="12"/>
    </row>
    <row r="16" spans="1:19" ht="19.95" customHeight="1">
      <c r="A16" s="361"/>
      <c r="B16" s="347"/>
      <c r="C16" s="13"/>
      <c r="D16" s="13"/>
      <c r="E16" s="13"/>
      <c r="F16" s="13"/>
      <c r="G16" s="13"/>
      <c r="H16" s="13"/>
      <c r="I16" s="14"/>
      <c r="J16" s="14"/>
      <c r="K16" s="14"/>
      <c r="L16" s="14"/>
      <c r="M16" s="14"/>
      <c r="N16" s="14">
        <f t="shared" si="0"/>
        <v>0</v>
      </c>
      <c r="O16" s="347"/>
      <c r="P16" s="9"/>
      <c r="Q16" s="10"/>
      <c r="R16" s="9"/>
      <c r="S16" s="12"/>
    </row>
    <row r="17" spans="1:19" ht="19.95" customHeight="1">
      <c r="A17" s="361"/>
      <c r="B17" s="347"/>
      <c r="C17" s="13"/>
      <c r="D17" s="13"/>
      <c r="E17" s="13"/>
      <c r="F17" s="13"/>
      <c r="G17" s="13"/>
      <c r="H17" s="13"/>
      <c r="I17" s="14"/>
      <c r="J17" s="14"/>
      <c r="K17" s="14"/>
      <c r="L17" s="14"/>
      <c r="M17" s="14"/>
      <c r="N17" s="14">
        <f t="shared" si="0"/>
        <v>0</v>
      </c>
      <c r="O17" s="347"/>
      <c r="P17" s="9"/>
      <c r="Q17" s="10"/>
      <c r="R17" s="9"/>
      <c r="S17" s="12"/>
    </row>
    <row r="18" spans="1:19" ht="19.95" customHeight="1">
      <c r="A18" s="361"/>
      <c r="B18" s="347"/>
      <c r="C18" s="13"/>
      <c r="D18" s="13"/>
      <c r="E18" s="13"/>
      <c r="F18" s="13"/>
      <c r="G18" s="13"/>
      <c r="H18" s="13"/>
      <c r="I18" s="14"/>
      <c r="J18" s="14"/>
      <c r="K18" s="14"/>
      <c r="L18" s="14"/>
      <c r="M18" s="14"/>
      <c r="N18" s="14">
        <f t="shared" si="0"/>
        <v>0</v>
      </c>
      <c r="O18" s="347"/>
      <c r="P18" s="9"/>
      <c r="Q18" s="10"/>
      <c r="R18" s="9"/>
      <c r="S18" s="12"/>
    </row>
    <row r="19" spans="1:19" ht="19.95" customHeight="1">
      <c r="A19" s="361"/>
      <c r="B19" s="347"/>
      <c r="C19" s="13"/>
      <c r="D19" s="13"/>
      <c r="E19" s="13"/>
      <c r="F19" s="13"/>
      <c r="G19" s="13"/>
      <c r="H19" s="13"/>
      <c r="I19" s="14"/>
      <c r="J19" s="14"/>
      <c r="K19" s="14"/>
      <c r="L19" s="14"/>
      <c r="M19" s="14"/>
      <c r="N19" s="14">
        <f t="shared" si="0"/>
        <v>0</v>
      </c>
      <c r="O19" s="347"/>
      <c r="P19" s="9"/>
      <c r="Q19" s="10"/>
      <c r="R19" s="9"/>
      <c r="S19" s="12"/>
    </row>
    <row r="20" spans="1:19" ht="19.95" customHeight="1">
      <c r="A20" s="362"/>
      <c r="B20" s="352"/>
      <c r="C20" s="369"/>
      <c r="D20" s="370"/>
      <c r="E20" s="370"/>
      <c r="F20" s="370"/>
      <c r="G20" s="370"/>
      <c r="H20" s="370"/>
      <c r="I20" s="370"/>
      <c r="J20" s="370"/>
      <c r="K20" s="370"/>
      <c r="L20" s="370"/>
      <c r="M20" s="371"/>
      <c r="N20" s="23">
        <f>SUM(N13:N19)</f>
        <v>0</v>
      </c>
      <c r="O20" s="352"/>
      <c r="P20" s="24"/>
      <c r="Q20" s="25"/>
      <c r="R20" s="24"/>
      <c r="S20" s="26"/>
    </row>
    <row r="21" spans="1:19" ht="19.95" customHeight="1">
      <c r="A21" s="363">
        <v>20</v>
      </c>
      <c r="B21" s="346"/>
      <c r="C21" s="27"/>
      <c r="D21" s="27"/>
      <c r="E21" s="27"/>
      <c r="F21" s="27"/>
      <c r="G21" s="27"/>
      <c r="H21" s="27"/>
      <c r="I21" s="28"/>
      <c r="J21" s="28"/>
      <c r="K21" s="28"/>
      <c r="L21" s="28"/>
      <c r="M21" s="28"/>
      <c r="N21" s="28">
        <f t="shared" si="0"/>
        <v>0</v>
      </c>
      <c r="O21" s="346"/>
      <c r="P21" s="29"/>
      <c r="Q21" s="30"/>
      <c r="R21" s="31"/>
      <c r="S21" s="32"/>
    </row>
    <row r="22" spans="1:19" ht="19.95" customHeight="1">
      <c r="A22" s="361"/>
      <c r="B22" s="347"/>
      <c r="C22" s="13"/>
      <c r="D22" s="13"/>
      <c r="E22" s="13"/>
      <c r="F22" s="13"/>
      <c r="G22" s="13"/>
      <c r="H22" s="13"/>
      <c r="I22" s="14"/>
      <c r="J22" s="14"/>
      <c r="K22" s="14"/>
      <c r="L22" s="14"/>
      <c r="M22" s="14"/>
      <c r="N22" s="14">
        <f t="shared" si="0"/>
        <v>0</v>
      </c>
      <c r="O22" s="347"/>
      <c r="P22" s="9"/>
      <c r="Q22" s="9"/>
      <c r="R22" s="11"/>
      <c r="S22" s="33"/>
    </row>
    <row r="23" spans="1:19" ht="19.95" customHeight="1">
      <c r="A23" s="361"/>
      <c r="B23" s="347"/>
      <c r="C23" s="13"/>
      <c r="D23" s="13"/>
      <c r="E23" s="13"/>
      <c r="F23" s="13"/>
      <c r="G23" s="13"/>
      <c r="H23" s="13"/>
      <c r="I23" s="14"/>
      <c r="J23" s="14"/>
      <c r="K23" s="14"/>
      <c r="L23" s="14"/>
      <c r="M23" s="14"/>
      <c r="N23" s="14">
        <f t="shared" si="0"/>
        <v>0</v>
      </c>
      <c r="O23" s="347"/>
      <c r="P23" s="9"/>
      <c r="Q23" s="9"/>
      <c r="R23" s="11"/>
      <c r="S23" s="33"/>
    </row>
    <row r="24" spans="1:19" ht="19.95" customHeight="1">
      <c r="A24" s="362"/>
      <c r="B24" s="352"/>
      <c r="C24" s="369"/>
      <c r="D24" s="370"/>
      <c r="E24" s="370"/>
      <c r="F24" s="370"/>
      <c r="G24" s="370"/>
      <c r="H24" s="370"/>
      <c r="I24" s="370"/>
      <c r="J24" s="370"/>
      <c r="K24" s="370"/>
      <c r="L24" s="370"/>
      <c r="M24" s="371"/>
      <c r="N24" s="23">
        <f>SUM(N21:N23)</f>
        <v>0</v>
      </c>
      <c r="O24" s="352"/>
      <c r="P24" s="24"/>
      <c r="Q24" s="24"/>
      <c r="R24" s="34"/>
      <c r="S24" s="35"/>
    </row>
    <row r="25" spans="1:19" ht="19.95" customHeight="1">
      <c r="A25" s="363">
        <v>30</v>
      </c>
      <c r="B25" s="346"/>
      <c r="C25" s="27"/>
      <c r="D25" s="27"/>
      <c r="E25" s="27"/>
      <c r="F25" s="27"/>
      <c r="G25" s="27"/>
      <c r="H25" s="27"/>
      <c r="I25" s="28"/>
      <c r="J25" s="28"/>
      <c r="K25" s="28"/>
      <c r="L25" s="28"/>
      <c r="M25" s="28"/>
      <c r="N25" s="28">
        <f t="shared" si="0"/>
        <v>0</v>
      </c>
      <c r="O25" s="346"/>
      <c r="P25" s="29"/>
      <c r="Q25" s="29"/>
      <c r="R25" s="31"/>
      <c r="S25" s="36"/>
    </row>
    <row r="26" spans="1:19" ht="19.95" customHeight="1">
      <c r="A26" s="361"/>
      <c r="B26" s="347"/>
      <c r="C26" s="13"/>
      <c r="D26" s="13"/>
      <c r="E26" s="13"/>
      <c r="F26" s="13"/>
      <c r="G26" s="13"/>
      <c r="H26" s="13"/>
      <c r="I26" s="14"/>
      <c r="J26" s="14"/>
      <c r="K26" s="14"/>
      <c r="L26" s="14"/>
      <c r="M26" s="14"/>
      <c r="N26" s="14">
        <f t="shared" si="0"/>
        <v>0</v>
      </c>
      <c r="O26" s="347"/>
      <c r="P26" s="9"/>
      <c r="Q26" s="9"/>
      <c r="R26" s="11"/>
      <c r="S26" s="37"/>
    </row>
    <row r="27" spans="1:19" ht="19.95" customHeight="1">
      <c r="A27" s="361"/>
      <c r="B27" s="347"/>
      <c r="C27" s="13"/>
      <c r="D27" s="13"/>
      <c r="E27" s="13"/>
      <c r="F27" s="13"/>
      <c r="G27" s="13"/>
      <c r="H27" s="13"/>
      <c r="I27" s="14"/>
      <c r="J27" s="14"/>
      <c r="K27" s="14"/>
      <c r="L27" s="14"/>
      <c r="M27" s="14"/>
      <c r="N27" s="14">
        <f t="shared" si="0"/>
        <v>0</v>
      </c>
      <c r="O27" s="347"/>
      <c r="P27" s="9"/>
      <c r="Q27" s="9"/>
      <c r="R27" s="11"/>
      <c r="S27" s="37"/>
    </row>
    <row r="28" spans="1:19" ht="19.95" customHeight="1">
      <c r="A28" s="362"/>
      <c r="B28" s="352"/>
      <c r="C28" s="369"/>
      <c r="D28" s="370"/>
      <c r="E28" s="370"/>
      <c r="F28" s="370"/>
      <c r="G28" s="370"/>
      <c r="H28" s="370"/>
      <c r="I28" s="370"/>
      <c r="J28" s="370"/>
      <c r="K28" s="370"/>
      <c r="L28" s="370"/>
      <c r="M28" s="371"/>
      <c r="N28" s="23">
        <f>SUM(N25:N27)</f>
        <v>0</v>
      </c>
      <c r="O28" s="352"/>
      <c r="P28" s="24"/>
      <c r="Q28" s="24"/>
      <c r="R28" s="34"/>
      <c r="S28" s="38"/>
    </row>
    <row r="29" spans="1:19" ht="19.95" customHeight="1">
      <c r="A29" s="363">
        <v>20</v>
      </c>
      <c r="B29" s="346"/>
      <c r="C29" s="27"/>
      <c r="D29" s="27"/>
      <c r="E29" s="27"/>
      <c r="F29" s="27"/>
      <c r="G29" s="27"/>
      <c r="H29" s="27"/>
      <c r="I29" s="28"/>
      <c r="J29" s="28"/>
      <c r="K29" s="28"/>
      <c r="L29" s="28"/>
      <c r="M29" s="28"/>
      <c r="N29" s="28">
        <f t="shared" si="0"/>
        <v>0</v>
      </c>
      <c r="O29" s="346"/>
      <c r="P29" s="29"/>
      <c r="Q29" s="29"/>
      <c r="R29" s="29"/>
      <c r="S29" s="32"/>
    </row>
    <row r="30" spans="1:19" ht="19.95" customHeight="1">
      <c r="A30" s="361"/>
      <c r="B30" s="347"/>
      <c r="C30" s="13"/>
      <c r="D30" s="13"/>
      <c r="E30" s="13"/>
      <c r="F30" s="13"/>
      <c r="G30" s="13"/>
      <c r="H30" s="13"/>
      <c r="I30" s="14"/>
      <c r="J30" s="14"/>
      <c r="K30" s="14"/>
      <c r="L30" s="14"/>
      <c r="M30" s="14"/>
      <c r="N30" s="14">
        <f t="shared" si="0"/>
        <v>0</v>
      </c>
      <c r="O30" s="347"/>
      <c r="P30" s="9"/>
      <c r="Q30" s="9"/>
      <c r="R30" s="9"/>
      <c r="S30" s="33"/>
    </row>
    <row r="31" spans="1:19" ht="19.95" customHeight="1">
      <c r="A31" s="361"/>
      <c r="B31" s="347"/>
      <c r="C31" s="13"/>
      <c r="D31" s="13"/>
      <c r="E31" s="13"/>
      <c r="F31" s="13"/>
      <c r="G31" s="13"/>
      <c r="H31" s="13"/>
      <c r="I31" s="14"/>
      <c r="J31" s="14"/>
      <c r="K31" s="14"/>
      <c r="L31" s="14"/>
      <c r="M31" s="14"/>
      <c r="N31" s="14">
        <f t="shared" si="0"/>
        <v>0</v>
      </c>
      <c r="O31" s="347"/>
      <c r="P31" s="9"/>
      <c r="Q31" s="9"/>
      <c r="R31" s="9"/>
      <c r="S31" s="33"/>
    </row>
    <row r="32" spans="1:19" ht="19.95" customHeight="1">
      <c r="A32" s="361"/>
      <c r="B32" s="347"/>
      <c r="C32" s="13"/>
      <c r="D32" s="13"/>
      <c r="E32" s="13"/>
      <c r="F32" s="13"/>
      <c r="G32" s="13"/>
      <c r="H32" s="13"/>
      <c r="I32" s="14"/>
      <c r="J32" s="14"/>
      <c r="K32" s="14"/>
      <c r="L32" s="14"/>
      <c r="M32" s="14"/>
      <c r="N32" s="14">
        <f t="shared" si="0"/>
        <v>0</v>
      </c>
      <c r="O32" s="347"/>
      <c r="P32" s="9"/>
      <c r="Q32" s="9"/>
      <c r="R32" s="9"/>
      <c r="S32" s="33"/>
    </row>
    <row r="33" spans="1:19" ht="19.95" customHeight="1">
      <c r="A33" s="362"/>
      <c r="B33" s="352"/>
      <c r="C33" s="369"/>
      <c r="D33" s="370"/>
      <c r="E33" s="370"/>
      <c r="F33" s="370"/>
      <c r="G33" s="370"/>
      <c r="H33" s="370"/>
      <c r="I33" s="370"/>
      <c r="J33" s="370"/>
      <c r="K33" s="370"/>
      <c r="L33" s="370"/>
      <c r="M33" s="371"/>
      <c r="N33" s="23">
        <f>SUM(N29:N32)</f>
        <v>0</v>
      </c>
      <c r="O33" s="352"/>
      <c r="P33" s="24"/>
      <c r="Q33" s="24"/>
      <c r="R33" s="24"/>
      <c r="S33" s="35"/>
    </row>
    <row r="34" spans="1:19" ht="19.95" customHeight="1">
      <c r="A34" s="363">
        <v>30</v>
      </c>
      <c r="B34" s="353"/>
      <c r="C34" s="27"/>
      <c r="D34" s="27"/>
      <c r="E34" s="27"/>
      <c r="F34" s="27"/>
      <c r="G34" s="27"/>
      <c r="H34" s="27"/>
      <c r="I34" s="28"/>
      <c r="J34" s="28"/>
      <c r="K34" s="28"/>
      <c r="L34" s="28"/>
      <c r="M34" s="28"/>
      <c r="N34" s="28">
        <f t="shared" si="0"/>
        <v>0</v>
      </c>
      <c r="O34" s="346">
        <v>1</v>
      </c>
      <c r="P34" s="29"/>
      <c r="Q34" s="30"/>
      <c r="R34" s="30"/>
      <c r="S34" s="32"/>
    </row>
    <row r="35" spans="1:19" ht="19.95" customHeight="1">
      <c r="A35" s="361"/>
      <c r="B35" s="354"/>
      <c r="C35" s="13"/>
      <c r="D35" s="13"/>
      <c r="E35" s="13"/>
      <c r="F35" s="13"/>
      <c r="G35" s="13"/>
      <c r="H35" s="13"/>
      <c r="I35" s="14"/>
      <c r="J35" s="14"/>
      <c r="K35" s="14"/>
      <c r="L35" s="14"/>
      <c r="M35" s="14"/>
      <c r="N35" s="14">
        <f t="shared" si="0"/>
        <v>0</v>
      </c>
      <c r="O35" s="347"/>
      <c r="P35" s="9"/>
      <c r="Q35" s="9"/>
      <c r="R35" s="9"/>
      <c r="S35" s="33"/>
    </row>
    <row r="36" spans="1:19" ht="19.95" customHeight="1">
      <c r="A36" s="361"/>
      <c r="B36" s="354"/>
      <c r="C36" s="13"/>
      <c r="D36" s="13"/>
      <c r="E36" s="13"/>
      <c r="F36" s="13"/>
      <c r="G36" s="13"/>
      <c r="H36" s="13"/>
      <c r="I36" s="14"/>
      <c r="J36" s="14"/>
      <c r="K36" s="14"/>
      <c r="L36" s="14"/>
      <c r="M36" s="14"/>
      <c r="N36" s="14">
        <f t="shared" si="0"/>
        <v>0</v>
      </c>
      <c r="O36" s="347"/>
      <c r="P36" s="9"/>
      <c r="Q36" s="9"/>
      <c r="R36" s="9"/>
      <c r="S36" s="33"/>
    </row>
    <row r="37" spans="1:19" ht="19.95" customHeight="1">
      <c r="A37" s="361"/>
      <c r="B37" s="354"/>
      <c r="C37" s="13"/>
      <c r="D37" s="13"/>
      <c r="E37" s="13"/>
      <c r="F37" s="13"/>
      <c r="G37" s="13"/>
      <c r="H37" s="13"/>
      <c r="I37" s="14"/>
      <c r="J37" s="14"/>
      <c r="K37" s="14"/>
      <c r="L37" s="14"/>
      <c r="M37" s="14"/>
      <c r="N37" s="14">
        <f t="shared" si="0"/>
        <v>0</v>
      </c>
      <c r="O37" s="347"/>
      <c r="P37" s="9"/>
      <c r="Q37" s="9"/>
      <c r="R37" s="9"/>
      <c r="S37" s="33"/>
    </row>
    <row r="38" spans="1:19" ht="19.95" customHeight="1">
      <c r="A38" s="361"/>
      <c r="B38" s="354"/>
      <c r="C38" s="13"/>
      <c r="D38" s="13"/>
      <c r="E38" s="13"/>
      <c r="F38" s="13"/>
      <c r="G38" s="13"/>
      <c r="H38" s="13"/>
      <c r="I38" s="14"/>
      <c r="J38" s="14"/>
      <c r="K38" s="14"/>
      <c r="L38" s="14"/>
      <c r="M38" s="14"/>
      <c r="N38" s="14">
        <f t="shared" si="0"/>
        <v>0</v>
      </c>
      <c r="O38" s="347"/>
      <c r="P38" s="9"/>
      <c r="Q38" s="9"/>
      <c r="R38" s="9"/>
      <c r="S38" s="33"/>
    </row>
    <row r="39" spans="1:19" ht="19.95" customHeight="1">
      <c r="A39" s="361"/>
      <c r="B39" s="354"/>
      <c r="C39" s="13"/>
      <c r="D39" s="13"/>
      <c r="E39" s="13"/>
      <c r="F39" s="13"/>
      <c r="G39" s="13"/>
      <c r="H39" s="13"/>
      <c r="I39" s="14"/>
      <c r="J39" s="14"/>
      <c r="K39" s="14"/>
      <c r="L39" s="14"/>
      <c r="M39" s="14"/>
      <c r="N39" s="14">
        <f t="shared" si="0"/>
        <v>0</v>
      </c>
      <c r="O39" s="347"/>
      <c r="P39" s="9"/>
      <c r="Q39" s="9"/>
      <c r="R39" s="9"/>
      <c r="S39" s="33"/>
    </row>
    <row r="40" spans="1:19" ht="19.95" customHeight="1">
      <c r="A40" s="362"/>
      <c r="B40" s="357"/>
      <c r="C40" s="369"/>
      <c r="D40" s="370"/>
      <c r="E40" s="370"/>
      <c r="F40" s="370"/>
      <c r="G40" s="370"/>
      <c r="H40" s="370"/>
      <c r="I40" s="370"/>
      <c r="J40" s="370"/>
      <c r="K40" s="370"/>
      <c r="L40" s="370"/>
      <c r="M40" s="371"/>
      <c r="N40" s="23">
        <f>SUM(N34:N39)</f>
        <v>0</v>
      </c>
      <c r="O40" s="352"/>
      <c r="P40" s="24"/>
      <c r="Q40" s="24"/>
      <c r="R40" s="24"/>
      <c r="S40" s="35"/>
    </row>
    <row r="41" spans="1:19" ht="19.95" customHeight="1">
      <c r="A41" s="364">
        <v>40</v>
      </c>
      <c r="B41" s="353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8">
        <f t="shared" si="0"/>
        <v>0</v>
      </c>
      <c r="O41" s="346">
        <v>1</v>
      </c>
      <c r="P41" s="29"/>
      <c r="Q41" s="30"/>
      <c r="R41" s="29"/>
      <c r="S41" s="39"/>
    </row>
    <row r="42" spans="1:19" ht="19.95" customHeight="1">
      <c r="A42" s="365"/>
      <c r="B42" s="354"/>
      <c r="C42" s="13"/>
      <c r="D42" s="13"/>
      <c r="E42" s="13"/>
      <c r="F42" s="13"/>
      <c r="G42" s="13"/>
      <c r="H42" s="13"/>
      <c r="I42" s="14"/>
      <c r="J42" s="14"/>
      <c r="K42" s="14"/>
      <c r="L42" s="14"/>
      <c r="M42" s="14"/>
      <c r="N42" s="14">
        <f t="shared" si="0"/>
        <v>0</v>
      </c>
      <c r="O42" s="347"/>
      <c r="P42" s="9"/>
      <c r="Q42" s="9"/>
      <c r="R42" s="9"/>
      <c r="S42" s="12"/>
    </row>
    <row r="43" spans="1:19" ht="19.95" customHeight="1">
      <c r="A43" s="365"/>
      <c r="B43" s="354"/>
      <c r="C43" s="13"/>
      <c r="D43" s="13"/>
      <c r="E43" s="13"/>
      <c r="F43" s="13"/>
      <c r="G43" s="13"/>
      <c r="H43" s="13"/>
      <c r="I43" s="14"/>
      <c r="J43" s="14"/>
      <c r="K43" s="14"/>
      <c r="L43" s="14"/>
      <c r="M43" s="14"/>
      <c r="N43" s="14">
        <f t="shared" si="0"/>
        <v>0</v>
      </c>
      <c r="O43" s="347"/>
      <c r="P43" s="9"/>
      <c r="Q43" s="9"/>
      <c r="R43" s="9"/>
      <c r="S43" s="12"/>
    </row>
    <row r="44" spans="1:19" ht="19.95" customHeight="1">
      <c r="A44" s="365"/>
      <c r="B44" s="354"/>
      <c r="C44" s="13"/>
      <c r="D44" s="13"/>
      <c r="E44" s="13"/>
      <c r="F44" s="13"/>
      <c r="G44" s="13"/>
      <c r="H44" s="13"/>
      <c r="I44" s="14"/>
      <c r="J44" s="14"/>
      <c r="K44" s="14"/>
      <c r="L44" s="14"/>
      <c r="M44" s="14"/>
      <c r="N44" s="14">
        <f t="shared" si="0"/>
        <v>0</v>
      </c>
      <c r="O44" s="347"/>
      <c r="P44" s="9"/>
      <c r="Q44" s="9"/>
      <c r="R44" s="9"/>
      <c r="S44" s="12"/>
    </row>
    <row r="45" spans="1:19" ht="19.95" customHeight="1">
      <c r="A45" s="365"/>
      <c r="B45" s="354"/>
      <c r="C45" s="13"/>
      <c r="D45" s="13"/>
      <c r="E45" s="13"/>
      <c r="F45" s="13"/>
      <c r="G45" s="13"/>
      <c r="H45" s="13"/>
      <c r="I45" s="14"/>
      <c r="J45" s="14"/>
      <c r="K45" s="14"/>
      <c r="L45" s="14"/>
      <c r="M45" s="14"/>
      <c r="N45" s="14">
        <f t="shared" si="0"/>
        <v>0</v>
      </c>
      <c r="O45" s="347"/>
      <c r="P45" s="9"/>
      <c r="Q45" s="9"/>
      <c r="R45" s="9"/>
      <c r="S45" s="12"/>
    </row>
    <row r="46" spans="1:19" ht="19.95" customHeight="1">
      <c r="A46" s="365"/>
      <c r="B46" s="354"/>
      <c r="C46" s="13"/>
      <c r="D46" s="13"/>
      <c r="E46" s="13"/>
      <c r="F46" s="13"/>
      <c r="G46" s="13"/>
      <c r="H46" s="13"/>
      <c r="I46" s="14"/>
      <c r="J46" s="14"/>
      <c r="K46" s="14"/>
      <c r="L46" s="14"/>
      <c r="M46" s="14"/>
      <c r="N46" s="14">
        <f t="shared" si="0"/>
        <v>0</v>
      </c>
      <c r="O46" s="347"/>
      <c r="P46" s="9"/>
      <c r="Q46" s="9"/>
      <c r="R46" s="9"/>
      <c r="S46" s="12"/>
    </row>
    <row r="47" spans="1:19" ht="19.95" customHeight="1">
      <c r="A47" s="365"/>
      <c r="B47" s="354"/>
      <c r="C47" s="13"/>
      <c r="D47" s="13"/>
      <c r="E47" s="13"/>
      <c r="F47" s="13"/>
      <c r="G47" s="13"/>
      <c r="H47" s="13"/>
      <c r="I47" s="14"/>
      <c r="J47" s="14"/>
      <c r="K47" s="14"/>
      <c r="L47" s="14"/>
      <c r="M47" s="14"/>
      <c r="N47" s="14">
        <f t="shared" si="0"/>
        <v>0</v>
      </c>
      <c r="O47" s="347"/>
      <c r="P47" s="9"/>
      <c r="Q47" s="9"/>
      <c r="R47" s="9"/>
      <c r="S47" s="12"/>
    </row>
    <row r="48" spans="1:19" ht="19.95" customHeight="1">
      <c r="A48" s="365"/>
      <c r="B48" s="354"/>
      <c r="C48" s="13"/>
      <c r="D48" s="13"/>
      <c r="E48" s="13"/>
      <c r="F48" s="13"/>
      <c r="G48" s="13"/>
      <c r="H48" s="13"/>
      <c r="I48" s="14"/>
      <c r="J48" s="14"/>
      <c r="K48" s="14"/>
      <c r="L48" s="14"/>
      <c r="M48" s="14"/>
      <c r="N48" s="14">
        <f t="shared" si="0"/>
        <v>0</v>
      </c>
      <c r="O48" s="347"/>
      <c r="P48" s="9"/>
      <c r="Q48" s="9"/>
      <c r="R48" s="9"/>
      <c r="S48" s="12"/>
    </row>
    <row r="49" spans="1:19" ht="19.95" customHeight="1">
      <c r="A49" s="365"/>
      <c r="B49" s="354"/>
      <c r="C49" s="13"/>
      <c r="D49" s="13"/>
      <c r="E49" s="13"/>
      <c r="F49" s="13"/>
      <c r="G49" s="13"/>
      <c r="H49" s="13"/>
      <c r="I49" s="14"/>
      <c r="J49" s="14"/>
      <c r="K49" s="14"/>
      <c r="L49" s="14"/>
      <c r="M49" s="14"/>
      <c r="N49" s="14">
        <f t="shared" si="0"/>
        <v>0</v>
      </c>
      <c r="O49" s="347"/>
      <c r="P49" s="9"/>
      <c r="Q49" s="9"/>
      <c r="R49" s="9"/>
      <c r="S49" s="12"/>
    </row>
    <row r="50" spans="1:19" ht="19.95" customHeight="1">
      <c r="A50" s="365"/>
      <c r="B50" s="354"/>
      <c r="C50" s="13"/>
      <c r="D50" s="13"/>
      <c r="E50" s="13"/>
      <c r="F50" s="13"/>
      <c r="G50" s="13"/>
      <c r="H50" s="13"/>
      <c r="I50" s="14"/>
      <c r="J50" s="14"/>
      <c r="K50" s="14"/>
      <c r="L50" s="14"/>
      <c r="M50" s="14"/>
      <c r="N50" s="14">
        <f t="shared" si="0"/>
        <v>0</v>
      </c>
      <c r="O50" s="347"/>
      <c r="P50" s="9"/>
      <c r="Q50" s="9"/>
      <c r="R50" s="9"/>
      <c r="S50" s="12"/>
    </row>
    <row r="51" spans="1:19" ht="19.95" customHeight="1">
      <c r="A51" s="365"/>
      <c r="B51" s="354"/>
      <c r="C51" s="13"/>
      <c r="D51" s="13"/>
      <c r="E51" s="13"/>
      <c r="F51" s="13"/>
      <c r="G51" s="13"/>
      <c r="H51" s="13"/>
      <c r="I51" s="14"/>
      <c r="J51" s="14"/>
      <c r="K51" s="14"/>
      <c r="L51" s="14"/>
      <c r="M51" s="14"/>
      <c r="N51" s="14">
        <f t="shared" si="0"/>
        <v>0</v>
      </c>
      <c r="O51" s="347"/>
      <c r="P51" s="9"/>
      <c r="Q51" s="9"/>
      <c r="R51" s="9"/>
      <c r="S51" s="12"/>
    </row>
    <row r="52" spans="1:19" ht="19.95" customHeight="1">
      <c r="A52" s="365"/>
      <c r="B52" s="354"/>
      <c r="C52" s="13"/>
      <c r="D52" s="13"/>
      <c r="E52" s="13"/>
      <c r="F52" s="13"/>
      <c r="G52" s="13"/>
      <c r="H52" s="13"/>
      <c r="I52" s="14"/>
      <c r="J52" s="14"/>
      <c r="K52" s="14"/>
      <c r="L52" s="14"/>
      <c r="M52" s="14"/>
      <c r="N52" s="14">
        <f t="shared" si="0"/>
        <v>0</v>
      </c>
      <c r="O52" s="347"/>
      <c r="P52" s="9"/>
      <c r="Q52" s="9"/>
      <c r="R52" s="9"/>
      <c r="S52" s="12"/>
    </row>
    <row r="53" spans="1:19" ht="19.95" customHeight="1">
      <c r="A53" s="365"/>
      <c r="B53" s="354"/>
      <c r="C53" s="13"/>
      <c r="D53" s="13"/>
      <c r="E53" s="13"/>
      <c r="F53" s="13"/>
      <c r="G53" s="13"/>
      <c r="H53" s="13"/>
      <c r="I53" s="14"/>
      <c r="J53" s="14"/>
      <c r="K53" s="14"/>
      <c r="L53" s="14"/>
      <c r="M53" s="14"/>
      <c r="N53" s="14">
        <f t="shared" si="0"/>
        <v>0</v>
      </c>
      <c r="O53" s="347"/>
      <c r="P53" s="9"/>
      <c r="Q53" s="9"/>
      <c r="R53" s="9"/>
      <c r="S53" s="12"/>
    </row>
    <row r="54" spans="1:19" ht="19.95" customHeight="1">
      <c r="A54" s="366"/>
      <c r="B54" s="357"/>
      <c r="C54" s="368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23">
        <f>SUM(N41:N53)</f>
        <v>0</v>
      </c>
      <c r="O54" s="352"/>
      <c r="P54" s="24"/>
      <c r="Q54" s="24"/>
      <c r="R54" s="24"/>
      <c r="S54" s="26"/>
    </row>
    <row r="55" spans="1:19" ht="19.95" customHeight="1">
      <c r="A55" s="364">
        <v>50</v>
      </c>
      <c r="B55" s="353"/>
      <c r="C55" s="27"/>
      <c r="D55" s="27"/>
      <c r="E55" s="27"/>
      <c r="F55" s="27"/>
      <c r="G55" s="27"/>
      <c r="H55" s="27"/>
      <c r="I55" s="28"/>
      <c r="J55" s="28"/>
      <c r="K55" s="28"/>
      <c r="L55" s="28"/>
      <c r="M55" s="28"/>
      <c r="N55" s="28">
        <f t="shared" si="0"/>
        <v>0</v>
      </c>
      <c r="O55" s="346">
        <v>1</v>
      </c>
      <c r="P55" s="29"/>
      <c r="Q55" s="29"/>
      <c r="R55" s="29"/>
      <c r="S55" s="32"/>
    </row>
    <row r="56" spans="1:19" ht="19.95" customHeight="1">
      <c r="A56" s="365"/>
      <c r="B56" s="354"/>
      <c r="C56" s="13"/>
      <c r="D56" s="13"/>
      <c r="E56" s="13"/>
      <c r="F56" s="13"/>
      <c r="G56" s="13"/>
      <c r="H56" s="13"/>
      <c r="I56" s="14"/>
      <c r="J56" s="14"/>
      <c r="K56" s="14"/>
      <c r="L56" s="14"/>
      <c r="M56" s="14"/>
      <c r="N56" s="14">
        <f t="shared" si="0"/>
        <v>0</v>
      </c>
      <c r="O56" s="347"/>
      <c r="P56" s="9"/>
      <c r="Q56" s="9"/>
      <c r="R56" s="9"/>
      <c r="S56" s="33"/>
    </row>
    <row r="57" spans="1:19" ht="19.95" customHeight="1">
      <c r="A57" s="365"/>
      <c r="B57" s="354"/>
      <c r="C57" s="13"/>
      <c r="D57" s="13"/>
      <c r="E57" s="13"/>
      <c r="F57" s="13"/>
      <c r="G57" s="13"/>
      <c r="H57" s="13"/>
      <c r="I57" s="14"/>
      <c r="J57" s="14"/>
      <c r="K57" s="14"/>
      <c r="L57" s="14"/>
      <c r="M57" s="14"/>
      <c r="N57" s="14">
        <f t="shared" si="0"/>
        <v>0</v>
      </c>
      <c r="O57" s="347"/>
      <c r="P57" s="9"/>
      <c r="Q57" s="9"/>
      <c r="R57" s="9"/>
      <c r="S57" s="33"/>
    </row>
    <row r="58" spans="1:19" ht="19.95" customHeight="1">
      <c r="A58" s="365"/>
      <c r="B58" s="354"/>
      <c r="C58" s="13"/>
      <c r="D58" s="13"/>
      <c r="E58" s="13"/>
      <c r="F58" s="13"/>
      <c r="G58" s="13"/>
      <c r="H58" s="13"/>
      <c r="I58" s="14"/>
      <c r="J58" s="14"/>
      <c r="K58" s="14"/>
      <c r="L58" s="14"/>
      <c r="M58" s="14"/>
      <c r="N58" s="14">
        <f t="shared" si="0"/>
        <v>0</v>
      </c>
      <c r="O58" s="347"/>
      <c r="P58" s="9"/>
      <c r="Q58" s="9"/>
      <c r="R58" s="9"/>
      <c r="S58" s="33"/>
    </row>
    <row r="59" spans="1:19" ht="19.95" customHeight="1">
      <c r="A59" s="365"/>
      <c r="B59" s="354"/>
      <c r="C59" s="13"/>
      <c r="D59" s="13"/>
      <c r="E59" s="13"/>
      <c r="F59" s="13"/>
      <c r="G59" s="13"/>
      <c r="H59" s="13"/>
      <c r="I59" s="14"/>
      <c r="J59" s="14"/>
      <c r="K59" s="14"/>
      <c r="L59" s="14"/>
      <c r="M59" s="14"/>
      <c r="N59" s="14">
        <f t="shared" si="0"/>
        <v>0</v>
      </c>
      <c r="O59" s="347"/>
      <c r="P59" s="9"/>
      <c r="Q59" s="9"/>
      <c r="R59" s="9"/>
      <c r="S59" s="33"/>
    </row>
    <row r="60" spans="1:19" ht="19.95" customHeight="1">
      <c r="A60" s="365"/>
      <c r="B60" s="354"/>
      <c r="C60" s="13"/>
      <c r="D60" s="13"/>
      <c r="E60" s="13"/>
      <c r="F60" s="13"/>
      <c r="G60" s="13"/>
      <c r="H60" s="13"/>
      <c r="I60" s="14"/>
      <c r="J60" s="14"/>
      <c r="K60" s="14"/>
      <c r="L60" s="14"/>
      <c r="M60" s="14"/>
      <c r="N60" s="14">
        <f t="shared" si="0"/>
        <v>0</v>
      </c>
      <c r="O60" s="347"/>
      <c r="P60" s="9"/>
      <c r="Q60" s="9"/>
      <c r="R60" s="9"/>
      <c r="S60" s="33"/>
    </row>
    <row r="61" spans="1:19" ht="19.95" customHeight="1">
      <c r="A61" s="365"/>
      <c r="B61" s="354"/>
      <c r="C61" s="13"/>
      <c r="D61" s="13"/>
      <c r="E61" s="13"/>
      <c r="F61" s="13"/>
      <c r="G61" s="13"/>
      <c r="H61" s="13"/>
      <c r="I61" s="14"/>
      <c r="J61" s="14"/>
      <c r="K61" s="14"/>
      <c r="L61" s="14"/>
      <c r="M61" s="14"/>
      <c r="N61" s="14">
        <f t="shared" si="0"/>
        <v>0</v>
      </c>
      <c r="O61" s="347"/>
      <c r="P61" s="9"/>
      <c r="Q61" s="9"/>
      <c r="R61" s="9"/>
      <c r="S61" s="33"/>
    </row>
    <row r="62" spans="1:19" ht="19.95" customHeight="1">
      <c r="A62" s="365"/>
      <c r="B62" s="354"/>
      <c r="C62" s="13"/>
      <c r="D62" s="13"/>
      <c r="E62" s="13"/>
      <c r="F62" s="13"/>
      <c r="G62" s="13"/>
      <c r="H62" s="13"/>
      <c r="I62" s="14"/>
      <c r="J62" s="14"/>
      <c r="K62" s="14"/>
      <c r="L62" s="14"/>
      <c r="M62" s="14"/>
      <c r="N62" s="14">
        <f t="shared" si="0"/>
        <v>0</v>
      </c>
      <c r="O62" s="347"/>
      <c r="P62" s="9"/>
      <c r="Q62" s="9"/>
      <c r="R62" s="9"/>
      <c r="S62" s="33"/>
    </row>
    <row r="63" spans="1:19" ht="19.95" customHeight="1">
      <c r="A63" s="367"/>
      <c r="B63" s="348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40">
        <f>SUM(N55:N62)</f>
        <v>0</v>
      </c>
      <c r="O63" s="352"/>
      <c r="P63" s="24"/>
      <c r="Q63" s="24"/>
      <c r="R63" s="24"/>
      <c r="S63" s="35"/>
    </row>
    <row r="64" spans="1:19" ht="19.95" customHeight="1">
      <c r="A64" s="364">
        <v>60</v>
      </c>
      <c r="B64" s="353"/>
      <c r="C64" s="27"/>
      <c r="D64" s="27"/>
      <c r="E64" s="27"/>
      <c r="F64" s="27"/>
      <c r="G64" s="27"/>
      <c r="H64" s="27"/>
      <c r="I64" s="28"/>
      <c r="J64" s="28"/>
      <c r="K64" s="28"/>
      <c r="L64" s="28"/>
      <c r="M64" s="28"/>
      <c r="N64" s="28">
        <f t="shared" si="0"/>
        <v>0</v>
      </c>
      <c r="O64" s="346">
        <v>1</v>
      </c>
      <c r="P64" s="29"/>
      <c r="Q64" s="29"/>
      <c r="R64" s="29"/>
      <c r="S64" s="32"/>
    </row>
    <row r="65" spans="1:19" ht="19.95" customHeight="1">
      <c r="A65" s="365"/>
      <c r="B65" s="354"/>
      <c r="C65" s="13"/>
      <c r="D65" s="13"/>
      <c r="E65" s="13"/>
      <c r="F65" s="13"/>
      <c r="G65" s="13"/>
      <c r="H65" s="13"/>
      <c r="I65" s="14"/>
      <c r="J65" s="14"/>
      <c r="K65" s="14"/>
      <c r="L65" s="14"/>
      <c r="M65" s="14"/>
      <c r="N65" s="14">
        <f t="shared" si="0"/>
        <v>0</v>
      </c>
      <c r="O65" s="347"/>
      <c r="P65" s="9"/>
      <c r="Q65" s="9"/>
      <c r="R65" s="9"/>
      <c r="S65" s="33"/>
    </row>
    <row r="66" spans="1:19" ht="19.95" customHeight="1">
      <c r="A66" s="365"/>
      <c r="B66" s="354"/>
      <c r="C66" s="13"/>
      <c r="D66" s="13"/>
      <c r="E66" s="13"/>
      <c r="F66" s="13"/>
      <c r="G66" s="13"/>
      <c r="H66" s="13"/>
      <c r="I66" s="14"/>
      <c r="J66" s="14"/>
      <c r="K66" s="14"/>
      <c r="L66" s="14"/>
      <c r="M66" s="14"/>
      <c r="N66" s="14">
        <f t="shared" si="0"/>
        <v>0</v>
      </c>
      <c r="O66" s="347"/>
      <c r="P66" s="9"/>
      <c r="Q66" s="9"/>
      <c r="R66" s="9"/>
      <c r="S66" s="33"/>
    </row>
    <row r="67" spans="1:19" ht="19.95" customHeight="1">
      <c r="A67" s="365"/>
      <c r="B67" s="354"/>
      <c r="C67" s="13"/>
      <c r="D67" s="13"/>
      <c r="E67" s="13"/>
      <c r="F67" s="13"/>
      <c r="G67" s="13"/>
      <c r="H67" s="13"/>
      <c r="I67" s="14"/>
      <c r="J67" s="14"/>
      <c r="K67" s="14"/>
      <c r="L67" s="14"/>
      <c r="M67" s="14"/>
      <c r="N67" s="14">
        <f t="shared" si="0"/>
        <v>0</v>
      </c>
      <c r="O67" s="347"/>
      <c r="P67" s="9"/>
      <c r="Q67" s="9"/>
      <c r="R67" s="9"/>
      <c r="S67" s="33"/>
    </row>
    <row r="68" spans="1:19" ht="19.95" customHeight="1">
      <c r="A68" s="365"/>
      <c r="B68" s="354"/>
      <c r="C68" s="13"/>
      <c r="D68" s="13"/>
      <c r="E68" s="13"/>
      <c r="F68" s="13"/>
      <c r="G68" s="13"/>
      <c r="H68" s="13"/>
      <c r="I68" s="14"/>
      <c r="J68" s="14"/>
      <c r="K68" s="14"/>
      <c r="L68" s="14"/>
      <c r="M68" s="14"/>
      <c r="N68" s="14">
        <f t="shared" si="0"/>
        <v>0</v>
      </c>
      <c r="O68" s="347"/>
      <c r="P68" s="9"/>
      <c r="Q68" s="9"/>
      <c r="R68" s="9"/>
      <c r="S68" s="33"/>
    </row>
    <row r="69" spans="1:19" ht="19.95" customHeight="1">
      <c r="A69" s="366"/>
      <c r="B69" s="357"/>
      <c r="C69" s="368"/>
      <c r="D69" s="368"/>
      <c r="E69" s="368"/>
      <c r="F69" s="368"/>
      <c r="G69" s="368"/>
      <c r="H69" s="368"/>
      <c r="I69" s="368"/>
      <c r="J69" s="368"/>
      <c r="K69" s="368"/>
      <c r="L69" s="368"/>
      <c r="M69" s="368"/>
      <c r="N69" s="23">
        <f>SUM(N64:N68)</f>
        <v>0</v>
      </c>
      <c r="O69" s="352"/>
      <c r="P69" s="24"/>
      <c r="Q69" s="24"/>
      <c r="R69" s="24"/>
      <c r="S69" s="35"/>
    </row>
    <row r="70" spans="1:19" ht="19.95" customHeight="1">
      <c r="A70" s="364">
        <v>70</v>
      </c>
      <c r="B70" s="353"/>
      <c r="C70" s="27"/>
      <c r="D70" s="27"/>
      <c r="E70" s="41"/>
      <c r="F70" s="27"/>
      <c r="G70" s="27"/>
      <c r="H70" s="27"/>
      <c r="I70" s="28"/>
      <c r="J70" s="28"/>
      <c r="K70" s="28"/>
      <c r="L70" s="28"/>
      <c r="M70" s="28"/>
      <c r="N70" s="28">
        <f t="shared" si="0"/>
        <v>0</v>
      </c>
      <c r="O70" s="353">
        <v>1</v>
      </c>
      <c r="P70" s="42"/>
      <c r="Q70" s="42"/>
      <c r="R70" s="43"/>
      <c r="S70" s="44"/>
    </row>
    <row r="71" spans="1:19" ht="19.95" customHeight="1">
      <c r="A71" s="365"/>
      <c r="B71" s="354"/>
      <c r="C71" s="13"/>
      <c r="D71" s="13"/>
      <c r="E71" s="45"/>
      <c r="F71" s="13"/>
      <c r="G71" s="13"/>
      <c r="H71" s="13"/>
      <c r="I71" s="14"/>
      <c r="J71" s="14"/>
      <c r="K71" s="14"/>
      <c r="L71" s="14"/>
      <c r="M71" s="14"/>
      <c r="N71" s="14">
        <f t="shared" si="0"/>
        <v>0</v>
      </c>
      <c r="O71" s="354"/>
      <c r="P71" s="46"/>
      <c r="Q71" s="46"/>
      <c r="R71" s="47"/>
      <c r="S71" s="48"/>
    </row>
    <row r="72" spans="1:19" ht="19.95" customHeight="1">
      <c r="A72" s="365"/>
      <c r="B72" s="354"/>
      <c r="C72" s="13"/>
      <c r="D72" s="13"/>
      <c r="E72" s="45"/>
      <c r="F72" s="13"/>
      <c r="G72" s="13"/>
      <c r="H72" s="13"/>
      <c r="I72" s="14"/>
      <c r="J72" s="14"/>
      <c r="K72" s="14"/>
      <c r="L72" s="14"/>
      <c r="M72" s="14"/>
      <c r="N72" s="14">
        <f t="shared" si="0"/>
        <v>0</v>
      </c>
      <c r="O72" s="354"/>
      <c r="P72" s="46"/>
      <c r="Q72" s="46"/>
      <c r="R72" s="47"/>
      <c r="S72" s="48"/>
    </row>
    <row r="73" spans="1:19" ht="19.95" customHeight="1">
      <c r="A73" s="365"/>
      <c r="B73" s="354"/>
      <c r="C73" s="13"/>
      <c r="D73" s="45"/>
      <c r="E73" s="13"/>
      <c r="F73" s="13"/>
      <c r="G73" s="13"/>
      <c r="H73" s="13"/>
      <c r="I73" s="14"/>
      <c r="J73" s="14"/>
      <c r="K73" s="14"/>
      <c r="L73" s="14"/>
      <c r="M73" s="14"/>
      <c r="N73" s="14">
        <f t="shared" si="0"/>
        <v>0</v>
      </c>
      <c r="O73" s="354"/>
      <c r="P73" s="46"/>
      <c r="Q73" s="46"/>
      <c r="R73" s="47"/>
      <c r="S73" s="48"/>
    </row>
    <row r="74" spans="1:19" ht="19.95" customHeight="1">
      <c r="A74" s="365"/>
      <c r="B74" s="354"/>
      <c r="C74" s="358"/>
      <c r="D74" s="358"/>
      <c r="E74" s="358"/>
      <c r="F74" s="358"/>
      <c r="G74" s="358"/>
      <c r="H74" s="358"/>
      <c r="I74" s="358"/>
      <c r="J74" s="358"/>
      <c r="K74" s="358"/>
      <c r="L74" s="358"/>
      <c r="M74" s="358"/>
      <c r="N74" s="15">
        <f>SUM(N70:N73)</f>
        <v>0</v>
      </c>
      <c r="O74" s="354"/>
      <c r="P74" s="46"/>
      <c r="Q74" s="46"/>
      <c r="R74" s="47"/>
      <c r="S74" s="48"/>
    </row>
    <row r="75" spans="1:19" ht="19.95" customHeight="1">
      <c r="A75" s="365"/>
      <c r="B75" s="354"/>
      <c r="C75" s="13"/>
      <c r="D75" s="45"/>
      <c r="E75" s="13"/>
      <c r="F75" s="13"/>
      <c r="G75" s="13"/>
      <c r="H75" s="13"/>
      <c r="I75" s="14"/>
      <c r="J75" s="14"/>
      <c r="K75" s="14"/>
      <c r="L75" s="14"/>
      <c r="M75" s="14"/>
      <c r="N75" s="14">
        <f>(SUM(I75:M75)-MAX(I75:M75)-MIN(I75:M75))/(COUNT(I75:M75)-2)</f>
        <v>0</v>
      </c>
      <c r="O75" s="348">
        <v>1</v>
      </c>
      <c r="P75" s="20"/>
      <c r="Q75" s="20"/>
      <c r="R75" s="49"/>
      <c r="S75" s="50"/>
    </row>
    <row r="76" spans="1:19" ht="19.95" customHeight="1">
      <c r="A76" s="365"/>
      <c r="B76" s="354"/>
      <c r="C76" s="13"/>
      <c r="D76" s="13"/>
      <c r="E76" s="45"/>
      <c r="F76" s="13"/>
      <c r="G76" s="13"/>
      <c r="H76" s="13"/>
      <c r="I76" s="14"/>
      <c r="J76" s="14"/>
      <c r="K76" s="14"/>
      <c r="L76" s="14"/>
      <c r="M76" s="14"/>
      <c r="N76" s="14">
        <f t="shared" si="0"/>
        <v>0</v>
      </c>
      <c r="O76" s="347"/>
      <c r="P76" s="9"/>
      <c r="Q76" s="9"/>
      <c r="R76" s="11"/>
      <c r="S76" s="33"/>
    </row>
    <row r="77" spans="1:19" ht="19.95" customHeight="1">
      <c r="A77" s="365"/>
      <c r="B77" s="354"/>
      <c r="C77" s="13"/>
      <c r="D77" s="45"/>
      <c r="E77" s="13"/>
      <c r="F77" s="13"/>
      <c r="G77" s="13"/>
      <c r="H77" s="13"/>
      <c r="I77" s="14"/>
      <c r="J77" s="14"/>
      <c r="K77" s="14"/>
      <c r="L77" s="14"/>
      <c r="M77" s="14"/>
      <c r="N77" s="14">
        <f t="shared" si="0"/>
        <v>0</v>
      </c>
      <c r="O77" s="347"/>
      <c r="P77" s="9"/>
      <c r="Q77" s="9"/>
      <c r="R77" s="11"/>
      <c r="S77" s="33"/>
    </row>
    <row r="78" spans="1:19" ht="19.95" customHeight="1">
      <c r="A78" s="365"/>
      <c r="B78" s="354"/>
      <c r="C78" s="13"/>
      <c r="D78" s="13"/>
      <c r="E78" s="45"/>
      <c r="F78" s="13"/>
      <c r="G78" s="13"/>
      <c r="H78" s="13"/>
      <c r="I78" s="14"/>
      <c r="J78" s="14"/>
      <c r="K78" s="14"/>
      <c r="L78" s="14"/>
      <c r="M78" s="14"/>
      <c r="N78" s="14">
        <f t="shared" si="0"/>
        <v>0</v>
      </c>
      <c r="O78" s="347"/>
      <c r="P78" s="9"/>
      <c r="Q78" s="9"/>
      <c r="R78" s="11"/>
      <c r="S78" s="33"/>
    </row>
    <row r="79" spans="1:19" ht="19.95" customHeight="1">
      <c r="A79" s="365"/>
      <c r="B79" s="354"/>
      <c r="C79" s="13"/>
      <c r="D79" s="13"/>
      <c r="E79" s="13"/>
      <c r="F79" s="13"/>
      <c r="G79" s="13"/>
      <c r="H79" s="45"/>
      <c r="I79" s="14"/>
      <c r="J79" s="14"/>
      <c r="K79" s="14"/>
      <c r="L79" s="14"/>
      <c r="M79" s="14"/>
      <c r="N79" s="14">
        <f t="shared" si="0"/>
        <v>0</v>
      </c>
      <c r="O79" s="347"/>
      <c r="P79" s="9"/>
      <c r="Q79" s="9"/>
      <c r="R79" s="11"/>
      <c r="S79" s="33"/>
    </row>
    <row r="80" spans="1:19" ht="19.95" customHeight="1">
      <c r="A80" s="366"/>
      <c r="B80" s="357"/>
      <c r="C80" s="368"/>
      <c r="D80" s="368"/>
      <c r="E80" s="368"/>
      <c r="F80" s="368"/>
      <c r="G80" s="368"/>
      <c r="H80" s="368"/>
      <c r="I80" s="368"/>
      <c r="J80" s="368"/>
      <c r="K80" s="368"/>
      <c r="L80" s="368"/>
      <c r="M80" s="368"/>
      <c r="N80" s="23">
        <f>SUM(N75:N79)</f>
        <v>0</v>
      </c>
      <c r="O80" s="352"/>
      <c r="P80" s="24"/>
      <c r="Q80" s="24"/>
      <c r="R80" s="34"/>
      <c r="S80" s="35"/>
    </row>
    <row r="81" spans="1:19" ht="19.95" customHeight="1">
      <c r="A81" s="363">
        <v>80</v>
      </c>
      <c r="B81" s="346"/>
      <c r="C81" s="27"/>
      <c r="D81" s="27"/>
      <c r="E81" s="41"/>
      <c r="F81" s="27"/>
      <c r="G81" s="27"/>
      <c r="H81" s="27"/>
      <c r="I81" s="28"/>
      <c r="J81" s="28"/>
      <c r="K81" s="28"/>
      <c r="L81" s="28"/>
      <c r="M81" s="28"/>
      <c r="N81" s="28">
        <f t="shared" si="0"/>
        <v>0</v>
      </c>
      <c r="O81" s="346">
        <v>1</v>
      </c>
      <c r="P81" s="29"/>
      <c r="Q81" s="29"/>
      <c r="R81" s="29"/>
      <c r="S81" s="32"/>
    </row>
    <row r="82" spans="1:19" ht="19.95" customHeight="1">
      <c r="A82" s="361"/>
      <c r="B82" s="347"/>
      <c r="C82" s="13"/>
      <c r="D82" s="45"/>
      <c r="E82" s="13"/>
      <c r="F82" s="13"/>
      <c r="G82" s="13"/>
      <c r="H82" s="13"/>
      <c r="I82" s="14"/>
      <c r="J82" s="14"/>
      <c r="K82" s="14"/>
      <c r="L82" s="14"/>
      <c r="M82" s="14"/>
      <c r="N82" s="14">
        <f t="shared" si="0"/>
        <v>0</v>
      </c>
      <c r="O82" s="347"/>
      <c r="P82" s="9"/>
      <c r="Q82" s="9"/>
      <c r="R82" s="9"/>
      <c r="S82" s="33"/>
    </row>
    <row r="83" spans="1:19" ht="19.95" customHeight="1">
      <c r="A83" s="361"/>
      <c r="B83" s="347"/>
      <c r="C83" s="13"/>
      <c r="D83" s="45"/>
      <c r="E83" s="13"/>
      <c r="F83" s="13"/>
      <c r="G83" s="13"/>
      <c r="H83" s="13"/>
      <c r="I83" s="14"/>
      <c r="J83" s="14"/>
      <c r="K83" s="14"/>
      <c r="L83" s="14"/>
      <c r="M83" s="14"/>
      <c r="N83" s="14">
        <f t="shared" si="0"/>
        <v>0</v>
      </c>
      <c r="O83" s="347"/>
      <c r="P83" s="9"/>
      <c r="Q83" s="9"/>
      <c r="R83" s="9"/>
      <c r="S83" s="33"/>
    </row>
    <row r="84" spans="1:19" ht="19.95" customHeight="1">
      <c r="A84" s="361"/>
      <c r="B84" s="347"/>
      <c r="C84" s="13"/>
      <c r="D84" s="13"/>
      <c r="E84" s="45"/>
      <c r="F84" s="13"/>
      <c r="G84" s="13"/>
      <c r="H84" s="13"/>
      <c r="I84" s="14"/>
      <c r="J84" s="14"/>
      <c r="K84" s="14"/>
      <c r="L84" s="14"/>
      <c r="M84" s="14"/>
      <c r="N84" s="14">
        <f t="shared" si="0"/>
        <v>0</v>
      </c>
      <c r="O84" s="347"/>
      <c r="P84" s="9"/>
      <c r="Q84" s="9"/>
      <c r="R84" s="9"/>
      <c r="S84" s="33"/>
    </row>
    <row r="85" spans="1:19" ht="19.95" customHeight="1">
      <c r="A85" s="362"/>
      <c r="B85" s="352"/>
      <c r="C85" s="369"/>
      <c r="D85" s="370"/>
      <c r="E85" s="370"/>
      <c r="F85" s="370"/>
      <c r="G85" s="370"/>
      <c r="H85" s="370"/>
      <c r="I85" s="370"/>
      <c r="J85" s="370"/>
      <c r="K85" s="370"/>
      <c r="L85" s="370"/>
      <c r="M85" s="371"/>
      <c r="N85" s="23">
        <f>SUM(N81:N84)</f>
        <v>0</v>
      </c>
      <c r="O85" s="352"/>
      <c r="P85" s="24"/>
      <c r="Q85" s="24"/>
      <c r="R85" s="24"/>
      <c r="S85" s="35"/>
    </row>
    <row r="86" spans="1:19" ht="19.95" customHeight="1">
      <c r="A86" s="364">
        <v>90</v>
      </c>
      <c r="B86" s="353"/>
      <c r="C86" s="27"/>
      <c r="D86" s="27"/>
      <c r="E86" s="27"/>
      <c r="F86" s="27"/>
      <c r="G86" s="27"/>
      <c r="H86" s="27"/>
      <c r="I86" s="28"/>
      <c r="J86" s="28"/>
      <c r="K86" s="28"/>
      <c r="L86" s="28"/>
      <c r="M86" s="28"/>
      <c r="N86" s="28">
        <f t="shared" si="0"/>
        <v>0</v>
      </c>
      <c r="O86" s="346">
        <v>1</v>
      </c>
      <c r="P86" s="29"/>
      <c r="Q86" s="30"/>
      <c r="R86" s="29"/>
      <c r="S86" s="32"/>
    </row>
    <row r="87" spans="1:19" ht="19.95" customHeight="1">
      <c r="A87" s="365"/>
      <c r="B87" s="354"/>
      <c r="C87" s="13"/>
      <c r="D87" s="13"/>
      <c r="E87" s="13"/>
      <c r="F87" s="13"/>
      <c r="G87" s="13"/>
      <c r="H87" s="13"/>
      <c r="I87" s="14"/>
      <c r="J87" s="14"/>
      <c r="K87" s="14"/>
      <c r="L87" s="14"/>
      <c r="M87" s="14"/>
      <c r="N87" s="14">
        <f t="shared" si="0"/>
        <v>0</v>
      </c>
      <c r="O87" s="347"/>
      <c r="P87" s="9"/>
      <c r="Q87" s="9"/>
      <c r="R87" s="9"/>
      <c r="S87" s="33"/>
    </row>
    <row r="88" spans="1:19" ht="19.95" customHeight="1">
      <c r="A88" s="365"/>
      <c r="B88" s="354"/>
      <c r="C88" s="13"/>
      <c r="D88" s="13"/>
      <c r="E88" s="13"/>
      <c r="F88" s="13"/>
      <c r="G88" s="13"/>
      <c r="H88" s="13"/>
      <c r="I88" s="14"/>
      <c r="J88" s="14"/>
      <c r="K88" s="14"/>
      <c r="L88" s="14"/>
      <c r="M88" s="14"/>
      <c r="N88" s="14">
        <f t="shared" si="0"/>
        <v>0</v>
      </c>
      <c r="O88" s="347"/>
      <c r="P88" s="9"/>
      <c r="Q88" s="9"/>
      <c r="R88" s="9"/>
      <c r="S88" s="33"/>
    </row>
    <row r="89" spans="1:19" ht="19.95" customHeight="1">
      <c r="A89" s="365"/>
      <c r="B89" s="354"/>
      <c r="C89" s="13"/>
      <c r="D89" s="13"/>
      <c r="E89" s="13"/>
      <c r="F89" s="13"/>
      <c r="G89" s="13"/>
      <c r="H89" s="13"/>
      <c r="I89" s="14"/>
      <c r="J89" s="14"/>
      <c r="K89" s="14"/>
      <c r="L89" s="14"/>
      <c r="M89" s="14"/>
      <c r="N89" s="14">
        <f t="shared" si="0"/>
        <v>0</v>
      </c>
      <c r="O89" s="347"/>
      <c r="P89" s="9"/>
      <c r="Q89" s="9"/>
      <c r="R89" s="9"/>
      <c r="S89" s="33"/>
    </row>
    <row r="90" spans="1:19" ht="19.95" customHeight="1">
      <c r="A90" s="365"/>
      <c r="B90" s="354"/>
      <c r="C90" s="13"/>
      <c r="D90" s="13"/>
      <c r="E90" s="13"/>
      <c r="F90" s="13"/>
      <c r="G90" s="13"/>
      <c r="H90" s="13"/>
      <c r="I90" s="14"/>
      <c r="J90" s="14"/>
      <c r="K90" s="14"/>
      <c r="L90" s="14"/>
      <c r="M90" s="14"/>
      <c r="N90" s="14">
        <f t="shared" si="0"/>
        <v>0</v>
      </c>
      <c r="O90" s="347"/>
      <c r="P90" s="9"/>
      <c r="Q90" s="9"/>
      <c r="R90" s="9"/>
      <c r="S90" s="33"/>
    </row>
    <row r="91" spans="1:19" ht="19.95" customHeight="1">
      <c r="A91" s="365"/>
      <c r="B91" s="354"/>
      <c r="C91" s="13"/>
      <c r="D91" s="13"/>
      <c r="E91" s="13"/>
      <c r="F91" s="13"/>
      <c r="G91" s="13"/>
      <c r="H91" s="13"/>
      <c r="I91" s="14"/>
      <c r="J91" s="14"/>
      <c r="K91" s="14"/>
      <c r="L91" s="14"/>
      <c r="M91" s="14"/>
      <c r="N91" s="14">
        <f t="shared" si="0"/>
        <v>0</v>
      </c>
      <c r="O91" s="347"/>
      <c r="P91" s="9"/>
      <c r="Q91" s="9"/>
      <c r="R91" s="9"/>
      <c r="S91" s="33"/>
    </row>
    <row r="92" spans="1:19" ht="19.95" customHeight="1">
      <c r="A92" s="366"/>
      <c r="B92" s="357"/>
      <c r="C92" s="368"/>
      <c r="D92" s="368"/>
      <c r="E92" s="368"/>
      <c r="F92" s="368"/>
      <c r="G92" s="368"/>
      <c r="H92" s="368"/>
      <c r="I92" s="368"/>
      <c r="J92" s="368"/>
      <c r="K92" s="368"/>
      <c r="L92" s="368"/>
      <c r="M92" s="368"/>
      <c r="N92" s="23">
        <f>SUM(N86:N91)</f>
        <v>0</v>
      </c>
      <c r="O92" s="352"/>
      <c r="P92" s="24"/>
      <c r="Q92" s="24"/>
      <c r="R92" s="24"/>
      <c r="S92" s="35"/>
    </row>
    <row r="93" spans="1:19" ht="19.95" customHeight="1">
      <c r="A93" s="364">
        <v>100</v>
      </c>
      <c r="B93" s="353"/>
      <c r="C93" s="27"/>
      <c r="D93" s="27"/>
      <c r="E93" s="41"/>
      <c r="F93" s="27"/>
      <c r="G93" s="27"/>
      <c r="H93" s="27"/>
      <c r="I93" s="28"/>
      <c r="J93" s="28"/>
      <c r="K93" s="28"/>
      <c r="L93" s="28"/>
      <c r="M93" s="28"/>
      <c r="N93" s="28">
        <f t="shared" si="0"/>
        <v>0</v>
      </c>
      <c r="O93" s="346">
        <v>1</v>
      </c>
      <c r="P93" s="29"/>
      <c r="Q93" s="30"/>
      <c r="R93" s="29"/>
      <c r="S93" s="32"/>
    </row>
    <row r="94" spans="1:19" ht="19.95" customHeight="1">
      <c r="A94" s="365"/>
      <c r="B94" s="354"/>
      <c r="C94" s="13"/>
      <c r="D94" s="45"/>
      <c r="E94" s="13"/>
      <c r="F94" s="13"/>
      <c r="G94" s="13"/>
      <c r="H94" s="13"/>
      <c r="I94" s="14"/>
      <c r="J94" s="14"/>
      <c r="K94" s="14"/>
      <c r="L94" s="14"/>
      <c r="M94" s="14"/>
      <c r="N94" s="14">
        <f t="shared" si="0"/>
        <v>0</v>
      </c>
      <c r="O94" s="347"/>
      <c r="P94" s="9"/>
      <c r="Q94" s="9"/>
      <c r="R94" s="9"/>
      <c r="S94" s="33"/>
    </row>
    <row r="95" spans="1:19" ht="19.95" customHeight="1">
      <c r="A95" s="365"/>
      <c r="B95" s="354"/>
      <c r="C95" s="13"/>
      <c r="D95" s="45"/>
      <c r="E95" s="13"/>
      <c r="F95" s="13"/>
      <c r="G95" s="13"/>
      <c r="H95" s="13"/>
      <c r="I95" s="14"/>
      <c r="J95" s="14"/>
      <c r="K95" s="14"/>
      <c r="L95" s="14"/>
      <c r="M95" s="14"/>
      <c r="N95" s="14">
        <f t="shared" si="0"/>
        <v>0</v>
      </c>
      <c r="O95" s="347"/>
      <c r="P95" s="9"/>
      <c r="Q95" s="9"/>
      <c r="R95" s="9"/>
      <c r="S95" s="33"/>
    </row>
    <row r="96" spans="1:19" ht="19.95" customHeight="1">
      <c r="A96" s="365"/>
      <c r="B96" s="354"/>
      <c r="C96" s="13"/>
      <c r="D96" s="45"/>
      <c r="E96" s="13"/>
      <c r="F96" s="13"/>
      <c r="G96" s="13"/>
      <c r="H96" s="13"/>
      <c r="I96" s="13"/>
      <c r="J96" s="13"/>
      <c r="K96" s="13"/>
      <c r="L96" s="13"/>
      <c r="M96" s="13"/>
      <c r="N96" s="14">
        <f t="shared" si="0"/>
        <v>0</v>
      </c>
      <c r="O96" s="347"/>
      <c r="P96" s="9"/>
      <c r="Q96" s="9"/>
      <c r="R96" s="9"/>
      <c r="S96" s="33"/>
    </row>
    <row r="97" spans="1:19" ht="19.95" customHeight="1">
      <c r="A97" s="365"/>
      <c r="B97" s="354"/>
      <c r="C97" s="13"/>
      <c r="D97" s="13"/>
      <c r="E97" s="45"/>
      <c r="F97" s="13"/>
      <c r="G97" s="13"/>
      <c r="H97" s="13"/>
      <c r="I97" s="13"/>
      <c r="J97" s="13"/>
      <c r="K97" s="13"/>
      <c r="L97" s="13"/>
      <c r="M97" s="13"/>
      <c r="N97" s="14">
        <f t="shared" si="0"/>
        <v>0</v>
      </c>
      <c r="O97" s="347"/>
      <c r="P97" s="9"/>
      <c r="Q97" s="9"/>
      <c r="R97" s="9"/>
      <c r="S97" s="33"/>
    </row>
    <row r="98" spans="1:19" ht="19.95" customHeight="1">
      <c r="A98" s="367"/>
      <c r="B98" s="348"/>
      <c r="C98" s="372"/>
      <c r="D98" s="372"/>
      <c r="E98" s="372"/>
      <c r="F98" s="372"/>
      <c r="G98" s="372"/>
      <c r="H98" s="372"/>
      <c r="I98" s="372"/>
      <c r="J98" s="372"/>
      <c r="K98" s="372"/>
      <c r="L98" s="372"/>
      <c r="M98" s="372"/>
      <c r="N98" s="40">
        <f>SUM(N93:N97)</f>
        <v>0</v>
      </c>
      <c r="O98" s="347"/>
      <c r="P98" s="9"/>
      <c r="Q98" s="9"/>
      <c r="R98" s="9"/>
      <c r="S98" s="33"/>
    </row>
    <row r="99" spans="1:19" ht="19.95" customHeight="1">
      <c r="A99" s="354">
        <v>110</v>
      </c>
      <c r="B99" s="354"/>
      <c r="C99" s="13"/>
      <c r="D99" s="13"/>
      <c r="E99" s="45"/>
      <c r="F99" s="13"/>
      <c r="G99" s="13"/>
      <c r="H99" s="13"/>
      <c r="I99" s="13"/>
      <c r="J99" s="13"/>
      <c r="K99" s="13"/>
      <c r="L99" s="13"/>
      <c r="M99" s="13"/>
      <c r="N99" s="14">
        <f t="shared" si="0"/>
        <v>0</v>
      </c>
      <c r="O99" s="348">
        <v>1</v>
      </c>
      <c r="P99" s="20"/>
      <c r="Q99" s="21"/>
      <c r="R99" s="20"/>
      <c r="S99" s="20"/>
    </row>
    <row r="100" spans="1:19" ht="19.95" customHeight="1">
      <c r="A100" s="354"/>
      <c r="B100" s="354"/>
      <c r="C100" s="13"/>
      <c r="D100" s="45"/>
      <c r="E100" s="13"/>
      <c r="F100" s="13"/>
      <c r="G100" s="13"/>
      <c r="H100" s="13"/>
      <c r="I100" s="14"/>
      <c r="J100" s="14"/>
      <c r="K100" s="14"/>
      <c r="L100" s="14"/>
      <c r="M100" s="14"/>
      <c r="N100" s="14">
        <f t="shared" si="0"/>
        <v>0</v>
      </c>
      <c r="O100" s="347"/>
      <c r="P100" s="9"/>
      <c r="Q100" s="9"/>
      <c r="R100" s="9"/>
      <c r="S100" s="9"/>
    </row>
    <row r="101" spans="1:19" ht="19.95" customHeight="1">
      <c r="A101" s="354"/>
      <c r="B101" s="354"/>
      <c r="C101" s="13"/>
      <c r="D101" s="13"/>
      <c r="E101" s="45"/>
      <c r="F101" s="13"/>
      <c r="G101" s="13"/>
      <c r="H101" s="13"/>
      <c r="I101" s="14"/>
      <c r="J101" s="14"/>
      <c r="K101" s="14"/>
      <c r="L101" s="14"/>
      <c r="M101" s="14"/>
      <c r="N101" s="14">
        <f t="shared" ref="N101" si="1">(SUM(I101:M101)-MAX(I101:M101)-MIN(I101:M101))/(COUNT(I101:M101)-2)</f>
        <v>0</v>
      </c>
      <c r="O101" s="347"/>
      <c r="P101" s="9"/>
      <c r="Q101" s="9"/>
      <c r="R101" s="9"/>
      <c r="S101" s="9"/>
    </row>
    <row r="102" spans="1:19" ht="19.95" customHeight="1">
      <c r="A102" s="354"/>
      <c r="B102" s="354"/>
      <c r="C102" s="13"/>
      <c r="D102" s="45"/>
      <c r="E102" s="13"/>
      <c r="F102" s="13"/>
      <c r="G102" s="13"/>
      <c r="H102" s="13"/>
      <c r="I102" s="14"/>
      <c r="J102" s="14"/>
      <c r="K102" s="14"/>
      <c r="L102" s="14"/>
      <c r="M102" s="14"/>
      <c r="N102" s="14">
        <f t="shared" ref="N102" si="2">(SUM(I102:M102)-MAX(I102:M102)-MIN(I102:M102))/(COUNT(I102:M102)-2)</f>
        <v>0</v>
      </c>
      <c r="O102" s="347"/>
      <c r="P102" s="9"/>
      <c r="Q102" s="9"/>
      <c r="R102" s="9"/>
      <c r="S102" s="9"/>
    </row>
    <row r="103" spans="1:19" ht="19.95" customHeight="1">
      <c r="A103" s="354"/>
      <c r="B103" s="354"/>
      <c r="C103" s="358" t="s">
        <v>152</v>
      </c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15">
        <f>SUM(N99:N102)</f>
        <v>0</v>
      </c>
      <c r="O103" s="349"/>
      <c r="P103" s="16"/>
      <c r="Q103" s="16"/>
      <c r="R103" s="16"/>
      <c r="S103" s="16"/>
    </row>
    <row r="104" spans="1:19" ht="19.9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1"/>
      <c r="O104" s="5"/>
      <c r="P104" s="52"/>
      <c r="Q104" s="5"/>
      <c r="R104" s="52"/>
      <c r="S104" s="52"/>
    </row>
    <row r="105" spans="1:19" ht="19.9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1"/>
      <c r="O105" s="5"/>
      <c r="P105" s="52"/>
      <c r="Q105" s="5"/>
      <c r="R105" s="52"/>
      <c r="S105" s="52"/>
    </row>
    <row r="106" spans="1:19" ht="19.9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1"/>
      <c r="O106" s="5"/>
      <c r="P106" s="52"/>
      <c r="Q106" s="5"/>
      <c r="R106" s="52"/>
      <c r="S106" s="52"/>
    </row>
    <row r="107" spans="1:19" ht="19.9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1"/>
      <c r="O107" s="5"/>
      <c r="P107" s="52"/>
      <c r="Q107" s="5"/>
      <c r="R107" s="52"/>
      <c r="S107" s="52"/>
    </row>
    <row r="108" spans="1:19" ht="19.9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1"/>
      <c r="O108" s="5"/>
      <c r="P108" s="52"/>
      <c r="Q108" s="5"/>
      <c r="R108" s="52"/>
      <c r="S108" s="52"/>
    </row>
    <row r="109" spans="1:19" ht="19.9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1"/>
      <c r="O109" s="5"/>
      <c r="P109" s="52"/>
      <c r="Q109" s="5"/>
      <c r="R109" s="52"/>
      <c r="S109" s="52"/>
    </row>
  </sheetData>
  <mergeCells count="75">
    <mergeCell ref="A1:S1"/>
    <mergeCell ref="D2:E2"/>
    <mergeCell ref="F2:I2"/>
    <mergeCell ref="J2:K2"/>
    <mergeCell ref="L2:O2"/>
    <mergeCell ref="Q2:S2"/>
    <mergeCell ref="D3:H3"/>
    <mergeCell ref="C12:M12"/>
    <mergeCell ref="C20:M20"/>
    <mergeCell ref="C24:M24"/>
    <mergeCell ref="C28:M28"/>
    <mergeCell ref="C3:C4"/>
    <mergeCell ref="C33:M33"/>
    <mergeCell ref="C40:M40"/>
    <mergeCell ref="C54:M54"/>
    <mergeCell ref="C63:M63"/>
    <mergeCell ref="C69:M69"/>
    <mergeCell ref="C74:M74"/>
    <mergeCell ref="C80:M80"/>
    <mergeCell ref="C85:M85"/>
    <mergeCell ref="C92:M92"/>
    <mergeCell ref="C98:M98"/>
    <mergeCell ref="C103:M103"/>
    <mergeCell ref="A3:A4"/>
    <mergeCell ref="A5:A20"/>
    <mergeCell ref="A21:A24"/>
    <mergeCell ref="A25:A28"/>
    <mergeCell ref="A29:A33"/>
    <mergeCell ref="A34:A40"/>
    <mergeCell ref="A41:A54"/>
    <mergeCell ref="A55:A63"/>
    <mergeCell ref="A64:A69"/>
    <mergeCell ref="A70:A80"/>
    <mergeCell ref="A81:A85"/>
    <mergeCell ref="A86:A92"/>
    <mergeCell ref="A93:A98"/>
    <mergeCell ref="A99:A103"/>
    <mergeCell ref="B3:B4"/>
    <mergeCell ref="B5:B12"/>
    <mergeCell ref="B13:B20"/>
    <mergeCell ref="B21:B24"/>
    <mergeCell ref="B25:B28"/>
    <mergeCell ref="B29:B33"/>
    <mergeCell ref="B34:B40"/>
    <mergeCell ref="B41:B54"/>
    <mergeCell ref="B55:B63"/>
    <mergeCell ref="B64:B69"/>
    <mergeCell ref="B70:B74"/>
    <mergeCell ref="B75:B80"/>
    <mergeCell ref="B81:B85"/>
    <mergeCell ref="B86:B92"/>
    <mergeCell ref="B93:B98"/>
    <mergeCell ref="B99:B103"/>
    <mergeCell ref="O55:O63"/>
    <mergeCell ref="N3:N4"/>
    <mergeCell ref="O3:O4"/>
    <mergeCell ref="O5:O12"/>
    <mergeCell ref="O13:O20"/>
    <mergeCell ref="O21:O24"/>
    <mergeCell ref="S3:S4"/>
    <mergeCell ref="I3:M4"/>
    <mergeCell ref="O93:O98"/>
    <mergeCell ref="O99:O103"/>
    <mergeCell ref="P3:P4"/>
    <mergeCell ref="Q3:Q4"/>
    <mergeCell ref="R3:R4"/>
    <mergeCell ref="O64:O69"/>
    <mergeCell ref="O70:O74"/>
    <mergeCell ref="O75:O80"/>
    <mergeCell ref="O81:O85"/>
    <mergeCell ref="O86:O92"/>
    <mergeCell ref="O25:O28"/>
    <mergeCell ref="O29:O33"/>
    <mergeCell ref="O34:O40"/>
    <mergeCell ref="O41:O54"/>
  </mergeCells>
  <phoneticPr fontId="93" type="noConversion"/>
  <printOptions horizontalCentered="1"/>
  <pageMargins left="0" right="0" top="0" bottom="0" header="0.31496062992126" footer="0.31496062992126"/>
  <pageSetup paperSize="9" scale="57" orientation="landscape" r:id="rId1"/>
  <rowBreaks count="1" manualBreakCount="1">
    <brk id="54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2</vt:i4>
      </vt:variant>
    </vt:vector>
  </HeadingPairs>
  <TitlesOfParts>
    <vt:vector size="10" baseType="lpstr">
      <vt:lpstr>工时测量记录表</vt:lpstr>
      <vt:lpstr>标准工时表</vt:lpstr>
      <vt:lpstr>平衡率及动作变异分析图</vt:lpstr>
      <vt:lpstr>打印表格</vt:lpstr>
      <vt:lpstr>测量记录 (打印版)</vt:lpstr>
      <vt:lpstr>评比系数</vt:lpstr>
      <vt:lpstr>宽放率</vt:lpstr>
      <vt:lpstr>工时分析</vt:lpstr>
      <vt:lpstr>打印表格!Print_Area</vt:lpstr>
      <vt:lpstr>工时分析!Print_Area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曾旺东</dc:creator>
  <cp:lastModifiedBy>祥宇 李</cp:lastModifiedBy>
  <cp:lastPrinted>2024-07-24T03:08:00Z</cp:lastPrinted>
  <dcterms:created xsi:type="dcterms:W3CDTF">2010-10-09T08:56:00Z</dcterms:created>
  <dcterms:modified xsi:type="dcterms:W3CDTF">2026-05-13T09:30:23Z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E419494B5F38425C9F4D15DE8C61B6DD_12</vt:lpwstr>
  </property>
  <property fmtid="{D5CDD505-2E9C-101B-9397-08002B2CF9AE}" pid="3" name="KSOProductBuildVer">
    <vt:lpwstr>2052-12.1.0.23542</vt:lpwstr>
  </property>
</Properties>
</file>