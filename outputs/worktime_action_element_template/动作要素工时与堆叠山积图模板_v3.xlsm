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I\gongshibiao\outputs\worktime_action_element_template\"/>
    </mc:Choice>
  </mc:AlternateContent>
  <xr:revisionPtr revIDLastSave="0" documentId="8_{40184730-C728-4DA3-A3D1-53D070DAC56B}" xr6:coauthVersionLast="47" xr6:coauthVersionMax="47" xr10:uidLastSave="{00000000-0000-0000-0000-000000000000}"/>
  <bookViews>
    <workbookView xWindow="8352" yWindow="4380" windowWidth="9384" windowHeight="9300" firstSheet="2" activeTab="2" xr2:uid="{3F635B7C-EB9C-43FA-9F07-24EEA46675F7}"/>
  </bookViews>
  <sheets>
    <sheet name="使用说明" sheetId="5" r:id="rId1"/>
    <sheet name="参数设置" sheetId="4" r:id="rId2"/>
    <sheet name="动作要素测量" sheetId="3" r:id="rId3"/>
    <sheet name="员工负荷表" sheetId="2" r:id="rId4"/>
    <sheet name="山积分析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B7" i="4"/>
</calcChain>
</file>

<file path=xl/sharedStrings.xml><?xml version="1.0" encoding="utf-8"?>
<sst xmlns="http://schemas.openxmlformats.org/spreadsheetml/2006/main" count="197" uniqueCount="67">
  <si>
    <t>动作要素工时与员工负荷表宏版模板</t>
  </si>
  <si>
    <t>用途</t>
  </si>
  <si>
    <t>宏版模板：录入动作要素测量时间，自动计算平均ST、工序总ST、宽放ST，并维护员工负荷表和山积图。</t>
  </si>
  <si>
    <t>默认容量</t>
  </si>
  <si>
    <t>默认 25 个工序，每个工序 5 行动作。需要更多工序时，可在表格底部继续填写，也可用按钮在中间新增。</t>
  </si>
  <si>
    <t>新增工序</t>
  </si>
  <si>
    <t>选中某工序任意一行，点击“新增工序”，会在当前工序后插入一组 5 行。</t>
  </si>
  <si>
    <t>删除工序</t>
  </si>
  <si>
    <t>选中某工序任意一行，点击“删除工序”，会删除当前工序的 5 行。</t>
  </si>
  <si>
    <t>底部扩展</t>
  </si>
  <si>
    <t>在最后一个工序下方第一行填写工序名称、动作描述或测量值时，会自动新增下一组 5 行。</t>
  </si>
  <si>
    <t>参数设置</t>
  </si>
  <si>
    <t>参数</t>
  </si>
  <si>
    <t>数值</t>
  </si>
  <si>
    <t>说明</t>
  </si>
  <si>
    <t>计划单班产量(pcs/班)</t>
  </si>
  <si>
    <t>由用户自行填写，用于计算目标节拍 TT</t>
  </si>
  <si>
    <t>班次工时(h/班)</t>
  </si>
  <si>
    <t>单班可用工时</t>
  </si>
  <si>
    <t>稼动率</t>
  </si>
  <si>
    <t>有效生产时间比例</t>
  </si>
  <si>
    <t>宽放率</t>
  </si>
  <si>
    <t>用于补充计算宽放ST，不参与山积图柱形</t>
  </si>
  <si>
    <t>目标节拍TT(s)</t>
  </si>
  <si>
    <t>单班可用秒数除以计划单班产量</t>
  </si>
  <si>
    <t>动作要素测量</t>
  </si>
  <si>
    <t>工序号</t>
  </si>
  <si>
    <t>工序名称</t>
  </si>
  <si>
    <t>动作序号</t>
  </si>
  <si>
    <t>动作单元描述</t>
  </si>
  <si>
    <t>ST1</t>
  </si>
  <si>
    <t>ST2</t>
  </si>
  <si>
    <t>ST3</t>
  </si>
  <si>
    <t>ST4</t>
  </si>
  <si>
    <t>ST5</t>
  </si>
  <si>
    <t>平均ST</t>
  </si>
  <si>
    <t>工序总ST</t>
  </si>
  <si>
    <t>宽放ST</t>
  </si>
  <si>
    <t>TT基准</t>
  </si>
  <si>
    <t>状态</t>
  </si>
  <si>
    <t>备注</t>
  </si>
  <si>
    <t>ST1</t>
    <phoneticPr fontId="4" type="noConversion"/>
  </si>
  <si>
    <t>ST2</t>
    <phoneticPr fontId="4" type="noConversion"/>
  </si>
  <si>
    <t>ST3</t>
    <phoneticPr fontId="4" type="noConversion"/>
  </si>
  <si>
    <t>ST4</t>
    <phoneticPr fontId="4" type="noConversion"/>
  </si>
  <si>
    <t>ST5</t>
    <phoneticPr fontId="4" type="noConversion"/>
  </si>
  <si>
    <t>工序序号</t>
  </si>
  <si>
    <t>ST1动作</t>
  </si>
  <si>
    <t>ST2动作</t>
  </si>
  <si>
    <t>ST3动作</t>
  </si>
  <si>
    <t>ST4动作</t>
  </si>
  <si>
    <t>ST5动作</t>
  </si>
  <si>
    <t>ST1时间</t>
  </si>
  <si>
    <t>ST2时间</t>
  </si>
  <si>
    <t>ST3时间</t>
  </si>
  <si>
    <t>ST4时间</t>
  </si>
  <si>
    <t>ST5时间</t>
  </si>
  <si>
    <t>总工时</t>
  </si>
  <si>
    <t>目标节拍</t>
  </si>
  <si>
    <t>实际节拍</t>
  </si>
  <si>
    <t>动作要素堆叠山积图</t>
  </si>
  <si>
    <t>线平衡率</t>
  </si>
  <si>
    <t>最大工序ST</t>
  </si>
  <si>
    <t>超过TT工序数</t>
  </si>
  <si>
    <t>平均工序ST</t>
  </si>
  <si>
    <t>柱形=ST1到ST5平均ST堆叠；折线=TT基准。</t>
  </si>
  <si>
    <t>工序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</si>
</sst>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5" x14ac:knownFonts="1"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2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2" fontId="0" fillId="0" borderId="1" xfId="0" applyNumberFormat="1" applyBorder="1">
      <alignment vertical="center"/>
    </xf>
    <xf numFmtId="0" fontId="1" fillId="2" borderId="1" xfId="0" applyFont="1" applyFill="1" applyBorder="1">
      <alignment vertical="center"/>
    </xf>
    <xf numFmtId="0" fontId="1" fillId="2" borderId="0" xfId="0" applyFont="1" applyFill="1">
      <alignment vertical="center"/>
    </xf>
  </cellXfs>
  <cellStyles count="1">
    <cellStyle name="常规" xfId="0" builtinId="0"/>
  </cellStyles>
  <dxfs count="1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FFC000"/>
      </font>
      <fill>
        <patternFill>
          <bgColor rgb="FFFFFF99"/>
        </patternFill>
      </fill>
    </dxf>
    <dxf>
      <font>
        <color rgb="FFC00000"/>
      </font>
      <fill>
        <patternFill>
          <bgColor rgb="FFFFCCCC"/>
        </patternFill>
      </fill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403860</xdr:colOff>
          <xdr:row>2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803F07B-337E-FD54-7ABB-C91D57008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新增工序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</xdr:row>
          <xdr:rowOff>0</xdr:rowOff>
        </xdr:from>
        <xdr:to>
          <xdr:col>19</xdr:col>
          <xdr:colOff>327660</xdr:colOff>
          <xdr:row>2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92A8165-EBA6-628A-D781-244B5A4FD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删除工序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1</xdr:row>
          <xdr:rowOff>0</xdr:rowOff>
        </xdr:from>
        <xdr:to>
          <xdr:col>21</xdr:col>
          <xdr:colOff>251460</xdr:colOff>
          <xdr:row>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5F8A3DC-63E5-13A1-3DB9-F006EE6C0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刷新报表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4096FA-0B5B-4444-9F1F-A7A9B479220D}" name="tblActionElements" displayName="tblActionElements" ref="A2:O127" totalsRowShown="0" headerRowDxfId="11">
  <autoFilter ref="A2:O127" xr:uid="{B94096FA-0B5B-4444-9F1F-A7A9B479220D}"/>
  <tableColumns count="15">
    <tableColumn id="1" xr3:uid="{A3F3F2B5-8409-4521-A0F6-ABAB1FF12361}" name="工序号"/>
    <tableColumn id="2" xr3:uid="{A126CAE7-8D62-4649-9261-6C73BD30F7D7}" name="工序名称"/>
    <tableColumn id="3" xr3:uid="{6A1EDCBB-C1A4-4E23-8950-19BB91F69E34}" name="动作序号"/>
    <tableColumn id="4" xr3:uid="{E82E23C3-83BC-44A9-A2C4-2E08DB57113D}" name="动作单元描述"/>
    <tableColumn id="5" xr3:uid="{C5308997-0265-4D8C-99D1-D51B8A1FE4FE}" name="ST1" dataDxfId="8"/>
    <tableColumn id="6" xr3:uid="{B199D2E3-3429-4C5D-8E51-C5651DD7989A}" name="ST2" dataDxfId="7"/>
    <tableColumn id="7" xr3:uid="{4DFAB25A-E008-443D-8F3B-82EF68D6780D}" name="ST3" dataDxfId="6"/>
    <tableColumn id="8" xr3:uid="{CEE12820-2A6A-4B10-B6CC-75CAFBB6B115}" name="ST4" dataDxfId="5"/>
    <tableColumn id="9" xr3:uid="{6B810148-AB1C-4843-900F-FDB71A64B8E5}" name="ST5" dataDxfId="4"/>
    <tableColumn id="10" xr3:uid="{B4E1C46B-A6D6-4D3D-B61C-BDBA708B1BEB}" name="平均ST" dataDxfId="3">
      <calculatedColumnFormula>IF(COUNT(E3:I3)=0,"",AVERAGE(E3:I3))</calculatedColumnFormula>
    </tableColumn>
    <tableColumn id="11" xr3:uid="{EA3A79F4-5FCE-404B-AF4E-636EBF3F1667}" name="工序总ST" dataDxfId="2">
      <calculatedColumnFormula>IF(C3&lt;&gt;"ST1","",IF(COUNTIFS($A:$A,A3,$J:$J,"&lt;&gt;")=0,"",SUMIFS($J:$J,$A:$A,A3)))</calculatedColumnFormula>
    </tableColumn>
    <tableColumn id="12" xr3:uid="{F18611AC-3E37-4A18-B9C0-28271D0C0A48}" name="宽放ST" dataDxfId="1">
      <calculatedColumnFormula>IF(C3&lt;&gt;"ST1","",IF(K3="","",K3*(1+参数设置!$B$6)))</calculatedColumnFormula>
    </tableColumn>
    <tableColumn id="13" xr3:uid="{204ADFFE-7A01-4785-9C15-1C312B150946}" name="TT基准" dataDxfId="0">
      <calculatedColumnFormula>IF(A3="","",参数设置!$B$7)</calculatedColumnFormula>
    </tableColumn>
    <tableColumn id="14" xr3:uid="{9DD56969-D96E-4EFD-9D8B-9951B6887772}" name="状态">
      <calculatedColumnFormula>IF(K3="","",IF(M3="","",IF(K3&gt;M3,"超节拍",IF(K3&gt;=M3*0.9,"接近上限","正常"))))</calculatedColumnFormula>
    </tableColumn>
    <tableColumn id="15" xr3:uid="{D22A126F-E157-452F-BA37-C669CBC8B94E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FD2E-167A-422C-9C6B-53370CAAECA2}">
  <sheetPr codeName="Sheet2"/>
  <dimension ref="A1:H7"/>
  <sheetViews>
    <sheetView workbookViewId="0"/>
  </sheetViews>
  <sheetFormatPr defaultRowHeight="13.8" x14ac:dyDescent="0.25"/>
  <cols>
    <col min="1" max="1" width="18.77734375" customWidth="1"/>
    <col min="2" max="2" width="100.77734375" customWidth="1"/>
  </cols>
  <sheetData>
    <row r="1" spans="1:8" ht="22.8" x14ac:dyDescent="0.25">
      <c r="A1" s="1" t="s">
        <v>0</v>
      </c>
      <c r="B1" s="2"/>
      <c r="C1" s="2"/>
      <c r="D1" s="2"/>
      <c r="E1" s="2"/>
      <c r="F1" s="2"/>
      <c r="G1" s="2"/>
      <c r="H1" s="2"/>
    </row>
    <row r="3" spans="1:8" x14ac:dyDescent="0.25">
      <c r="A3" s="3" t="s">
        <v>1</v>
      </c>
      <c r="B3" s="4" t="s">
        <v>2</v>
      </c>
    </row>
    <row r="4" spans="1:8" x14ac:dyDescent="0.25">
      <c r="A4" s="3" t="s">
        <v>3</v>
      </c>
      <c r="B4" s="4" t="s">
        <v>4</v>
      </c>
    </row>
    <row r="5" spans="1:8" x14ac:dyDescent="0.25">
      <c r="A5" s="3" t="s">
        <v>5</v>
      </c>
      <c r="B5" s="4" t="s">
        <v>6</v>
      </c>
    </row>
    <row r="6" spans="1:8" x14ac:dyDescent="0.25">
      <c r="A6" s="3" t="s">
        <v>7</v>
      </c>
      <c r="B6" s="4" t="s">
        <v>8</v>
      </c>
    </row>
    <row r="7" spans="1:8" x14ac:dyDescent="0.25">
      <c r="A7" s="3" t="s">
        <v>9</v>
      </c>
      <c r="B7" s="4" t="s">
        <v>10</v>
      </c>
    </row>
  </sheetData>
  <mergeCells count="1">
    <mergeCell ref="A1:H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DF202-33F5-46FE-BD4D-12BE9DC70FD0}">
  <sheetPr codeName="Sheet3"/>
  <dimension ref="A1:D7"/>
  <sheetViews>
    <sheetView workbookViewId="0"/>
  </sheetViews>
  <sheetFormatPr defaultRowHeight="13.8" x14ac:dyDescent="0.25"/>
  <cols>
    <col min="1" max="1" width="24.77734375" customWidth="1"/>
    <col min="2" max="2" width="16.77734375" customWidth="1"/>
    <col min="3" max="3" width="58.77734375" customWidth="1"/>
  </cols>
  <sheetData>
    <row r="1" spans="1:4" ht="20.399999999999999" x14ac:dyDescent="0.25">
      <c r="A1" s="5" t="s">
        <v>11</v>
      </c>
      <c r="B1" s="2"/>
      <c r="C1" s="2"/>
      <c r="D1" s="2"/>
    </row>
    <row r="2" spans="1:4" x14ac:dyDescent="0.25">
      <c r="A2" s="10" t="s">
        <v>12</v>
      </c>
      <c r="B2" s="10" t="s">
        <v>13</v>
      </c>
      <c r="C2" s="10" t="s">
        <v>14</v>
      </c>
    </row>
    <row r="3" spans="1:4" x14ac:dyDescent="0.25">
      <c r="A3" s="7" t="s">
        <v>15</v>
      </c>
      <c r="B3" s="7"/>
      <c r="C3" s="7" t="s">
        <v>16</v>
      </c>
    </row>
    <row r="4" spans="1:4" x14ac:dyDescent="0.25">
      <c r="A4" s="7" t="s">
        <v>17</v>
      </c>
      <c r="B4" s="7">
        <v>11</v>
      </c>
      <c r="C4" s="7" t="s">
        <v>18</v>
      </c>
    </row>
    <row r="5" spans="1:4" x14ac:dyDescent="0.25">
      <c r="A5" s="7" t="s">
        <v>19</v>
      </c>
      <c r="B5" s="8">
        <v>1</v>
      </c>
      <c r="C5" s="7" t="s">
        <v>20</v>
      </c>
    </row>
    <row r="6" spans="1:4" x14ac:dyDescent="0.25">
      <c r="A6" s="7" t="s">
        <v>21</v>
      </c>
      <c r="B6" s="8">
        <v>0.05</v>
      </c>
      <c r="C6" s="7" t="s">
        <v>22</v>
      </c>
    </row>
    <row r="7" spans="1:4" x14ac:dyDescent="0.25">
      <c r="A7" s="7" t="s">
        <v>23</v>
      </c>
      <c r="B7" s="9" t="str">
        <f>IFERROR(B4*3600*B5/B3,"")</f>
        <v/>
      </c>
      <c r="C7" s="7" t="s">
        <v>24</v>
      </c>
    </row>
  </sheetData>
  <mergeCells count="1">
    <mergeCell ref="A1:D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8DA8-4EF9-4579-B763-21DDAB624311}">
  <sheetPr codeName="Sheet4"/>
  <dimension ref="A1:R127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3.8" x14ac:dyDescent="0.25"/>
  <cols>
    <col min="1" max="1" width="10.77734375" customWidth="1"/>
    <col min="2" max="2" width="22.77734375" customWidth="1"/>
    <col min="3" max="3" width="10.77734375" customWidth="1"/>
    <col min="4" max="4" width="34.77734375" customWidth="1"/>
    <col min="5" max="9" width="9.77734375" customWidth="1"/>
    <col min="10" max="14" width="13.77734375" customWidth="1"/>
    <col min="15" max="15" width="22.77734375" customWidth="1"/>
    <col min="17" max="19" width="12.77734375" customWidth="1"/>
  </cols>
  <sheetData>
    <row r="1" spans="1:18" ht="20.399999999999999" x14ac:dyDescent="0.25">
      <c r="A1" s="5" t="s">
        <v>25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3" t="s">
        <v>26</v>
      </c>
      <c r="B2" s="3" t="s">
        <v>27</v>
      </c>
      <c r="C2" s="3" t="s">
        <v>28</v>
      </c>
      <c r="D2" s="3" t="s">
        <v>29</v>
      </c>
      <c r="E2" s="3" t="s">
        <v>30</v>
      </c>
      <c r="F2" s="3" t="s">
        <v>31</v>
      </c>
      <c r="G2" s="3" t="s">
        <v>32</v>
      </c>
      <c r="H2" s="3" t="s">
        <v>33</v>
      </c>
      <c r="I2" s="3" t="s">
        <v>34</v>
      </c>
      <c r="J2" s="3" t="s">
        <v>35</v>
      </c>
      <c r="K2" s="3" t="s">
        <v>36</v>
      </c>
      <c r="L2" s="3" t="s">
        <v>37</v>
      </c>
      <c r="M2" s="3" t="s">
        <v>38</v>
      </c>
      <c r="N2" s="3" t="s">
        <v>39</v>
      </c>
      <c r="O2" s="3" t="s">
        <v>40</v>
      </c>
    </row>
    <row r="3" spans="1:18" x14ac:dyDescent="0.25">
      <c r="A3">
        <v>1</v>
      </c>
      <c r="C3" t="s">
        <v>41</v>
      </c>
      <c r="E3" s="6"/>
      <c r="F3" s="6"/>
      <c r="G3" s="6"/>
      <c r="H3" s="6"/>
      <c r="I3" s="6"/>
      <c r="J3" s="6" t="str">
        <f t="shared" ref="J3:J34" si="0">IF(COUNT(E3:I3)=0,"",AVERAGE(E3:I3))</f>
        <v/>
      </c>
      <c r="K3" s="6">
        <f t="shared" ref="K3:K34" si="1">IF(C3&lt;&gt;"ST1","",IF(COUNTIFS($A:$A,A3,$J:$J,"&lt;&gt;")=0,"",SUMIFS($J:$J,$A:$A,A3)))</f>
        <v>0</v>
      </c>
      <c r="L3" s="6">
        <f>IF(C3&lt;&gt;"ST1","",IF(K3="","",K3*(1+参数设置!$B$6)))</f>
        <v>0</v>
      </c>
      <c r="M3" s="6" t="str">
        <f>IF(A3="","",参数设置!$B$7)</f>
        <v/>
      </c>
      <c r="N3" t="str">
        <f t="shared" ref="N3:N34" si="2">IF(K3="","",IF(M3="","",IF(K3&gt;M3,"超节拍",IF(K3&gt;=M3*0.9,"接近上限","正常"))))</f>
        <v/>
      </c>
    </row>
    <row r="4" spans="1:18" x14ac:dyDescent="0.25">
      <c r="A4">
        <v>1</v>
      </c>
      <c r="C4" t="s">
        <v>42</v>
      </c>
      <c r="E4" s="6"/>
      <c r="F4" s="6"/>
      <c r="G4" s="6"/>
      <c r="H4" s="6"/>
      <c r="I4" s="6"/>
      <c r="J4" s="6" t="str">
        <f t="shared" si="0"/>
        <v/>
      </c>
      <c r="K4" s="6" t="str">
        <f t="shared" si="1"/>
        <v/>
      </c>
      <c r="L4" s="6" t="str">
        <f>IF(C4&lt;&gt;"ST1","",IF(K4="","",K4*(1+参数设置!$B$6)))</f>
        <v/>
      </c>
      <c r="M4" s="6" t="str">
        <f>IF(A4="","",参数设置!$B$7)</f>
        <v/>
      </c>
      <c r="N4" t="str">
        <f t="shared" si="2"/>
        <v/>
      </c>
    </row>
    <row r="5" spans="1:18" x14ac:dyDescent="0.25">
      <c r="A5">
        <v>1</v>
      </c>
      <c r="C5" t="s">
        <v>43</v>
      </c>
      <c r="E5" s="6"/>
      <c r="F5" s="6"/>
      <c r="G5" s="6"/>
      <c r="H5" s="6"/>
      <c r="I5" s="6"/>
      <c r="J5" s="6" t="str">
        <f t="shared" si="0"/>
        <v/>
      </c>
      <c r="K5" s="6" t="str">
        <f t="shared" si="1"/>
        <v/>
      </c>
      <c r="L5" s="6" t="str">
        <f>IF(C5&lt;&gt;"ST1","",IF(K5="","",K5*(1+参数设置!$B$6)))</f>
        <v/>
      </c>
      <c r="M5" s="6" t="str">
        <f>IF(A5="","",参数设置!$B$7)</f>
        <v/>
      </c>
      <c r="N5" t="str">
        <f t="shared" si="2"/>
        <v/>
      </c>
    </row>
    <row r="6" spans="1:18" x14ac:dyDescent="0.25">
      <c r="A6">
        <v>1</v>
      </c>
      <c r="C6" t="s">
        <v>44</v>
      </c>
      <c r="E6" s="6"/>
      <c r="F6" s="6"/>
      <c r="G6" s="6"/>
      <c r="H6" s="6"/>
      <c r="I6" s="6"/>
      <c r="J6" s="6" t="str">
        <f t="shared" si="0"/>
        <v/>
      </c>
      <c r="K6" s="6" t="str">
        <f t="shared" si="1"/>
        <v/>
      </c>
      <c r="L6" s="6" t="str">
        <f>IF(C6&lt;&gt;"ST1","",IF(K6="","",K6*(1+参数设置!$B$6)))</f>
        <v/>
      </c>
      <c r="M6" s="6" t="str">
        <f>IF(A6="","",参数设置!$B$7)</f>
        <v/>
      </c>
      <c r="N6" t="str">
        <f t="shared" si="2"/>
        <v/>
      </c>
    </row>
    <row r="7" spans="1:18" x14ac:dyDescent="0.25">
      <c r="A7">
        <v>1</v>
      </c>
      <c r="C7" t="s">
        <v>45</v>
      </c>
      <c r="E7" s="6"/>
      <c r="F7" s="6"/>
      <c r="G7" s="6"/>
      <c r="H7" s="6"/>
      <c r="I7" s="6"/>
      <c r="J7" s="6" t="str">
        <f t="shared" si="0"/>
        <v/>
      </c>
      <c r="K7" s="6" t="str">
        <f t="shared" si="1"/>
        <v/>
      </c>
      <c r="L7" s="6" t="str">
        <f>IF(C7&lt;&gt;"ST1","",IF(K7="","",K7*(1+参数设置!$B$6)))</f>
        <v/>
      </c>
      <c r="M7" s="6" t="str">
        <f>IF(A7="","",参数设置!$B$7)</f>
        <v/>
      </c>
      <c r="N7" t="str">
        <f t="shared" si="2"/>
        <v/>
      </c>
    </row>
    <row r="8" spans="1:18" x14ac:dyDescent="0.25">
      <c r="A8">
        <v>2</v>
      </c>
      <c r="C8" t="s">
        <v>41</v>
      </c>
      <c r="E8" s="6"/>
      <c r="F8" s="6"/>
      <c r="G8" s="6"/>
      <c r="H8" s="6"/>
      <c r="I8" s="6"/>
      <c r="J8" s="6" t="str">
        <f t="shared" si="0"/>
        <v/>
      </c>
      <c r="K8" s="6">
        <f t="shared" si="1"/>
        <v>0</v>
      </c>
      <c r="L8" s="6">
        <f>IF(C8&lt;&gt;"ST1","",IF(K8="","",K8*(1+参数设置!$B$6)))</f>
        <v>0</v>
      </c>
      <c r="M8" s="6" t="str">
        <f>IF(A8="","",参数设置!$B$7)</f>
        <v/>
      </c>
      <c r="N8" t="str">
        <f t="shared" si="2"/>
        <v/>
      </c>
    </row>
    <row r="9" spans="1:18" x14ac:dyDescent="0.25">
      <c r="A9">
        <v>2</v>
      </c>
      <c r="C9" t="s">
        <v>42</v>
      </c>
      <c r="E9" s="6"/>
      <c r="F9" s="6"/>
      <c r="G9" s="6"/>
      <c r="H9" s="6"/>
      <c r="I9" s="6"/>
      <c r="J9" s="6" t="str">
        <f t="shared" si="0"/>
        <v/>
      </c>
      <c r="K9" s="6" t="str">
        <f t="shared" si="1"/>
        <v/>
      </c>
      <c r="L9" s="6" t="str">
        <f>IF(C9&lt;&gt;"ST1","",IF(K9="","",K9*(1+参数设置!$B$6)))</f>
        <v/>
      </c>
      <c r="M9" s="6" t="str">
        <f>IF(A9="","",参数设置!$B$7)</f>
        <v/>
      </c>
      <c r="N9" t="str">
        <f t="shared" si="2"/>
        <v/>
      </c>
    </row>
    <row r="10" spans="1:18" x14ac:dyDescent="0.25">
      <c r="A10">
        <v>2</v>
      </c>
      <c r="C10" t="s">
        <v>43</v>
      </c>
      <c r="E10" s="6"/>
      <c r="F10" s="6"/>
      <c r="G10" s="6"/>
      <c r="H10" s="6"/>
      <c r="I10" s="6"/>
      <c r="J10" s="6" t="str">
        <f t="shared" si="0"/>
        <v/>
      </c>
      <c r="K10" s="6" t="str">
        <f t="shared" si="1"/>
        <v/>
      </c>
      <c r="L10" s="6" t="str">
        <f>IF(C10&lt;&gt;"ST1","",IF(K10="","",K10*(1+参数设置!$B$6)))</f>
        <v/>
      </c>
      <c r="M10" s="6" t="str">
        <f>IF(A10="","",参数设置!$B$7)</f>
        <v/>
      </c>
      <c r="N10" t="str">
        <f t="shared" si="2"/>
        <v/>
      </c>
    </row>
    <row r="11" spans="1:18" x14ac:dyDescent="0.25">
      <c r="A11">
        <v>2</v>
      </c>
      <c r="C11" t="s">
        <v>44</v>
      </c>
      <c r="E11" s="6"/>
      <c r="F11" s="6"/>
      <c r="G11" s="6"/>
      <c r="H11" s="6"/>
      <c r="I11" s="6"/>
      <c r="J11" s="6" t="str">
        <f t="shared" si="0"/>
        <v/>
      </c>
      <c r="K11" s="6" t="str">
        <f t="shared" si="1"/>
        <v/>
      </c>
      <c r="L11" s="6" t="str">
        <f>IF(C11&lt;&gt;"ST1","",IF(K11="","",K11*(1+参数设置!$B$6)))</f>
        <v/>
      </c>
      <c r="M11" s="6" t="str">
        <f>IF(A11="","",参数设置!$B$7)</f>
        <v/>
      </c>
      <c r="N11" t="str">
        <f t="shared" si="2"/>
        <v/>
      </c>
    </row>
    <row r="12" spans="1:18" x14ac:dyDescent="0.25">
      <c r="A12">
        <v>2</v>
      </c>
      <c r="C12" t="s">
        <v>45</v>
      </c>
      <c r="E12" s="6"/>
      <c r="F12" s="6"/>
      <c r="G12" s="6"/>
      <c r="H12" s="6"/>
      <c r="I12" s="6"/>
      <c r="J12" s="6" t="str">
        <f t="shared" si="0"/>
        <v/>
      </c>
      <c r="K12" s="6" t="str">
        <f t="shared" si="1"/>
        <v/>
      </c>
      <c r="L12" s="6" t="str">
        <f>IF(C12&lt;&gt;"ST1","",IF(K12="","",K12*(1+参数设置!$B$6)))</f>
        <v/>
      </c>
      <c r="M12" s="6" t="str">
        <f>IF(A12="","",参数设置!$B$7)</f>
        <v/>
      </c>
      <c r="N12" t="str">
        <f t="shared" si="2"/>
        <v/>
      </c>
    </row>
    <row r="13" spans="1:18" x14ac:dyDescent="0.25">
      <c r="A13">
        <v>3</v>
      </c>
      <c r="C13" t="s">
        <v>41</v>
      </c>
      <c r="E13" s="6"/>
      <c r="F13" s="6"/>
      <c r="G13" s="6"/>
      <c r="H13" s="6"/>
      <c r="I13" s="6"/>
      <c r="J13" s="6" t="str">
        <f t="shared" si="0"/>
        <v/>
      </c>
      <c r="K13" s="6">
        <f t="shared" si="1"/>
        <v>0</v>
      </c>
      <c r="L13" s="6">
        <f>IF(C13&lt;&gt;"ST1","",IF(K13="","",K13*(1+参数设置!$B$6)))</f>
        <v>0</v>
      </c>
      <c r="M13" s="6" t="str">
        <f>IF(A13="","",参数设置!$B$7)</f>
        <v/>
      </c>
      <c r="N13" t="str">
        <f t="shared" si="2"/>
        <v/>
      </c>
    </row>
    <row r="14" spans="1:18" x14ac:dyDescent="0.25">
      <c r="A14">
        <v>3</v>
      </c>
      <c r="C14" t="s">
        <v>42</v>
      </c>
      <c r="E14" s="6"/>
      <c r="F14" s="6"/>
      <c r="G14" s="6"/>
      <c r="H14" s="6"/>
      <c r="I14" s="6"/>
      <c r="J14" s="6" t="str">
        <f t="shared" si="0"/>
        <v/>
      </c>
      <c r="K14" s="6" t="str">
        <f t="shared" si="1"/>
        <v/>
      </c>
      <c r="L14" s="6" t="str">
        <f>IF(C14&lt;&gt;"ST1","",IF(K14="","",K14*(1+参数设置!$B$6)))</f>
        <v/>
      </c>
      <c r="M14" s="6" t="str">
        <f>IF(A14="","",参数设置!$B$7)</f>
        <v/>
      </c>
      <c r="N14" t="str">
        <f t="shared" si="2"/>
        <v/>
      </c>
    </row>
    <row r="15" spans="1:18" x14ac:dyDescent="0.25">
      <c r="A15">
        <v>3</v>
      </c>
      <c r="C15" t="s">
        <v>43</v>
      </c>
      <c r="E15" s="6"/>
      <c r="F15" s="6"/>
      <c r="G15" s="6"/>
      <c r="H15" s="6"/>
      <c r="I15" s="6"/>
      <c r="J15" s="6" t="str">
        <f t="shared" si="0"/>
        <v/>
      </c>
      <c r="K15" s="6" t="str">
        <f t="shared" si="1"/>
        <v/>
      </c>
      <c r="L15" s="6" t="str">
        <f>IF(C15&lt;&gt;"ST1","",IF(K15="","",K15*(1+参数设置!$B$6)))</f>
        <v/>
      </c>
      <c r="M15" s="6" t="str">
        <f>IF(A15="","",参数设置!$B$7)</f>
        <v/>
      </c>
      <c r="N15" t="str">
        <f t="shared" si="2"/>
        <v/>
      </c>
    </row>
    <row r="16" spans="1:18" x14ac:dyDescent="0.25">
      <c r="A16">
        <v>3</v>
      </c>
      <c r="C16" t="s">
        <v>44</v>
      </c>
      <c r="E16" s="6"/>
      <c r="F16" s="6"/>
      <c r="G16" s="6"/>
      <c r="H16" s="6"/>
      <c r="I16" s="6"/>
      <c r="J16" s="6" t="str">
        <f t="shared" si="0"/>
        <v/>
      </c>
      <c r="K16" s="6" t="str">
        <f t="shared" si="1"/>
        <v/>
      </c>
      <c r="L16" s="6" t="str">
        <f>IF(C16&lt;&gt;"ST1","",IF(K16="","",K16*(1+参数设置!$B$6)))</f>
        <v/>
      </c>
      <c r="M16" s="6" t="str">
        <f>IF(A16="","",参数设置!$B$7)</f>
        <v/>
      </c>
      <c r="N16" t="str">
        <f t="shared" si="2"/>
        <v/>
      </c>
    </row>
    <row r="17" spans="1:14" x14ac:dyDescent="0.25">
      <c r="A17">
        <v>3</v>
      </c>
      <c r="C17" t="s">
        <v>45</v>
      </c>
      <c r="E17" s="6"/>
      <c r="F17" s="6"/>
      <c r="G17" s="6"/>
      <c r="H17" s="6"/>
      <c r="I17" s="6"/>
      <c r="J17" s="6" t="str">
        <f t="shared" si="0"/>
        <v/>
      </c>
      <c r="K17" s="6" t="str">
        <f t="shared" si="1"/>
        <v/>
      </c>
      <c r="L17" s="6" t="str">
        <f>IF(C17&lt;&gt;"ST1","",IF(K17="","",K17*(1+参数设置!$B$6)))</f>
        <v/>
      </c>
      <c r="M17" s="6" t="str">
        <f>IF(A17="","",参数设置!$B$7)</f>
        <v/>
      </c>
      <c r="N17" t="str">
        <f t="shared" si="2"/>
        <v/>
      </c>
    </row>
    <row r="18" spans="1:14" x14ac:dyDescent="0.25">
      <c r="A18">
        <v>4</v>
      </c>
      <c r="C18" t="s">
        <v>41</v>
      </c>
      <c r="E18" s="6"/>
      <c r="F18" s="6"/>
      <c r="G18" s="6"/>
      <c r="H18" s="6"/>
      <c r="I18" s="6"/>
      <c r="J18" s="6" t="str">
        <f t="shared" si="0"/>
        <v/>
      </c>
      <c r="K18" s="6">
        <f t="shared" si="1"/>
        <v>0</v>
      </c>
      <c r="L18" s="6">
        <f>IF(C18&lt;&gt;"ST1","",IF(K18="","",K18*(1+参数设置!$B$6)))</f>
        <v>0</v>
      </c>
      <c r="M18" s="6" t="str">
        <f>IF(A18="","",参数设置!$B$7)</f>
        <v/>
      </c>
      <c r="N18" t="str">
        <f t="shared" si="2"/>
        <v/>
      </c>
    </row>
    <row r="19" spans="1:14" x14ac:dyDescent="0.25">
      <c r="A19">
        <v>4</v>
      </c>
      <c r="C19" t="s">
        <v>42</v>
      </c>
      <c r="E19" s="6"/>
      <c r="F19" s="6"/>
      <c r="G19" s="6"/>
      <c r="H19" s="6"/>
      <c r="I19" s="6"/>
      <c r="J19" s="6" t="str">
        <f t="shared" si="0"/>
        <v/>
      </c>
      <c r="K19" s="6" t="str">
        <f t="shared" si="1"/>
        <v/>
      </c>
      <c r="L19" s="6" t="str">
        <f>IF(C19&lt;&gt;"ST1","",IF(K19="","",K19*(1+参数设置!$B$6)))</f>
        <v/>
      </c>
      <c r="M19" s="6" t="str">
        <f>IF(A19="","",参数设置!$B$7)</f>
        <v/>
      </c>
      <c r="N19" t="str">
        <f t="shared" si="2"/>
        <v/>
      </c>
    </row>
    <row r="20" spans="1:14" x14ac:dyDescent="0.25">
      <c r="A20">
        <v>4</v>
      </c>
      <c r="C20" t="s">
        <v>43</v>
      </c>
      <c r="E20" s="6"/>
      <c r="F20" s="6"/>
      <c r="G20" s="6"/>
      <c r="H20" s="6"/>
      <c r="I20" s="6"/>
      <c r="J20" s="6" t="str">
        <f t="shared" si="0"/>
        <v/>
      </c>
      <c r="K20" s="6" t="str">
        <f t="shared" si="1"/>
        <v/>
      </c>
      <c r="L20" s="6" t="str">
        <f>IF(C20&lt;&gt;"ST1","",IF(K20="","",K20*(1+参数设置!$B$6)))</f>
        <v/>
      </c>
      <c r="M20" s="6" t="str">
        <f>IF(A20="","",参数设置!$B$7)</f>
        <v/>
      </c>
      <c r="N20" t="str">
        <f t="shared" si="2"/>
        <v/>
      </c>
    </row>
    <row r="21" spans="1:14" x14ac:dyDescent="0.25">
      <c r="A21">
        <v>4</v>
      </c>
      <c r="C21" t="s">
        <v>44</v>
      </c>
      <c r="E21" s="6"/>
      <c r="F21" s="6"/>
      <c r="G21" s="6"/>
      <c r="H21" s="6"/>
      <c r="I21" s="6"/>
      <c r="J21" s="6" t="str">
        <f t="shared" si="0"/>
        <v/>
      </c>
      <c r="K21" s="6" t="str">
        <f t="shared" si="1"/>
        <v/>
      </c>
      <c r="L21" s="6" t="str">
        <f>IF(C21&lt;&gt;"ST1","",IF(K21="","",K21*(1+参数设置!$B$6)))</f>
        <v/>
      </c>
      <c r="M21" s="6" t="str">
        <f>IF(A21="","",参数设置!$B$7)</f>
        <v/>
      </c>
      <c r="N21" t="str">
        <f t="shared" si="2"/>
        <v/>
      </c>
    </row>
    <row r="22" spans="1:14" x14ac:dyDescent="0.25">
      <c r="A22">
        <v>4</v>
      </c>
      <c r="C22" t="s">
        <v>45</v>
      </c>
      <c r="E22" s="6"/>
      <c r="F22" s="6"/>
      <c r="G22" s="6"/>
      <c r="H22" s="6"/>
      <c r="I22" s="6"/>
      <c r="J22" s="6" t="str">
        <f t="shared" si="0"/>
        <v/>
      </c>
      <c r="K22" s="6" t="str">
        <f t="shared" si="1"/>
        <v/>
      </c>
      <c r="L22" s="6" t="str">
        <f>IF(C22&lt;&gt;"ST1","",IF(K22="","",K22*(1+参数设置!$B$6)))</f>
        <v/>
      </c>
      <c r="M22" s="6" t="str">
        <f>IF(A22="","",参数设置!$B$7)</f>
        <v/>
      </c>
      <c r="N22" t="str">
        <f t="shared" si="2"/>
        <v/>
      </c>
    </row>
    <row r="23" spans="1:14" x14ac:dyDescent="0.25">
      <c r="A23">
        <v>5</v>
      </c>
      <c r="C23" t="s">
        <v>41</v>
      </c>
      <c r="E23" s="6"/>
      <c r="F23" s="6"/>
      <c r="G23" s="6"/>
      <c r="H23" s="6"/>
      <c r="I23" s="6"/>
      <c r="J23" s="6" t="str">
        <f t="shared" si="0"/>
        <v/>
      </c>
      <c r="K23" s="6">
        <f t="shared" si="1"/>
        <v>0</v>
      </c>
      <c r="L23" s="6">
        <f>IF(C23&lt;&gt;"ST1","",IF(K23="","",K23*(1+参数设置!$B$6)))</f>
        <v>0</v>
      </c>
      <c r="M23" s="6" t="str">
        <f>IF(A23="","",参数设置!$B$7)</f>
        <v/>
      </c>
      <c r="N23" t="str">
        <f t="shared" si="2"/>
        <v/>
      </c>
    </row>
    <row r="24" spans="1:14" x14ac:dyDescent="0.25">
      <c r="A24">
        <v>5</v>
      </c>
      <c r="C24" t="s">
        <v>42</v>
      </c>
      <c r="E24" s="6"/>
      <c r="F24" s="6"/>
      <c r="G24" s="6"/>
      <c r="H24" s="6"/>
      <c r="I24" s="6"/>
      <c r="J24" s="6" t="str">
        <f t="shared" si="0"/>
        <v/>
      </c>
      <c r="K24" s="6" t="str">
        <f t="shared" si="1"/>
        <v/>
      </c>
      <c r="L24" s="6" t="str">
        <f>IF(C24&lt;&gt;"ST1","",IF(K24="","",K24*(1+参数设置!$B$6)))</f>
        <v/>
      </c>
      <c r="M24" s="6" t="str">
        <f>IF(A24="","",参数设置!$B$7)</f>
        <v/>
      </c>
      <c r="N24" t="str">
        <f t="shared" si="2"/>
        <v/>
      </c>
    </row>
    <row r="25" spans="1:14" x14ac:dyDescent="0.25">
      <c r="A25">
        <v>5</v>
      </c>
      <c r="C25" t="s">
        <v>43</v>
      </c>
      <c r="E25" s="6"/>
      <c r="F25" s="6"/>
      <c r="G25" s="6"/>
      <c r="H25" s="6"/>
      <c r="I25" s="6"/>
      <c r="J25" s="6" t="str">
        <f t="shared" si="0"/>
        <v/>
      </c>
      <c r="K25" s="6" t="str">
        <f t="shared" si="1"/>
        <v/>
      </c>
      <c r="L25" s="6" t="str">
        <f>IF(C25&lt;&gt;"ST1","",IF(K25="","",K25*(1+参数设置!$B$6)))</f>
        <v/>
      </c>
      <c r="M25" s="6" t="str">
        <f>IF(A25="","",参数设置!$B$7)</f>
        <v/>
      </c>
      <c r="N25" t="str">
        <f t="shared" si="2"/>
        <v/>
      </c>
    </row>
    <row r="26" spans="1:14" x14ac:dyDescent="0.25">
      <c r="A26">
        <v>5</v>
      </c>
      <c r="C26" t="s">
        <v>44</v>
      </c>
      <c r="E26" s="6"/>
      <c r="F26" s="6"/>
      <c r="G26" s="6"/>
      <c r="H26" s="6"/>
      <c r="I26" s="6"/>
      <c r="J26" s="6" t="str">
        <f t="shared" si="0"/>
        <v/>
      </c>
      <c r="K26" s="6" t="str">
        <f t="shared" si="1"/>
        <v/>
      </c>
      <c r="L26" s="6" t="str">
        <f>IF(C26&lt;&gt;"ST1","",IF(K26="","",K26*(1+参数设置!$B$6)))</f>
        <v/>
      </c>
      <c r="M26" s="6" t="str">
        <f>IF(A26="","",参数设置!$B$7)</f>
        <v/>
      </c>
      <c r="N26" t="str">
        <f t="shared" si="2"/>
        <v/>
      </c>
    </row>
    <row r="27" spans="1:14" x14ac:dyDescent="0.25">
      <c r="A27">
        <v>5</v>
      </c>
      <c r="C27" t="s">
        <v>45</v>
      </c>
      <c r="E27" s="6"/>
      <c r="F27" s="6"/>
      <c r="G27" s="6"/>
      <c r="H27" s="6"/>
      <c r="I27" s="6"/>
      <c r="J27" s="6" t="str">
        <f t="shared" si="0"/>
        <v/>
      </c>
      <c r="K27" s="6" t="str">
        <f t="shared" si="1"/>
        <v/>
      </c>
      <c r="L27" s="6" t="str">
        <f>IF(C27&lt;&gt;"ST1","",IF(K27="","",K27*(1+参数设置!$B$6)))</f>
        <v/>
      </c>
      <c r="M27" s="6" t="str">
        <f>IF(A27="","",参数设置!$B$7)</f>
        <v/>
      </c>
      <c r="N27" t="str">
        <f t="shared" si="2"/>
        <v/>
      </c>
    </row>
    <row r="28" spans="1:14" x14ac:dyDescent="0.25">
      <c r="A28">
        <v>6</v>
      </c>
      <c r="C28" t="s">
        <v>41</v>
      </c>
      <c r="E28" s="6"/>
      <c r="F28" s="6"/>
      <c r="G28" s="6"/>
      <c r="H28" s="6"/>
      <c r="I28" s="6"/>
      <c r="J28" s="6" t="str">
        <f t="shared" si="0"/>
        <v/>
      </c>
      <c r="K28" s="6">
        <f t="shared" si="1"/>
        <v>0</v>
      </c>
      <c r="L28" s="6">
        <f>IF(C28&lt;&gt;"ST1","",IF(K28="","",K28*(1+参数设置!$B$6)))</f>
        <v>0</v>
      </c>
      <c r="M28" s="6" t="str">
        <f>IF(A28="","",参数设置!$B$7)</f>
        <v/>
      </c>
      <c r="N28" t="str">
        <f t="shared" si="2"/>
        <v/>
      </c>
    </row>
    <row r="29" spans="1:14" x14ac:dyDescent="0.25">
      <c r="A29">
        <v>6</v>
      </c>
      <c r="C29" t="s">
        <v>42</v>
      </c>
      <c r="E29" s="6"/>
      <c r="F29" s="6"/>
      <c r="G29" s="6"/>
      <c r="H29" s="6"/>
      <c r="I29" s="6"/>
      <c r="J29" s="6" t="str">
        <f t="shared" si="0"/>
        <v/>
      </c>
      <c r="K29" s="6" t="str">
        <f t="shared" si="1"/>
        <v/>
      </c>
      <c r="L29" s="6" t="str">
        <f>IF(C29&lt;&gt;"ST1","",IF(K29="","",K29*(1+参数设置!$B$6)))</f>
        <v/>
      </c>
      <c r="M29" s="6" t="str">
        <f>IF(A29="","",参数设置!$B$7)</f>
        <v/>
      </c>
      <c r="N29" t="str">
        <f t="shared" si="2"/>
        <v/>
      </c>
    </row>
    <row r="30" spans="1:14" x14ac:dyDescent="0.25">
      <c r="A30">
        <v>6</v>
      </c>
      <c r="C30" t="s">
        <v>43</v>
      </c>
      <c r="E30" s="6"/>
      <c r="F30" s="6"/>
      <c r="G30" s="6"/>
      <c r="H30" s="6"/>
      <c r="I30" s="6"/>
      <c r="J30" s="6" t="str">
        <f t="shared" si="0"/>
        <v/>
      </c>
      <c r="K30" s="6" t="str">
        <f t="shared" si="1"/>
        <v/>
      </c>
      <c r="L30" s="6" t="str">
        <f>IF(C30&lt;&gt;"ST1","",IF(K30="","",K30*(1+参数设置!$B$6)))</f>
        <v/>
      </c>
      <c r="M30" s="6" t="str">
        <f>IF(A30="","",参数设置!$B$7)</f>
        <v/>
      </c>
      <c r="N30" t="str">
        <f t="shared" si="2"/>
        <v/>
      </c>
    </row>
    <row r="31" spans="1:14" x14ac:dyDescent="0.25">
      <c r="A31">
        <v>6</v>
      </c>
      <c r="C31" t="s">
        <v>44</v>
      </c>
      <c r="E31" s="6"/>
      <c r="F31" s="6"/>
      <c r="G31" s="6"/>
      <c r="H31" s="6"/>
      <c r="I31" s="6"/>
      <c r="J31" s="6" t="str">
        <f t="shared" si="0"/>
        <v/>
      </c>
      <c r="K31" s="6" t="str">
        <f t="shared" si="1"/>
        <v/>
      </c>
      <c r="L31" s="6" t="str">
        <f>IF(C31&lt;&gt;"ST1","",IF(K31="","",K31*(1+参数设置!$B$6)))</f>
        <v/>
      </c>
      <c r="M31" s="6" t="str">
        <f>IF(A31="","",参数设置!$B$7)</f>
        <v/>
      </c>
      <c r="N31" t="str">
        <f t="shared" si="2"/>
        <v/>
      </c>
    </row>
    <row r="32" spans="1:14" x14ac:dyDescent="0.25">
      <c r="A32">
        <v>6</v>
      </c>
      <c r="C32" t="s">
        <v>45</v>
      </c>
      <c r="E32" s="6"/>
      <c r="F32" s="6"/>
      <c r="G32" s="6"/>
      <c r="H32" s="6"/>
      <c r="I32" s="6"/>
      <c r="J32" s="6" t="str">
        <f t="shared" si="0"/>
        <v/>
      </c>
      <c r="K32" s="6" t="str">
        <f t="shared" si="1"/>
        <v/>
      </c>
      <c r="L32" s="6" t="str">
        <f>IF(C32&lt;&gt;"ST1","",IF(K32="","",K32*(1+参数设置!$B$6)))</f>
        <v/>
      </c>
      <c r="M32" s="6" t="str">
        <f>IF(A32="","",参数设置!$B$7)</f>
        <v/>
      </c>
      <c r="N32" t="str">
        <f t="shared" si="2"/>
        <v/>
      </c>
    </row>
    <row r="33" spans="1:14" x14ac:dyDescent="0.25">
      <c r="A33">
        <v>7</v>
      </c>
      <c r="C33" t="s">
        <v>41</v>
      </c>
      <c r="E33" s="6"/>
      <c r="F33" s="6"/>
      <c r="G33" s="6"/>
      <c r="H33" s="6"/>
      <c r="I33" s="6"/>
      <c r="J33" s="6" t="str">
        <f t="shared" si="0"/>
        <v/>
      </c>
      <c r="K33" s="6">
        <f t="shared" si="1"/>
        <v>0</v>
      </c>
      <c r="L33" s="6">
        <f>IF(C33&lt;&gt;"ST1","",IF(K33="","",K33*(1+参数设置!$B$6)))</f>
        <v>0</v>
      </c>
      <c r="M33" s="6" t="str">
        <f>IF(A33="","",参数设置!$B$7)</f>
        <v/>
      </c>
      <c r="N33" t="str">
        <f t="shared" si="2"/>
        <v/>
      </c>
    </row>
    <row r="34" spans="1:14" x14ac:dyDescent="0.25">
      <c r="A34">
        <v>7</v>
      </c>
      <c r="C34" t="s">
        <v>42</v>
      </c>
      <c r="E34" s="6"/>
      <c r="F34" s="6"/>
      <c r="G34" s="6"/>
      <c r="H34" s="6"/>
      <c r="I34" s="6"/>
      <c r="J34" s="6" t="str">
        <f t="shared" si="0"/>
        <v/>
      </c>
      <c r="K34" s="6" t="str">
        <f t="shared" si="1"/>
        <v/>
      </c>
      <c r="L34" s="6" t="str">
        <f>IF(C34&lt;&gt;"ST1","",IF(K34="","",K34*(1+参数设置!$B$6)))</f>
        <v/>
      </c>
      <c r="M34" s="6" t="str">
        <f>IF(A34="","",参数设置!$B$7)</f>
        <v/>
      </c>
      <c r="N34" t="str">
        <f t="shared" si="2"/>
        <v/>
      </c>
    </row>
    <row r="35" spans="1:14" x14ac:dyDescent="0.25">
      <c r="A35">
        <v>7</v>
      </c>
      <c r="C35" t="s">
        <v>43</v>
      </c>
      <c r="E35" s="6"/>
      <c r="F35" s="6"/>
      <c r="G35" s="6"/>
      <c r="H35" s="6"/>
      <c r="I35" s="6"/>
      <c r="J35" s="6" t="str">
        <f t="shared" ref="J35:J66" si="3">IF(COUNT(E35:I35)=0,"",AVERAGE(E35:I35))</f>
        <v/>
      </c>
      <c r="K35" s="6" t="str">
        <f t="shared" ref="K35:K66" si="4">IF(C35&lt;&gt;"ST1","",IF(COUNTIFS($A:$A,A35,$J:$J,"&lt;&gt;")=0,"",SUMIFS($J:$J,$A:$A,A35)))</f>
        <v/>
      </c>
      <c r="L35" s="6" t="str">
        <f>IF(C35&lt;&gt;"ST1","",IF(K35="","",K35*(1+参数设置!$B$6)))</f>
        <v/>
      </c>
      <c r="M35" s="6" t="str">
        <f>IF(A35="","",参数设置!$B$7)</f>
        <v/>
      </c>
      <c r="N35" t="str">
        <f t="shared" ref="N35:N66" si="5">IF(K35="","",IF(M35="","",IF(K35&gt;M35,"超节拍",IF(K35&gt;=M35*0.9,"接近上限","正常"))))</f>
        <v/>
      </c>
    </row>
    <row r="36" spans="1:14" x14ac:dyDescent="0.25">
      <c r="A36">
        <v>7</v>
      </c>
      <c r="C36" t="s">
        <v>44</v>
      </c>
      <c r="E36" s="6"/>
      <c r="F36" s="6"/>
      <c r="G36" s="6"/>
      <c r="H36" s="6"/>
      <c r="I36" s="6"/>
      <c r="J36" s="6" t="str">
        <f t="shared" si="3"/>
        <v/>
      </c>
      <c r="K36" s="6" t="str">
        <f t="shared" si="4"/>
        <v/>
      </c>
      <c r="L36" s="6" t="str">
        <f>IF(C36&lt;&gt;"ST1","",IF(K36="","",K36*(1+参数设置!$B$6)))</f>
        <v/>
      </c>
      <c r="M36" s="6" t="str">
        <f>IF(A36="","",参数设置!$B$7)</f>
        <v/>
      </c>
      <c r="N36" t="str">
        <f t="shared" si="5"/>
        <v/>
      </c>
    </row>
    <row r="37" spans="1:14" x14ac:dyDescent="0.25">
      <c r="A37">
        <v>7</v>
      </c>
      <c r="C37" t="s">
        <v>45</v>
      </c>
      <c r="E37" s="6"/>
      <c r="F37" s="6"/>
      <c r="G37" s="6"/>
      <c r="H37" s="6"/>
      <c r="I37" s="6"/>
      <c r="J37" s="6" t="str">
        <f t="shared" si="3"/>
        <v/>
      </c>
      <c r="K37" s="6" t="str">
        <f t="shared" si="4"/>
        <v/>
      </c>
      <c r="L37" s="6" t="str">
        <f>IF(C37&lt;&gt;"ST1","",IF(K37="","",K37*(1+参数设置!$B$6)))</f>
        <v/>
      </c>
      <c r="M37" s="6" t="str">
        <f>IF(A37="","",参数设置!$B$7)</f>
        <v/>
      </c>
      <c r="N37" t="str">
        <f t="shared" si="5"/>
        <v/>
      </c>
    </row>
    <row r="38" spans="1:14" x14ac:dyDescent="0.25">
      <c r="A38">
        <v>8</v>
      </c>
      <c r="C38" t="s">
        <v>41</v>
      </c>
      <c r="E38" s="6"/>
      <c r="F38" s="6"/>
      <c r="G38" s="6"/>
      <c r="H38" s="6"/>
      <c r="I38" s="6"/>
      <c r="J38" s="6" t="str">
        <f t="shared" si="3"/>
        <v/>
      </c>
      <c r="K38" s="6">
        <f t="shared" si="4"/>
        <v>0</v>
      </c>
      <c r="L38" s="6">
        <f>IF(C38&lt;&gt;"ST1","",IF(K38="","",K38*(1+参数设置!$B$6)))</f>
        <v>0</v>
      </c>
      <c r="M38" s="6" t="str">
        <f>IF(A38="","",参数设置!$B$7)</f>
        <v/>
      </c>
      <c r="N38" t="str">
        <f t="shared" si="5"/>
        <v/>
      </c>
    </row>
    <row r="39" spans="1:14" x14ac:dyDescent="0.25">
      <c r="A39">
        <v>8</v>
      </c>
      <c r="C39" t="s">
        <v>42</v>
      </c>
      <c r="E39" s="6"/>
      <c r="F39" s="6"/>
      <c r="G39" s="6"/>
      <c r="H39" s="6"/>
      <c r="I39" s="6"/>
      <c r="J39" s="6" t="str">
        <f t="shared" si="3"/>
        <v/>
      </c>
      <c r="K39" s="6" t="str">
        <f t="shared" si="4"/>
        <v/>
      </c>
      <c r="L39" s="6" t="str">
        <f>IF(C39&lt;&gt;"ST1","",IF(K39="","",K39*(1+参数设置!$B$6)))</f>
        <v/>
      </c>
      <c r="M39" s="6" t="str">
        <f>IF(A39="","",参数设置!$B$7)</f>
        <v/>
      </c>
      <c r="N39" t="str">
        <f t="shared" si="5"/>
        <v/>
      </c>
    </row>
    <row r="40" spans="1:14" x14ac:dyDescent="0.25">
      <c r="A40">
        <v>8</v>
      </c>
      <c r="C40" t="s">
        <v>43</v>
      </c>
      <c r="E40" s="6"/>
      <c r="F40" s="6"/>
      <c r="G40" s="6"/>
      <c r="H40" s="6"/>
      <c r="I40" s="6"/>
      <c r="J40" s="6" t="str">
        <f t="shared" si="3"/>
        <v/>
      </c>
      <c r="K40" s="6" t="str">
        <f t="shared" si="4"/>
        <v/>
      </c>
      <c r="L40" s="6" t="str">
        <f>IF(C40&lt;&gt;"ST1","",IF(K40="","",K40*(1+参数设置!$B$6)))</f>
        <v/>
      </c>
      <c r="M40" s="6" t="str">
        <f>IF(A40="","",参数设置!$B$7)</f>
        <v/>
      </c>
      <c r="N40" t="str">
        <f t="shared" si="5"/>
        <v/>
      </c>
    </row>
    <row r="41" spans="1:14" x14ac:dyDescent="0.25">
      <c r="A41">
        <v>8</v>
      </c>
      <c r="C41" t="s">
        <v>44</v>
      </c>
      <c r="E41" s="6"/>
      <c r="F41" s="6"/>
      <c r="G41" s="6"/>
      <c r="H41" s="6"/>
      <c r="I41" s="6"/>
      <c r="J41" s="6" t="str">
        <f t="shared" si="3"/>
        <v/>
      </c>
      <c r="K41" s="6" t="str">
        <f t="shared" si="4"/>
        <v/>
      </c>
      <c r="L41" s="6" t="str">
        <f>IF(C41&lt;&gt;"ST1","",IF(K41="","",K41*(1+参数设置!$B$6)))</f>
        <v/>
      </c>
      <c r="M41" s="6" t="str">
        <f>IF(A41="","",参数设置!$B$7)</f>
        <v/>
      </c>
      <c r="N41" t="str">
        <f t="shared" si="5"/>
        <v/>
      </c>
    </row>
    <row r="42" spans="1:14" x14ac:dyDescent="0.25">
      <c r="A42">
        <v>8</v>
      </c>
      <c r="C42" t="s">
        <v>45</v>
      </c>
      <c r="E42" s="6"/>
      <c r="F42" s="6"/>
      <c r="G42" s="6"/>
      <c r="H42" s="6"/>
      <c r="I42" s="6"/>
      <c r="J42" s="6" t="str">
        <f t="shared" si="3"/>
        <v/>
      </c>
      <c r="K42" s="6" t="str">
        <f t="shared" si="4"/>
        <v/>
      </c>
      <c r="L42" s="6" t="str">
        <f>IF(C42&lt;&gt;"ST1","",IF(K42="","",K42*(1+参数设置!$B$6)))</f>
        <v/>
      </c>
      <c r="M42" s="6" t="str">
        <f>IF(A42="","",参数设置!$B$7)</f>
        <v/>
      </c>
      <c r="N42" t="str">
        <f t="shared" si="5"/>
        <v/>
      </c>
    </row>
    <row r="43" spans="1:14" x14ac:dyDescent="0.25">
      <c r="A43">
        <v>9</v>
      </c>
      <c r="C43" t="s">
        <v>41</v>
      </c>
      <c r="E43" s="6"/>
      <c r="F43" s="6"/>
      <c r="G43" s="6"/>
      <c r="H43" s="6"/>
      <c r="I43" s="6"/>
      <c r="J43" s="6" t="str">
        <f t="shared" si="3"/>
        <v/>
      </c>
      <c r="K43" s="6">
        <f t="shared" si="4"/>
        <v>0</v>
      </c>
      <c r="L43" s="6">
        <f>IF(C43&lt;&gt;"ST1","",IF(K43="","",K43*(1+参数设置!$B$6)))</f>
        <v>0</v>
      </c>
      <c r="M43" s="6" t="str">
        <f>IF(A43="","",参数设置!$B$7)</f>
        <v/>
      </c>
      <c r="N43" t="str">
        <f t="shared" si="5"/>
        <v/>
      </c>
    </row>
    <row r="44" spans="1:14" x14ac:dyDescent="0.25">
      <c r="A44">
        <v>9</v>
      </c>
      <c r="C44" t="s">
        <v>42</v>
      </c>
      <c r="E44" s="6"/>
      <c r="F44" s="6"/>
      <c r="G44" s="6"/>
      <c r="H44" s="6"/>
      <c r="I44" s="6"/>
      <c r="J44" s="6" t="str">
        <f t="shared" si="3"/>
        <v/>
      </c>
      <c r="K44" s="6" t="str">
        <f t="shared" si="4"/>
        <v/>
      </c>
      <c r="L44" s="6" t="str">
        <f>IF(C44&lt;&gt;"ST1","",IF(K44="","",K44*(1+参数设置!$B$6)))</f>
        <v/>
      </c>
      <c r="M44" s="6" t="str">
        <f>IF(A44="","",参数设置!$B$7)</f>
        <v/>
      </c>
      <c r="N44" t="str">
        <f t="shared" si="5"/>
        <v/>
      </c>
    </row>
    <row r="45" spans="1:14" x14ac:dyDescent="0.25">
      <c r="A45">
        <v>9</v>
      </c>
      <c r="C45" t="s">
        <v>43</v>
      </c>
      <c r="E45" s="6"/>
      <c r="F45" s="6"/>
      <c r="G45" s="6"/>
      <c r="H45" s="6"/>
      <c r="I45" s="6"/>
      <c r="J45" s="6" t="str">
        <f t="shared" si="3"/>
        <v/>
      </c>
      <c r="K45" s="6" t="str">
        <f t="shared" si="4"/>
        <v/>
      </c>
      <c r="L45" s="6" t="str">
        <f>IF(C45&lt;&gt;"ST1","",IF(K45="","",K45*(1+参数设置!$B$6)))</f>
        <v/>
      </c>
      <c r="M45" s="6" t="str">
        <f>IF(A45="","",参数设置!$B$7)</f>
        <v/>
      </c>
      <c r="N45" t="str">
        <f t="shared" si="5"/>
        <v/>
      </c>
    </row>
    <row r="46" spans="1:14" x14ac:dyDescent="0.25">
      <c r="A46">
        <v>9</v>
      </c>
      <c r="C46" t="s">
        <v>44</v>
      </c>
      <c r="E46" s="6"/>
      <c r="F46" s="6"/>
      <c r="G46" s="6"/>
      <c r="H46" s="6"/>
      <c r="I46" s="6"/>
      <c r="J46" s="6" t="str">
        <f t="shared" si="3"/>
        <v/>
      </c>
      <c r="K46" s="6" t="str">
        <f t="shared" si="4"/>
        <v/>
      </c>
      <c r="L46" s="6" t="str">
        <f>IF(C46&lt;&gt;"ST1","",IF(K46="","",K46*(1+参数设置!$B$6)))</f>
        <v/>
      </c>
      <c r="M46" s="6" t="str">
        <f>IF(A46="","",参数设置!$B$7)</f>
        <v/>
      </c>
      <c r="N46" t="str">
        <f t="shared" si="5"/>
        <v/>
      </c>
    </row>
    <row r="47" spans="1:14" x14ac:dyDescent="0.25">
      <c r="A47">
        <v>9</v>
      </c>
      <c r="C47" t="s">
        <v>45</v>
      </c>
      <c r="E47" s="6"/>
      <c r="F47" s="6"/>
      <c r="G47" s="6"/>
      <c r="H47" s="6"/>
      <c r="I47" s="6"/>
      <c r="J47" s="6" t="str">
        <f t="shared" si="3"/>
        <v/>
      </c>
      <c r="K47" s="6" t="str">
        <f t="shared" si="4"/>
        <v/>
      </c>
      <c r="L47" s="6" t="str">
        <f>IF(C47&lt;&gt;"ST1","",IF(K47="","",K47*(1+参数设置!$B$6)))</f>
        <v/>
      </c>
      <c r="M47" s="6" t="str">
        <f>IF(A47="","",参数设置!$B$7)</f>
        <v/>
      </c>
      <c r="N47" t="str">
        <f t="shared" si="5"/>
        <v/>
      </c>
    </row>
    <row r="48" spans="1:14" x14ac:dyDescent="0.25">
      <c r="A48">
        <v>10</v>
      </c>
      <c r="C48" t="s">
        <v>41</v>
      </c>
      <c r="E48" s="6"/>
      <c r="F48" s="6"/>
      <c r="G48" s="6"/>
      <c r="H48" s="6"/>
      <c r="I48" s="6"/>
      <c r="J48" s="6" t="str">
        <f t="shared" si="3"/>
        <v/>
      </c>
      <c r="K48" s="6">
        <f t="shared" si="4"/>
        <v>0</v>
      </c>
      <c r="L48" s="6">
        <f>IF(C48&lt;&gt;"ST1","",IF(K48="","",K48*(1+参数设置!$B$6)))</f>
        <v>0</v>
      </c>
      <c r="M48" s="6" t="str">
        <f>IF(A48="","",参数设置!$B$7)</f>
        <v/>
      </c>
      <c r="N48" t="str">
        <f t="shared" si="5"/>
        <v/>
      </c>
    </row>
    <row r="49" spans="1:14" x14ac:dyDescent="0.25">
      <c r="A49">
        <v>10</v>
      </c>
      <c r="C49" t="s">
        <v>42</v>
      </c>
      <c r="E49" s="6"/>
      <c r="F49" s="6"/>
      <c r="G49" s="6"/>
      <c r="H49" s="6"/>
      <c r="I49" s="6"/>
      <c r="J49" s="6" t="str">
        <f t="shared" si="3"/>
        <v/>
      </c>
      <c r="K49" s="6" t="str">
        <f t="shared" si="4"/>
        <v/>
      </c>
      <c r="L49" s="6" t="str">
        <f>IF(C49&lt;&gt;"ST1","",IF(K49="","",K49*(1+参数设置!$B$6)))</f>
        <v/>
      </c>
      <c r="M49" s="6" t="str">
        <f>IF(A49="","",参数设置!$B$7)</f>
        <v/>
      </c>
      <c r="N49" t="str">
        <f t="shared" si="5"/>
        <v/>
      </c>
    </row>
    <row r="50" spans="1:14" x14ac:dyDescent="0.25">
      <c r="A50">
        <v>10</v>
      </c>
      <c r="C50" t="s">
        <v>43</v>
      </c>
      <c r="E50" s="6"/>
      <c r="F50" s="6"/>
      <c r="G50" s="6"/>
      <c r="H50" s="6"/>
      <c r="I50" s="6"/>
      <c r="J50" s="6" t="str">
        <f t="shared" si="3"/>
        <v/>
      </c>
      <c r="K50" s="6" t="str">
        <f t="shared" si="4"/>
        <v/>
      </c>
      <c r="L50" s="6" t="str">
        <f>IF(C50&lt;&gt;"ST1","",IF(K50="","",K50*(1+参数设置!$B$6)))</f>
        <v/>
      </c>
      <c r="M50" s="6" t="str">
        <f>IF(A50="","",参数设置!$B$7)</f>
        <v/>
      </c>
      <c r="N50" t="str">
        <f t="shared" si="5"/>
        <v/>
      </c>
    </row>
    <row r="51" spans="1:14" x14ac:dyDescent="0.25">
      <c r="A51">
        <v>10</v>
      </c>
      <c r="C51" t="s">
        <v>44</v>
      </c>
      <c r="E51" s="6"/>
      <c r="F51" s="6"/>
      <c r="G51" s="6"/>
      <c r="H51" s="6"/>
      <c r="I51" s="6"/>
      <c r="J51" s="6" t="str">
        <f t="shared" si="3"/>
        <v/>
      </c>
      <c r="K51" s="6" t="str">
        <f t="shared" si="4"/>
        <v/>
      </c>
      <c r="L51" s="6" t="str">
        <f>IF(C51&lt;&gt;"ST1","",IF(K51="","",K51*(1+参数设置!$B$6)))</f>
        <v/>
      </c>
      <c r="M51" s="6" t="str">
        <f>IF(A51="","",参数设置!$B$7)</f>
        <v/>
      </c>
      <c r="N51" t="str">
        <f t="shared" si="5"/>
        <v/>
      </c>
    </row>
    <row r="52" spans="1:14" x14ac:dyDescent="0.25">
      <c r="A52">
        <v>10</v>
      </c>
      <c r="C52" t="s">
        <v>45</v>
      </c>
      <c r="E52" s="6"/>
      <c r="F52" s="6"/>
      <c r="G52" s="6"/>
      <c r="H52" s="6"/>
      <c r="I52" s="6"/>
      <c r="J52" s="6" t="str">
        <f t="shared" si="3"/>
        <v/>
      </c>
      <c r="K52" s="6" t="str">
        <f t="shared" si="4"/>
        <v/>
      </c>
      <c r="L52" s="6" t="str">
        <f>IF(C52&lt;&gt;"ST1","",IF(K52="","",K52*(1+参数设置!$B$6)))</f>
        <v/>
      </c>
      <c r="M52" s="6" t="str">
        <f>IF(A52="","",参数设置!$B$7)</f>
        <v/>
      </c>
      <c r="N52" t="str">
        <f t="shared" si="5"/>
        <v/>
      </c>
    </row>
    <row r="53" spans="1:14" x14ac:dyDescent="0.25">
      <c r="A53">
        <v>11</v>
      </c>
      <c r="C53" t="s">
        <v>41</v>
      </c>
      <c r="E53" s="6"/>
      <c r="F53" s="6"/>
      <c r="G53" s="6"/>
      <c r="H53" s="6"/>
      <c r="I53" s="6"/>
      <c r="J53" s="6" t="str">
        <f t="shared" si="3"/>
        <v/>
      </c>
      <c r="K53" s="6">
        <f t="shared" si="4"/>
        <v>0</v>
      </c>
      <c r="L53" s="6">
        <f>IF(C53&lt;&gt;"ST1","",IF(K53="","",K53*(1+参数设置!$B$6)))</f>
        <v>0</v>
      </c>
      <c r="M53" s="6" t="str">
        <f>IF(A53="","",参数设置!$B$7)</f>
        <v/>
      </c>
      <c r="N53" t="str">
        <f t="shared" si="5"/>
        <v/>
      </c>
    </row>
    <row r="54" spans="1:14" x14ac:dyDescent="0.25">
      <c r="A54">
        <v>11</v>
      </c>
      <c r="C54" t="s">
        <v>42</v>
      </c>
      <c r="E54" s="6"/>
      <c r="F54" s="6"/>
      <c r="G54" s="6"/>
      <c r="H54" s="6"/>
      <c r="I54" s="6"/>
      <c r="J54" s="6" t="str">
        <f t="shared" si="3"/>
        <v/>
      </c>
      <c r="K54" s="6" t="str">
        <f t="shared" si="4"/>
        <v/>
      </c>
      <c r="L54" s="6" t="str">
        <f>IF(C54&lt;&gt;"ST1","",IF(K54="","",K54*(1+参数设置!$B$6)))</f>
        <v/>
      </c>
      <c r="M54" s="6" t="str">
        <f>IF(A54="","",参数设置!$B$7)</f>
        <v/>
      </c>
      <c r="N54" t="str">
        <f t="shared" si="5"/>
        <v/>
      </c>
    </row>
    <row r="55" spans="1:14" x14ac:dyDescent="0.25">
      <c r="A55">
        <v>11</v>
      </c>
      <c r="C55" t="s">
        <v>43</v>
      </c>
      <c r="E55" s="6"/>
      <c r="F55" s="6"/>
      <c r="G55" s="6"/>
      <c r="H55" s="6"/>
      <c r="I55" s="6"/>
      <c r="J55" s="6" t="str">
        <f t="shared" si="3"/>
        <v/>
      </c>
      <c r="K55" s="6" t="str">
        <f t="shared" si="4"/>
        <v/>
      </c>
      <c r="L55" s="6" t="str">
        <f>IF(C55&lt;&gt;"ST1","",IF(K55="","",K55*(1+参数设置!$B$6)))</f>
        <v/>
      </c>
      <c r="M55" s="6" t="str">
        <f>IF(A55="","",参数设置!$B$7)</f>
        <v/>
      </c>
      <c r="N55" t="str">
        <f t="shared" si="5"/>
        <v/>
      </c>
    </row>
    <row r="56" spans="1:14" x14ac:dyDescent="0.25">
      <c r="A56">
        <v>11</v>
      </c>
      <c r="C56" t="s">
        <v>44</v>
      </c>
      <c r="E56" s="6"/>
      <c r="F56" s="6"/>
      <c r="G56" s="6"/>
      <c r="H56" s="6"/>
      <c r="I56" s="6"/>
      <c r="J56" s="6" t="str">
        <f t="shared" si="3"/>
        <v/>
      </c>
      <c r="K56" s="6" t="str">
        <f t="shared" si="4"/>
        <v/>
      </c>
      <c r="L56" s="6" t="str">
        <f>IF(C56&lt;&gt;"ST1","",IF(K56="","",K56*(1+参数设置!$B$6)))</f>
        <v/>
      </c>
      <c r="M56" s="6" t="str">
        <f>IF(A56="","",参数设置!$B$7)</f>
        <v/>
      </c>
      <c r="N56" t="str">
        <f t="shared" si="5"/>
        <v/>
      </c>
    </row>
    <row r="57" spans="1:14" x14ac:dyDescent="0.25">
      <c r="A57">
        <v>11</v>
      </c>
      <c r="C57" t="s">
        <v>45</v>
      </c>
      <c r="E57" s="6"/>
      <c r="F57" s="6"/>
      <c r="G57" s="6"/>
      <c r="H57" s="6"/>
      <c r="I57" s="6"/>
      <c r="J57" s="6" t="str">
        <f t="shared" si="3"/>
        <v/>
      </c>
      <c r="K57" s="6" t="str">
        <f t="shared" si="4"/>
        <v/>
      </c>
      <c r="L57" s="6" t="str">
        <f>IF(C57&lt;&gt;"ST1","",IF(K57="","",K57*(1+参数设置!$B$6)))</f>
        <v/>
      </c>
      <c r="M57" s="6" t="str">
        <f>IF(A57="","",参数设置!$B$7)</f>
        <v/>
      </c>
      <c r="N57" t="str">
        <f t="shared" si="5"/>
        <v/>
      </c>
    </row>
    <row r="58" spans="1:14" x14ac:dyDescent="0.25">
      <c r="A58">
        <v>12</v>
      </c>
      <c r="C58" t="s">
        <v>41</v>
      </c>
      <c r="E58" s="6"/>
      <c r="F58" s="6"/>
      <c r="G58" s="6"/>
      <c r="H58" s="6"/>
      <c r="I58" s="6"/>
      <c r="J58" s="6" t="str">
        <f t="shared" si="3"/>
        <v/>
      </c>
      <c r="K58" s="6">
        <f t="shared" si="4"/>
        <v>0</v>
      </c>
      <c r="L58" s="6">
        <f>IF(C58&lt;&gt;"ST1","",IF(K58="","",K58*(1+参数设置!$B$6)))</f>
        <v>0</v>
      </c>
      <c r="M58" s="6" t="str">
        <f>IF(A58="","",参数设置!$B$7)</f>
        <v/>
      </c>
      <c r="N58" t="str">
        <f t="shared" si="5"/>
        <v/>
      </c>
    </row>
    <row r="59" spans="1:14" x14ac:dyDescent="0.25">
      <c r="A59">
        <v>12</v>
      </c>
      <c r="C59" t="s">
        <v>42</v>
      </c>
      <c r="E59" s="6"/>
      <c r="F59" s="6"/>
      <c r="G59" s="6"/>
      <c r="H59" s="6"/>
      <c r="I59" s="6"/>
      <c r="J59" s="6" t="str">
        <f t="shared" si="3"/>
        <v/>
      </c>
      <c r="K59" s="6" t="str">
        <f t="shared" si="4"/>
        <v/>
      </c>
      <c r="L59" s="6" t="str">
        <f>IF(C59&lt;&gt;"ST1","",IF(K59="","",K59*(1+参数设置!$B$6)))</f>
        <v/>
      </c>
      <c r="M59" s="6" t="str">
        <f>IF(A59="","",参数设置!$B$7)</f>
        <v/>
      </c>
      <c r="N59" t="str">
        <f t="shared" si="5"/>
        <v/>
      </c>
    </row>
    <row r="60" spans="1:14" x14ac:dyDescent="0.25">
      <c r="A60">
        <v>12</v>
      </c>
      <c r="C60" t="s">
        <v>43</v>
      </c>
      <c r="E60" s="6"/>
      <c r="F60" s="6"/>
      <c r="G60" s="6"/>
      <c r="H60" s="6"/>
      <c r="I60" s="6"/>
      <c r="J60" s="6" t="str">
        <f t="shared" si="3"/>
        <v/>
      </c>
      <c r="K60" s="6" t="str">
        <f t="shared" si="4"/>
        <v/>
      </c>
      <c r="L60" s="6" t="str">
        <f>IF(C60&lt;&gt;"ST1","",IF(K60="","",K60*(1+参数设置!$B$6)))</f>
        <v/>
      </c>
      <c r="M60" s="6" t="str">
        <f>IF(A60="","",参数设置!$B$7)</f>
        <v/>
      </c>
      <c r="N60" t="str">
        <f t="shared" si="5"/>
        <v/>
      </c>
    </row>
    <row r="61" spans="1:14" x14ac:dyDescent="0.25">
      <c r="A61">
        <v>12</v>
      </c>
      <c r="C61" t="s">
        <v>44</v>
      </c>
      <c r="E61" s="6"/>
      <c r="F61" s="6"/>
      <c r="G61" s="6"/>
      <c r="H61" s="6"/>
      <c r="I61" s="6"/>
      <c r="J61" s="6" t="str">
        <f t="shared" si="3"/>
        <v/>
      </c>
      <c r="K61" s="6" t="str">
        <f t="shared" si="4"/>
        <v/>
      </c>
      <c r="L61" s="6" t="str">
        <f>IF(C61&lt;&gt;"ST1","",IF(K61="","",K61*(1+参数设置!$B$6)))</f>
        <v/>
      </c>
      <c r="M61" s="6" t="str">
        <f>IF(A61="","",参数设置!$B$7)</f>
        <v/>
      </c>
      <c r="N61" t="str">
        <f t="shared" si="5"/>
        <v/>
      </c>
    </row>
    <row r="62" spans="1:14" x14ac:dyDescent="0.25">
      <c r="A62">
        <v>12</v>
      </c>
      <c r="C62" t="s">
        <v>45</v>
      </c>
      <c r="E62" s="6"/>
      <c r="F62" s="6"/>
      <c r="G62" s="6"/>
      <c r="H62" s="6"/>
      <c r="I62" s="6"/>
      <c r="J62" s="6" t="str">
        <f t="shared" si="3"/>
        <v/>
      </c>
      <c r="K62" s="6" t="str">
        <f t="shared" si="4"/>
        <v/>
      </c>
      <c r="L62" s="6" t="str">
        <f>IF(C62&lt;&gt;"ST1","",IF(K62="","",K62*(1+参数设置!$B$6)))</f>
        <v/>
      </c>
      <c r="M62" s="6" t="str">
        <f>IF(A62="","",参数设置!$B$7)</f>
        <v/>
      </c>
      <c r="N62" t="str">
        <f t="shared" si="5"/>
        <v/>
      </c>
    </row>
    <row r="63" spans="1:14" x14ac:dyDescent="0.25">
      <c r="A63">
        <v>13</v>
      </c>
      <c r="C63" t="s">
        <v>41</v>
      </c>
      <c r="E63" s="6"/>
      <c r="F63" s="6"/>
      <c r="G63" s="6"/>
      <c r="H63" s="6"/>
      <c r="I63" s="6"/>
      <c r="J63" s="6" t="str">
        <f t="shared" si="3"/>
        <v/>
      </c>
      <c r="K63" s="6">
        <f t="shared" si="4"/>
        <v>0</v>
      </c>
      <c r="L63" s="6">
        <f>IF(C63&lt;&gt;"ST1","",IF(K63="","",K63*(1+参数设置!$B$6)))</f>
        <v>0</v>
      </c>
      <c r="M63" s="6" t="str">
        <f>IF(A63="","",参数设置!$B$7)</f>
        <v/>
      </c>
      <c r="N63" t="str">
        <f t="shared" si="5"/>
        <v/>
      </c>
    </row>
    <row r="64" spans="1:14" x14ac:dyDescent="0.25">
      <c r="A64">
        <v>13</v>
      </c>
      <c r="C64" t="s">
        <v>42</v>
      </c>
      <c r="E64" s="6"/>
      <c r="F64" s="6"/>
      <c r="G64" s="6"/>
      <c r="H64" s="6"/>
      <c r="I64" s="6"/>
      <c r="J64" s="6" t="str">
        <f t="shared" si="3"/>
        <v/>
      </c>
      <c r="K64" s="6" t="str">
        <f t="shared" si="4"/>
        <v/>
      </c>
      <c r="L64" s="6" t="str">
        <f>IF(C64&lt;&gt;"ST1","",IF(K64="","",K64*(1+参数设置!$B$6)))</f>
        <v/>
      </c>
      <c r="M64" s="6" t="str">
        <f>IF(A64="","",参数设置!$B$7)</f>
        <v/>
      </c>
      <c r="N64" t="str">
        <f t="shared" si="5"/>
        <v/>
      </c>
    </row>
    <row r="65" spans="1:14" x14ac:dyDescent="0.25">
      <c r="A65">
        <v>13</v>
      </c>
      <c r="C65" t="s">
        <v>43</v>
      </c>
      <c r="E65" s="6"/>
      <c r="F65" s="6"/>
      <c r="G65" s="6"/>
      <c r="H65" s="6"/>
      <c r="I65" s="6"/>
      <c r="J65" s="6" t="str">
        <f t="shared" si="3"/>
        <v/>
      </c>
      <c r="K65" s="6" t="str">
        <f t="shared" si="4"/>
        <v/>
      </c>
      <c r="L65" s="6" t="str">
        <f>IF(C65&lt;&gt;"ST1","",IF(K65="","",K65*(1+参数设置!$B$6)))</f>
        <v/>
      </c>
      <c r="M65" s="6" t="str">
        <f>IF(A65="","",参数设置!$B$7)</f>
        <v/>
      </c>
      <c r="N65" t="str">
        <f t="shared" si="5"/>
        <v/>
      </c>
    </row>
    <row r="66" spans="1:14" x14ac:dyDescent="0.25">
      <c r="A66">
        <v>13</v>
      </c>
      <c r="C66" t="s">
        <v>44</v>
      </c>
      <c r="E66" s="6"/>
      <c r="F66" s="6"/>
      <c r="G66" s="6"/>
      <c r="H66" s="6"/>
      <c r="I66" s="6"/>
      <c r="J66" s="6" t="str">
        <f t="shared" si="3"/>
        <v/>
      </c>
      <c r="K66" s="6" t="str">
        <f t="shared" si="4"/>
        <v/>
      </c>
      <c r="L66" s="6" t="str">
        <f>IF(C66&lt;&gt;"ST1","",IF(K66="","",K66*(1+参数设置!$B$6)))</f>
        <v/>
      </c>
      <c r="M66" s="6" t="str">
        <f>IF(A66="","",参数设置!$B$7)</f>
        <v/>
      </c>
      <c r="N66" t="str">
        <f t="shared" si="5"/>
        <v/>
      </c>
    </row>
    <row r="67" spans="1:14" x14ac:dyDescent="0.25">
      <c r="A67">
        <v>13</v>
      </c>
      <c r="C67" t="s">
        <v>45</v>
      </c>
      <c r="E67" s="6"/>
      <c r="F67" s="6"/>
      <c r="G67" s="6"/>
      <c r="H67" s="6"/>
      <c r="I67" s="6"/>
      <c r="J67" s="6" t="str">
        <f t="shared" ref="J67:J98" si="6">IF(COUNT(E67:I67)=0,"",AVERAGE(E67:I67))</f>
        <v/>
      </c>
      <c r="K67" s="6" t="str">
        <f t="shared" ref="K67:K98" si="7">IF(C67&lt;&gt;"ST1","",IF(COUNTIFS($A:$A,A67,$J:$J,"&lt;&gt;")=0,"",SUMIFS($J:$J,$A:$A,A67)))</f>
        <v/>
      </c>
      <c r="L67" s="6" t="str">
        <f>IF(C67&lt;&gt;"ST1","",IF(K67="","",K67*(1+参数设置!$B$6)))</f>
        <v/>
      </c>
      <c r="M67" s="6" t="str">
        <f>IF(A67="","",参数设置!$B$7)</f>
        <v/>
      </c>
      <c r="N67" t="str">
        <f t="shared" ref="N67:N98" si="8">IF(K67="","",IF(M67="","",IF(K67&gt;M67,"超节拍",IF(K67&gt;=M67*0.9,"接近上限","正常"))))</f>
        <v/>
      </c>
    </row>
    <row r="68" spans="1:14" x14ac:dyDescent="0.25">
      <c r="A68">
        <v>14</v>
      </c>
      <c r="C68" t="s">
        <v>41</v>
      </c>
      <c r="E68" s="6"/>
      <c r="F68" s="6"/>
      <c r="G68" s="6"/>
      <c r="H68" s="6"/>
      <c r="I68" s="6"/>
      <c r="J68" s="6" t="str">
        <f t="shared" si="6"/>
        <v/>
      </c>
      <c r="K68" s="6">
        <f t="shared" si="7"/>
        <v>0</v>
      </c>
      <c r="L68" s="6">
        <f>IF(C68&lt;&gt;"ST1","",IF(K68="","",K68*(1+参数设置!$B$6)))</f>
        <v>0</v>
      </c>
      <c r="M68" s="6" t="str">
        <f>IF(A68="","",参数设置!$B$7)</f>
        <v/>
      </c>
      <c r="N68" t="str">
        <f t="shared" si="8"/>
        <v/>
      </c>
    </row>
    <row r="69" spans="1:14" x14ac:dyDescent="0.25">
      <c r="A69">
        <v>14</v>
      </c>
      <c r="C69" t="s">
        <v>42</v>
      </c>
      <c r="E69" s="6"/>
      <c r="F69" s="6"/>
      <c r="G69" s="6"/>
      <c r="H69" s="6"/>
      <c r="I69" s="6"/>
      <c r="J69" s="6" t="str">
        <f t="shared" si="6"/>
        <v/>
      </c>
      <c r="K69" s="6" t="str">
        <f t="shared" si="7"/>
        <v/>
      </c>
      <c r="L69" s="6" t="str">
        <f>IF(C69&lt;&gt;"ST1","",IF(K69="","",K69*(1+参数设置!$B$6)))</f>
        <v/>
      </c>
      <c r="M69" s="6" t="str">
        <f>IF(A69="","",参数设置!$B$7)</f>
        <v/>
      </c>
      <c r="N69" t="str">
        <f t="shared" si="8"/>
        <v/>
      </c>
    </row>
    <row r="70" spans="1:14" x14ac:dyDescent="0.25">
      <c r="A70">
        <v>14</v>
      </c>
      <c r="C70" t="s">
        <v>43</v>
      </c>
      <c r="E70" s="6"/>
      <c r="F70" s="6"/>
      <c r="G70" s="6"/>
      <c r="H70" s="6"/>
      <c r="I70" s="6"/>
      <c r="J70" s="6" t="str">
        <f t="shared" si="6"/>
        <v/>
      </c>
      <c r="K70" s="6" t="str">
        <f t="shared" si="7"/>
        <v/>
      </c>
      <c r="L70" s="6" t="str">
        <f>IF(C70&lt;&gt;"ST1","",IF(K70="","",K70*(1+参数设置!$B$6)))</f>
        <v/>
      </c>
      <c r="M70" s="6" t="str">
        <f>IF(A70="","",参数设置!$B$7)</f>
        <v/>
      </c>
      <c r="N70" t="str">
        <f t="shared" si="8"/>
        <v/>
      </c>
    </row>
    <row r="71" spans="1:14" x14ac:dyDescent="0.25">
      <c r="A71">
        <v>14</v>
      </c>
      <c r="C71" t="s">
        <v>44</v>
      </c>
      <c r="E71" s="6"/>
      <c r="F71" s="6"/>
      <c r="G71" s="6"/>
      <c r="H71" s="6"/>
      <c r="I71" s="6"/>
      <c r="J71" s="6" t="str">
        <f t="shared" si="6"/>
        <v/>
      </c>
      <c r="K71" s="6" t="str">
        <f t="shared" si="7"/>
        <v/>
      </c>
      <c r="L71" s="6" t="str">
        <f>IF(C71&lt;&gt;"ST1","",IF(K71="","",K71*(1+参数设置!$B$6)))</f>
        <v/>
      </c>
      <c r="M71" s="6" t="str">
        <f>IF(A71="","",参数设置!$B$7)</f>
        <v/>
      </c>
      <c r="N71" t="str">
        <f t="shared" si="8"/>
        <v/>
      </c>
    </row>
    <row r="72" spans="1:14" x14ac:dyDescent="0.25">
      <c r="A72">
        <v>14</v>
      </c>
      <c r="C72" t="s">
        <v>45</v>
      </c>
      <c r="E72" s="6"/>
      <c r="F72" s="6"/>
      <c r="G72" s="6"/>
      <c r="H72" s="6"/>
      <c r="I72" s="6"/>
      <c r="J72" s="6" t="str">
        <f t="shared" si="6"/>
        <v/>
      </c>
      <c r="K72" s="6" t="str">
        <f t="shared" si="7"/>
        <v/>
      </c>
      <c r="L72" s="6" t="str">
        <f>IF(C72&lt;&gt;"ST1","",IF(K72="","",K72*(1+参数设置!$B$6)))</f>
        <v/>
      </c>
      <c r="M72" s="6" t="str">
        <f>IF(A72="","",参数设置!$B$7)</f>
        <v/>
      </c>
      <c r="N72" t="str">
        <f t="shared" si="8"/>
        <v/>
      </c>
    </row>
    <row r="73" spans="1:14" x14ac:dyDescent="0.25">
      <c r="A73">
        <v>15</v>
      </c>
      <c r="C73" t="s">
        <v>41</v>
      </c>
      <c r="E73" s="6"/>
      <c r="F73" s="6"/>
      <c r="G73" s="6"/>
      <c r="H73" s="6"/>
      <c r="I73" s="6"/>
      <c r="J73" s="6" t="str">
        <f t="shared" si="6"/>
        <v/>
      </c>
      <c r="K73" s="6">
        <f t="shared" si="7"/>
        <v>0</v>
      </c>
      <c r="L73" s="6">
        <f>IF(C73&lt;&gt;"ST1","",IF(K73="","",K73*(1+参数设置!$B$6)))</f>
        <v>0</v>
      </c>
      <c r="M73" s="6" t="str">
        <f>IF(A73="","",参数设置!$B$7)</f>
        <v/>
      </c>
      <c r="N73" t="str">
        <f t="shared" si="8"/>
        <v/>
      </c>
    </row>
    <row r="74" spans="1:14" x14ac:dyDescent="0.25">
      <c r="A74">
        <v>15</v>
      </c>
      <c r="C74" t="s">
        <v>42</v>
      </c>
      <c r="E74" s="6"/>
      <c r="F74" s="6"/>
      <c r="G74" s="6"/>
      <c r="H74" s="6"/>
      <c r="I74" s="6"/>
      <c r="J74" s="6" t="str">
        <f t="shared" si="6"/>
        <v/>
      </c>
      <c r="K74" s="6" t="str">
        <f t="shared" si="7"/>
        <v/>
      </c>
      <c r="L74" s="6" t="str">
        <f>IF(C74&lt;&gt;"ST1","",IF(K74="","",K74*(1+参数设置!$B$6)))</f>
        <v/>
      </c>
      <c r="M74" s="6" t="str">
        <f>IF(A74="","",参数设置!$B$7)</f>
        <v/>
      </c>
      <c r="N74" t="str">
        <f t="shared" si="8"/>
        <v/>
      </c>
    </row>
    <row r="75" spans="1:14" x14ac:dyDescent="0.25">
      <c r="A75">
        <v>15</v>
      </c>
      <c r="C75" t="s">
        <v>43</v>
      </c>
      <c r="E75" s="6"/>
      <c r="F75" s="6"/>
      <c r="G75" s="6"/>
      <c r="H75" s="6"/>
      <c r="I75" s="6"/>
      <c r="J75" s="6" t="str">
        <f t="shared" si="6"/>
        <v/>
      </c>
      <c r="K75" s="6" t="str">
        <f t="shared" si="7"/>
        <v/>
      </c>
      <c r="L75" s="6" t="str">
        <f>IF(C75&lt;&gt;"ST1","",IF(K75="","",K75*(1+参数设置!$B$6)))</f>
        <v/>
      </c>
      <c r="M75" s="6" t="str">
        <f>IF(A75="","",参数设置!$B$7)</f>
        <v/>
      </c>
      <c r="N75" t="str">
        <f t="shared" si="8"/>
        <v/>
      </c>
    </row>
    <row r="76" spans="1:14" x14ac:dyDescent="0.25">
      <c r="A76">
        <v>15</v>
      </c>
      <c r="C76" t="s">
        <v>44</v>
      </c>
      <c r="E76" s="6"/>
      <c r="F76" s="6"/>
      <c r="G76" s="6"/>
      <c r="H76" s="6"/>
      <c r="I76" s="6"/>
      <c r="J76" s="6" t="str">
        <f t="shared" si="6"/>
        <v/>
      </c>
      <c r="K76" s="6" t="str">
        <f t="shared" si="7"/>
        <v/>
      </c>
      <c r="L76" s="6" t="str">
        <f>IF(C76&lt;&gt;"ST1","",IF(K76="","",K76*(1+参数设置!$B$6)))</f>
        <v/>
      </c>
      <c r="M76" s="6" t="str">
        <f>IF(A76="","",参数设置!$B$7)</f>
        <v/>
      </c>
      <c r="N76" t="str">
        <f t="shared" si="8"/>
        <v/>
      </c>
    </row>
    <row r="77" spans="1:14" x14ac:dyDescent="0.25">
      <c r="A77">
        <v>15</v>
      </c>
      <c r="C77" t="s">
        <v>45</v>
      </c>
      <c r="E77" s="6"/>
      <c r="F77" s="6"/>
      <c r="G77" s="6"/>
      <c r="H77" s="6"/>
      <c r="I77" s="6"/>
      <c r="J77" s="6" t="str">
        <f t="shared" si="6"/>
        <v/>
      </c>
      <c r="K77" s="6" t="str">
        <f t="shared" si="7"/>
        <v/>
      </c>
      <c r="L77" s="6" t="str">
        <f>IF(C77&lt;&gt;"ST1","",IF(K77="","",K77*(1+参数设置!$B$6)))</f>
        <v/>
      </c>
      <c r="M77" s="6" t="str">
        <f>IF(A77="","",参数设置!$B$7)</f>
        <v/>
      </c>
      <c r="N77" t="str">
        <f t="shared" si="8"/>
        <v/>
      </c>
    </row>
    <row r="78" spans="1:14" x14ac:dyDescent="0.25">
      <c r="A78">
        <v>16</v>
      </c>
      <c r="C78" t="s">
        <v>41</v>
      </c>
      <c r="E78" s="6"/>
      <c r="F78" s="6"/>
      <c r="G78" s="6"/>
      <c r="H78" s="6"/>
      <c r="I78" s="6"/>
      <c r="J78" s="6" t="str">
        <f t="shared" si="6"/>
        <v/>
      </c>
      <c r="K78" s="6">
        <f t="shared" si="7"/>
        <v>0</v>
      </c>
      <c r="L78" s="6">
        <f>IF(C78&lt;&gt;"ST1","",IF(K78="","",K78*(1+参数设置!$B$6)))</f>
        <v>0</v>
      </c>
      <c r="M78" s="6" t="str">
        <f>IF(A78="","",参数设置!$B$7)</f>
        <v/>
      </c>
      <c r="N78" t="str">
        <f t="shared" si="8"/>
        <v/>
      </c>
    </row>
    <row r="79" spans="1:14" x14ac:dyDescent="0.25">
      <c r="A79">
        <v>16</v>
      </c>
      <c r="C79" t="s">
        <v>42</v>
      </c>
      <c r="E79" s="6"/>
      <c r="F79" s="6"/>
      <c r="G79" s="6"/>
      <c r="H79" s="6"/>
      <c r="I79" s="6"/>
      <c r="J79" s="6" t="str">
        <f t="shared" si="6"/>
        <v/>
      </c>
      <c r="K79" s="6" t="str">
        <f t="shared" si="7"/>
        <v/>
      </c>
      <c r="L79" s="6" t="str">
        <f>IF(C79&lt;&gt;"ST1","",IF(K79="","",K79*(1+参数设置!$B$6)))</f>
        <v/>
      </c>
      <c r="M79" s="6" t="str">
        <f>IF(A79="","",参数设置!$B$7)</f>
        <v/>
      </c>
      <c r="N79" t="str">
        <f t="shared" si="8"/>
        <v/>
      </c>
    </row>
    <row r="80" spans="1:14" x14ac:dyDescent="0.25">
      <c r="A80">
        <v>16</v>
      </c>
      <c r="C80" t="s">
        <v>43</v>
      </c>
      <c r="E80" s="6"/>
      <c r="F80" s="6"/>
      <c r="G80" s="6"/>
      <c r="H80" s="6"/>
      <c r="I80" s="6"/>
      <c r="J80" s="6" t="str">
        <f t="shared" si="6"/>
        <v/>
      </c>
      <c r="K80" s="6" t="str">
        <f t="shared" si="7"/>
        <v/>
      </c>
      <c r="L80" s="6" t="str">
        <f>IF(C80&lt;&gt;"ST1","",IF(K80="","",K80*(1+参数设置!$B$6)))</f>
        <v/>
      </c>
      <c r="M80" s="6" t="str">
        <f>IF(A80="","",参数设置!$B$7)</f>
        <v/>
      </c>
      <c r="N80" t="str">
        <f t="shared" si="8"/>
        <v/>
      </c>
    </row>
    <row r="81" spans="1:14" x14ac:dyDescent="0.25">
      <c r="A81">
        <v>16</v>
      </c>
      <c r="C81" t="s">
        <v>44</v>
      </c>
      <c r="E81" s="6"/>
      <c r="F81" s="6"/>
      <c r="G81" s="6"/>
      <c r="H81" s="6"/>
      <c r="I81" s="6"/>
      <c r="J81" s="6" t="str">
        <f t="shared" si="6"/>
        <v/>
      </c>
      <c r="K81" s="6" t="str">
        <f t="shared" si="7"/>
        <v/>
      </c>
      <c r="L81" s="6" t="str">
        <f>IF(C81&lt;&gt;"ST1","",IF(K81="","",K81*(1+参数设置!$B$6)))</f>
        <v/>
      </c>
      <c r="M81" s="6" t="str">
        <f>IF(A81="","",参数设置!$B$7)</f>
        <v/>
      </c>
      <c r="N81" t="str">
        <f t="shared" si="8"/>
        <v/>
      </c>
    </row>
    <row r="82" spans="1:14" x14ac:dyDescent="0.25">
      <c r="A82">
        <v>16</v>
      </c>
      <c r="C82" t="s">
        <v>45</v>
      </c>
      <c r="E82" s="6"/>
      <c r="F82" s="6"/>
      <c r="G82" s="6"/>
      <c r="H82" s="6"/>
      <c r="I82" s="6"/>
      <c r="J82" s="6" t="str">
        <f t="shared" si="6"/>
        <v/>
      </c>
      <c r="K82" s="6" t="str">
        <f t="shared" si="7"/>
        <v/>
      </c>
      <c r="L82" s="6" t="str">
        <f>IF(C82&lt;&gt;"ST1","",IF(K82="","",K82*(1+参数设置!$B$6)))</f>
        <v/>
      </c>
      <c r="M82" s="6" t="str">
        <f>IF(A82="","",参数设置!$B$7)</f>
        <v/>
      </c>
      <c r="N82" t="str">
        <f t="shared" si="8"/>
        <v/>
      </c>
    </row>
    <row r="83" spans="1:14" x14ac:dyDescent="0.25">
      <c r="A83">
        <v>17</v>
      </c>
      <c r="C83" t="s">
        <v>41</v>
      </c>
      <c r="E83" s="6"/>
      <c r="F83" s="6"/>
      <c r="G83" s="6"/>
      <c r="H83" s="6"/>
      <c r="I83" s="6"/>
      <c r="J83" s="6" t="str">
        <f t="shared" si="6"/>
        <v/>
      </c>
      <c r="K83" s="6">
        <f t="shared" si="7"/>
        <v>0</v>
      </c>
      <c r="L83" s="6">
        <f>IF(C83&lt;&gt;"ST1","",IF(K83="","",K83*(1+参数设置!$B$6)))</f>
        <v>0</v>
      </c>
      <c r="M83" s="6" t="str">
        <f>IF(A83="","",参数设置!$B$7)</f>
        <v/>
      </c>
      <c r="N83" t="str">
        <f t="shared" si="8"/>
        <v/>
      </c>
    </row>
    <row r="84" spans="1:14" x14ac:dyDescent="0.25">
      <c r="A84">
        <v>17</v>
      </c>
      <c r="C84" t="s">
        <v>42</v>
      </c>
      <c r="E84" s="6"/>
      <c r="F84" s="6"/>
      <c r="G84" s="6"/>
      <c r="H84" s="6"/>
      <c r="I84" s="6"/>
      <c r="J84" s="6" t="str">
        <f t="shared" si="6"/>
        <v/>
      </c>
      <c r="K84" s="6" t="str">
        <f t="shared" si="7"/>
        <v/>
      </c>
      <c r="L84" s="6" t="str">
        <f>IF(C84&lt;&gt;"ST1","",IF(K84="","",K84*(1+参数设置!$B$6)))</f>
        <v/>
      </c>
      <c r="M84" s="6" t="str">
        <f>IF(A84="","",参数设置!$B$7)</f>
        <v/>
      </c>
      <c r="N84" t="str">
        <f t="shared" si="8"/>
        <v/>
      </c>
    </row>
    <row r="85" spans="1:14" x14ac:dyDescent="0.25">
      <c r="A85">
        <v>17</v>
      </c>
      <c r="C85" t="s">
        <v>43</v>
      </c>
      <c r="E85" s="6"/>
      <c r="F85" s="6"/>
      <c r="G85" s="6"/>
      <c r="H85" s="6"/>
      <c r="I85" s="6"/>
      <c r="J85" s="6" t="str">
        <f t="shared" si="6"/>
        <v/>
      </c>
      <c r="K85" s="6" t="str">
        <f t="shared" si="7"/>
        <v/>
      </c>
      <c r="L85" s="6" t="str">
        <f>IF(C85&lt;&gt;"ST1","",IF(K85="","",K85*(1+参数设置!$B$6)))</f>
        <v/>
      </c>
      <c r="M85" s="6" t="str">
        <f>IF(A85="","",参数设置!$B$7)</f>
        <v/>
      </c>
      <c r="N85" t="str">
        <f t="shared" si="8"/>
        <v/>
      </c>
    </row>
    <row r="86" spans="1:14" x14ac:dyDescent="0.25">
      <c r="A86">
        <v>17</v>
      </c>
      <c r="C86" t="s">
        <v>44</v>
      </c>
      <c r="E86" s="6"/>
      <c r="F86" s="6"/>
      <c r="G86" s="6"/>
      <c r="H86" s="6"/>
      <c r="I86" s="6"/>
      <c r="J86" s="6" t="str">
        <f t="shared" si="6"/>
        <v/>
      </c>
      <c r="K86" s="6" t="str">
        <f t="shared" si="7"/>
        <v/>
      </c>
      <c r="L86" s="6" t="str">
        <f>IF(C86&lt;&gt;"ST1","",IF(K86="","",K86*(1+参数设置!$B$6)))</f>
        <v/>
      </c>
      <c r="M86" s="6" t="str">
        <f>IF(A86="","",参数设置!$B$7)</f>
        <v/>
      </c>
      <c r="N86" t="str">
        <f t="shared" si="8"/>
        <v/>
      </c>
    </row>
    <row r="87" spans="1:14" x14ac:dyDescent="0.25">
      <c r="A87">
        <v>17</v>
      </c>
      <c r="C87" t="s">
        <v>45</v>
      </c>
      <c r="E87" s="6"/>
      <c r="F87" s="6"/>
      <c r="G87" s="6"/>
      <c r="H87" s="6"/>
      <c r="I87" s="6"/>
      <c r="J87" s="6" t="str">
        <f t="shared" si="6"/>
        <v/>
      </c>
      <c r="K87" s="6" t="str">
        <f t="shared" si="7"/>
        <v/>
      </c>
      <c r="L87" s="6" t="str">
        <f>IF(C87&lt;&gt;"ST1","",IF(K87="","",K87*(1+参数设置!$B$6)))</f>
        <v/>
      </c>
      <c r="M87" s="6" t="str">
        <f>IF(A87="","",参数设置!$B$7)</f>
        <v/>
      </c>
      <c r="N87" t="str">
        <f t="shared" si="8"/>
        <v/>
      </c>
    </row>
    <row r="88" spans="1:14" x14ac:dyDescent="0.25">
      <c r="A88">
        <v>18</v>
      </c>
      <c r="C88" t="s">
        <v>41</v>
      </c>
      <c r="E88" s="6"/>
      <c r="F88" s="6"/>
      <c r="G88" s="6"/>
      <c r="H88" s="6"/>
      <c r="I88" s="6"/>
      <c r="J88" s="6" t="str">
        <f t="shared" si="6"/>
        <v/>
      </c>
      <c r="K88" s="6">
        <f t="shared" si="7"/>
        <v>0</v>
      </c>
      <c r="L88" s="6">
        <f>IF(C88&lt;&gt;"ST1","",IF(K88="","",K88*(1+参数设置!$B$6)))</f>
        <v>0</v>
      </c>
      <c r="M88" s="6" t="str">
        <f>IF(A88="","",参数设置!$B$7)</f>
        <v/>
      </c>
      <c r="N88" t="str">
        <f t="shared" si="8"/>
        <v/>
      </c>
    </row>
    <row r="89" spans="1:14" x14ac:dyDescent="0.25">
      <c r="A89">
        <v>18</v>
      </c>
      <c r="C89" t="s">
        <v>42</v>
      </c>
      <c r="E89" s="6"/>
      <c r="F89" s="6"/>
      <c r="G89" s="6"/>
      <c r="H89" s="6"/>
      <c r="I89" s="6"/>
      <c r="J89" s="6" t="str">
        <f t="shared" si="6"/>
        <v/>
      </c>
      <c r="K89" s="6" t="str">
        <f t="shared" si="7"/>
        <v/>
      </c>
      <c r="L89" s="6" t="str">
        <f>IF(C89&lt;&gt;"ST1","",IF(K89="","",K89*(1+参数设置!$B$6)))</f>
        <v/>
      </c>
      <c r="M89" s="6" t="str">
        <f>IF(A89="","",参数设置!$B$7)</f>
        <v/>
      </c>
      <c r="N89" t="str">
        <f t="shared" si="8"/>
        <v/>
      </c>
    </row>
    <row r="90" spans="1:14" x14ac:dyDescent="0.25">
      <c r="A90">
        <v>18</v>
      </c>
      <c r="C90" t="s">
        <v>43</v>
      </c>
      <c r="E90" s="6"/>
      <c r="F90" s="6"/>
      <c r="G90" s="6"/>
      <c r="H90" s="6"/>
      <c r="I90" s="6"/>
      <c r="J90" s="6" t="str">
        <f t="shared" si="6"/>
        <v/>
      </c>
      <c r="K90" s="6" t="str">
        <f t="shared" si="7"/>
        <v/>
      </c>
      <c r="L90" s="6" t="str">
        <f>IF(C90&lt;&gt;"ST1","",IF(K90="","",K90*(1+参数设置!$B$6)))</f>
        <v/>
      </c>
      <c r="M90" s="6" t="str">
        <f>IF(A90="","",参数设置!$B$7)</f>
        <v/>
      </c>
      <c r="N90" t="str">
        <f t="shared" si="8"/>
        <v/>
      </c>
    </row>
    <row r="91" spans="1:14" x14ac:dyDescent="0.25">
      <c r="A91">
        <v>18</v>
      </c>
      <c r="C91" t="s">
        <v>44</v>
      </c>
      <c r="E91" s="6"/>
      <c r="F91" s="6"/>
      <c r="G91" s="6"/>
      <c r="H91" s="6"/>
      <c r="I91" s="6"/>
      <c r="J91" s="6" t="str">
        <f t="shared" si="6"/>
        <v/>
      </c>
      <c r="K91" s="6" t="str">
        <f t="shared" si="7"/>
        <v/>
      </c>
      <c r="L91" s="6" t="str">
        <f>IF(C91&lt;&gt;"ST1","",IF(K91="","",K91*(1+参数设置!$B$6)))</f>
        <v/>
      </c>
      <c r="M91" s="6" t="str">
        <f>IF(A91="","",参数设置!$B$7)</f>
        <v/>
      </c>
      <c r="N91" t="str">
        <f t="shared" si="8"/>
        <v/>
      </c>
    </row>
    <row r="92" spans="1:14" x14ac:dyDescent="0.25">
      <c r="A92">
        <v>18</v>
      </c>
      <c r="C92" t="s">
        <v>45</v>
      </c>
      <c r="E92" s="6"/>
      <c r="F92" s="6"/>
      <c r="G92" s="6"/>
      <c r="H92" s="6"/>
      <c r="I92" s="6"/>
      <c r="J92" s="6" t="str">
        <f t="shared" si="6"/>
        <v/>
      </c>
      <c r="K92" s="6" t="str">
        <f t="shared" si="7"/>
        <v/>
      </c>
      <c r="L92" s="6" t="str">
        <f>IF(C92&lt;&gt;"ST1","",IF(K92="","",K92*(1+参数设置!$B$6)))</f>
        <v/>
      </c>
      <c r="M92" s="6" t="str">
        <f>IF(A92="","",参数设置!$B$7)</f>
        <v/>
      </c>
      <c r="N92" t="str">
        <f t="shared" si="8"/>
        <v/>
      </c>
    </row>
    <row r="93" spans="1:14" x14ac:dyDescent="0.25">
      <c r="A93">
        <v>19</v>
      </c>
      <c r="C93" t="s">
        <v>41</v>
      </c>
      <c r="E93" s="6"/>
      <c r="F93" s="6"/>
      <c r="G93" s="6"/>
      <c r="H93" s="6"/>
      <c r="I93" s="6"/>
      <c r="J93" s="6" t="str">
        <f t="shared" si="6"/>
        <v/>
      </c>
      <c r="K93" s="6">
        <f t="shared" si="7"/>
        <v>0</v>
      </c>
      <c r="L93" s="6">
        <f>IF(C93&lt;&gt;"ST1","",IF(K93="","",K93*(1+参数设置!$B$6)))</f>
        <v>0</v>
      </c>
      <c r="M93" s="6" t="str">
        <f>IF(A93="","",参数设置!$B$7)</f>
        <v/>
      </c>
      <c r="N93" t="str">
        <f t="shared" si="8"/>
        <v/>
      </c>
    </row>
    <row r="94" spans="1:14" x14ac:dyDescent="0.25">
      <c r="A94">
        <v>19</v>
      </c>
      <c r="C94" t="s">
        <v>42</v>
      </c>
      <c r="E94" s="6"/>
      <c r="F94" s="6"/>
      <c r="G94" s="6"/>
      <c r="H94" s="6"/>
      <c r="I94" s="6"/>
      <c r="J94" s="6" t="str">
        <f t="shared" si="6"/>
        <v/>
      </c>
      <c r="K94" s="6" t="str">
        <f t="shared" si="7"/>
        <v/>
      </c>
      <c r="L94" s="6" t="str">
        <f>IF(C94&lt;&gt;"ST1","",IF(K94="","",K94*(1+参数设置!$B$6)))</f>
        <v/>
      </c>
      <c r="M94" s="6" t="str">
        <f>IF(A94="","",参数设置!$B$7)</f>
        <v/>
      </c>
      <c r="N94" t="str">
        <f t="shared" si="8"/>
        <v/>
      </c>
    </row>
    <row r="95" spans="1:14" x14ac:dyDescent="0.25">
      <c r="A95">
        <v>19</v>
      </c>
      <c r="C95" t="s">
        <v>43</v>
      </c>
      <c r="E95" s="6"/>
      <c r="F95" s="6"/>
      <c r="G95" s="6"/>
      <c r="H95" s="6"/>
      <c r="I95" s="6"/>
      <c r="J95" s="6" t="str">
        <f t="shared" si="6"/>
        <v/>
      </c>
      <c r="K95" s="6" t="str">
        <f t="shared" si="7"/>
        <v/>
      </c>
      <c r="L95" s="6" t="str">
        <f>IF(C95&lt;&gt;"ST1","",IF(K95="","",K95*(1+参数设置!$B$6)))</f>
        <v/>
      </c>
      <c r="M95" s="6" t="str">
        <f>IF(A95="","",参数设置!$B$7)</f>
        <v/>
      </c>
      <c r="N95" t="str">
        <f t="shared" si="8"/>
        <v/>
      </c>
    </row>
    <row r="96" spans="1:14" x14ac:dyDescent="0.25">
      <c r="A96">
        <v>19</v>
      </c>
      <c r="C96" t="s">
        <v>44</v>
      </c>
      <c r="E96" s="6"/>
      <c r="F96" s="6"/>
      <c r="G96" s="6"/>
      <c r="H96" s="6"/>
      <c r="I96" s="6"/>
      <c r="J96" s="6" t="str">
        <f t="shared" si="6"/>
        <v/>
      </c>
      <c r="K96" s="6" t="str">
        <f t="shared" si="7"/>
        <v/>
      </c>
      <c r="L96" s="6" t="str">
        <f>IF(C96&lt;&gt;"ST1","",IF(K96="","",K96*(1+参数设置!$B$6)))</f>
        <v/>
      </c>
      <c r="M96" s="6" t="str">
        <f>IF(A96="","",参数设置!$B$7)</f>
        <v/>
      </c>
      <c r="N96" t="str">
        <f t="shared" si="8"/>
        <v/>
      </c>
    </row>
    <row r="97" spans="1:14" x14ac:dyDescent="0.25">
      <c r="A97">
        <v>19</v>
      </c>
      <c r="C97" t="s">
        <v>45</v>
      </c>
      <c r="E97" s="6"/>
      <c r="F97" s="6"/>
      <c r="G97" s="6"/>
      <c r="H97" s="6"/>
      <c r="I97" s="6"/>
      <c r="J97" s="6" t="str">
        <f t="shared" si="6"/>
        <v/>
      </c>
      <c r="K97" s="6" t="str">
        <f t="shared" si="7"/>
        <v/>
      </c>
      <c r="L97" s="6" t="str">
        <f>IF(C97&lt;&gt;"ST1","",IF(K97="","",K97*(1+参数设置!$B$6)))</f>
        <v/>
      </c>
      <c r="M97" s="6" t="str">
        <f>IF(A97="","",参数设置!$B$7)</f>
        <v/>
      </c>
      <c r="N97" t="str">
        <f t="shared" si="8"/>
        <v/>
      </c>
    </row>
    <row r="98" spans="1:14" x14ac:dyDescent="0.25">
      <c r="A98">
        <v>20</v>
      </c>
      <c r="C98" t="s">
        <v>41</v>
      </c>
      <c r="E98" s="6"/>
      <c r="F98" s="6"/>
      <c r="G98" s="6"/>
      <c r="H98" s="6"/>
      <c r="I98" s="6"/>
      <c r="J98" s="6" t="str">
        <f t="shared" si="6"/>
        <v/>
      </c>
      <c r="K98" s="6">
        <f t="shared" si="7"/>
        <v>0</v>
      </c>
      <c r="L98" s="6">
        <f>IF(C98&lt;&gt;"ST1","",IF(K98="","",K98*(1+参数设置!$B$6)))</f>
        <v>0</v>
      </c>
      <c r="M98" s="6" t="str">
        <f>IF(A98="","",参数设置!$B$7)</f>
        <v/>
      </c>
      <c r="N98" t="str">
        <f t="shared" si="8"/>
        <v/>
      </c>
    </row>
    <row r="99" spans="1:14" x14ac:dyDescent="0.25">
      <c r="A99">
        <v>20</v>
      </c>
      <c r="C99" t="s">
        <v>42</v>
      </c>
      <c r="E99" s="6"/>
      <c r="F99" s="6"/>
      <c r="G99" s="6"/>
      <c r="H99" s="6"/>
      <c r="I99" s="6"/>
      <c r="J99" s="6" t="str">
        <f t="shared" ref="J99:J130" si="9">IF(COUNT(E99:I99)=0,"",AVERAGE(E99:I99))</f>
        <v/>
      </c>
      <c r="K99" s="6" t="str">
        <f t="shared" ref="K99:K127" si="10">IF(C99&lt;&gt;"ST1","",IF(COUNTIFS($A:$A,A99,$J:$J,"&lt;&gt;")=0,"",SUMIFS($J:$J,$A:$A,A99)))</f>
        <v/>
      </c>
      <c r="L99" s="6" t="str">
        <f>IF(C99&lt;&gt;"ST1","",IF(K99="","",K99*(1+参数设置!$B$6)))</f>
        <v/>
      </c>
      <c r="M99" s="6" t="str">
        <f>IF(A99="","",参数设置!$B$7)</f>
        <v/>
      </c>
      <c r="N99" t="str">
        <f t="shared" ref="N99:N130" si="11">IF(K99="","",IF(M99="","",IF(K99&gt;M99,"超节拍",IF(K99&gt;=M99*0.9,"接近上限","正常"))))</f>
        <v/>
      </c>
    </row>
    <row r="100" spans="1:14" x14ac:dyDescent="0.25">
      <c r="A100">
        <v>20</v>
      </c>
      <c r="C100" t="s">
        <v>43</v>
      </c>
      <c r="E100" s="6"/>
      <c r="F100" s="6"/>
      <c r="G100" s="6"/>
      <c r="H100" s="6"/>
      <c r="I100" s="6"/>
      <c r="J100" s="6" t="str">
        <f t="shared" si="9"/>
        <v/>
      </c>
      <c r="K100" s="6" t="str">
        <f t="shared" si="10"/>
        <v/>
      </c>
      <c r="L100" s="6" t="str">
        <f>IF(C100&lt;&gt;"ST1","",IF(K100="","",K100*(1+参数设置!$B$6)))</f>
        <v/>
      </c>
      <c r="M100" s="6" t="str">
        <f>IF(A100="","",参数设置!$B$7)</f>
        <v/>
      </c>
      <c r="N100" t="str">
        <f t="shared" si="11"/>
        <v/>
      </c>
    </row>
    <row r="101" spans="1:14" x14ac:dyDescent="0.25">
      <c r="A101">
        <v>20</v>
      </c>
      <c r="C101" t="s">
        <v>44</v>
      </c>
      <c r="E101" s="6"/>
      <c r="F101" s="6"/>
      <c r="G101" s="6"/>
      <c r="H101" s="6"/>
      <c r="I101" s="6"/>
      <c r="J101" s="6" t="str">
        <f t="shared" si="9"/>
        <v/>
      </c>
      <c r="K101" s="6" t="str">
        <f t="shared" si="10"/>
        <v/>
      </c>
      <c r="L101" s="6" t="str">
        <f>IF(C101&lt;&gt;"ST1","",IF(K101="","",K101*(1+参数设置!$B$6)))</f>
        <v/>
      </c>
      <c r="M101" s="6" t="str">
        <f>IF(A101="","",参数设置!$B$7)</f>
        <v/>
      </c>
      <c r="N101" t="str">
        <f t="shared" si="11"/>
        <v/>
      </c>
    </row>
    <row r="102" spans="1:14" x14ac:dyDescent="0.25">
      <c r="A102">
        <v>20</v>
      </c>
      <c r="C102" t="s">
        <v>45</v>
      </c>
      <c r="E102" s="6"/>
      <c r="F102" s="6"/>
      <c r="G102" s="6"/>
      <c r="H102" s="6"/>
      <c r="I102" s="6"/>
      <c r="J102" s="6" t="str">
        <f t="shared" si="9"/>
        <v/>
      </c>
      <c r="K102" s="6" t="str">
        <f t="shared" si="10"/>
        <v/>
      </c>
      <c r="L102" s="6" t="str">
        <f>IF(C102&lt;&gt;"ST1","",IF(K102="","",K102*(1+参数设置!$B$6)))</f>
        <v/>
      </c>
      <c r="M102" s="6" t="str">
        <f>IF(A102="","",参数设置!$B$7)</f>
        <v/>
      </c>
      <c r="N102" t="str">
        <f t="shared" si="11"/>
        <v/>
      </c>
    </row>
    <row r="103" spans="1:14" x14ac:dyDescent="0.25">
      <c r="A103">
        <v>21</v>
      </c>
      <c r="C103" t="s">
        <v>41</v>
      </c>
      <c r="E103" s="6"/>
      <c r="F103" s="6"/>
      <c r="G103" s="6"/>
      <c r="H103" s="6"/>
      <c r="I103" s="6"/>
      <c r="J103" s="6" t="str">
        <f t="shared" si="9"/>
        <v/>
      </c>
      <c r="K103" s="6">
        <f t="shared" si="10"/>
        <v>0</v>
      </c>
      <c r="L103" s="6">
        <f>IF(C103&lt;&gt;"ST1","",IF(K103="","",K103*(1+参数设置!$B$6)))</f>
        <v>0</v>
      </c>
      <c r="M103" s="6" t="str">
        <f>IF(A103="","",参数设置!$B$7)</f>
        <v/>
      </c>
      <c r="N103" t="str">
        <f t="shared" si="11"/>
        <v/>
      </c>
    </row>
    <row r="104" spans="1:14" x14ac:dyDescent="0.25">
      <c r="A104">
        <v>21</v>
      </c>
      <c r="C104" t="s">
        <v>42</v>
      </c>
      <c r="E104" s="6"/>
      <c r="F104" s="6"/>
      <c r="G104" s="6"/>
      <c r="H104" s="6"/>
      <c r="I104" s="6"/>
      <c r="J104" s="6" t="str">
        <f t="shared" si="9"/>
        <v/>
      </c>
      <c r="K104" s="6" t="str">
        <f t="shared" si="10"/>
        <v/>
      </c>
      <c r="L104" s="6" t="str">
        <f>IF(C104&lt;&gt;"ST1","",IF(K104="","",K104*(1+参数设置!$B$6)))</f>
        <v/>
      </c>
      <c r="M104" s="6" t="str">
        <f>IF(A104="","",参数设置!$B$7)</f>
        <v/>
      </c>
      <c r="N104" t="str">
        <f t="shared" si="11"/>
        <v/>
      </c>
    </row>
    <row r="105" spans="1:14" x14ac:dyDescent="0.25">
      <c r="A105">
        <v>21</v>
      </c>
      <c r="C105" t="s">
        <v>43</v>
      </c>
      <c r="E105" s="6"/>
      <c r="F105" s="6"/>
      <c r="G105" s="6"/>
      <c r="H105" s="6"/>
      <c r="I105" s="6"/>
      <c r="J105" s="6" t="str">
        <f t="shared" si="9"/>
        <v/>
      </c>
      <c r="K105" s="6" t="str">
        <f t="shared" si="10"/>
        <v/>
      </c>
      <c r="L105" s="6" t="str">
        <f>IF(C105&lt;&gt;"ST1","",IF(K105="","",K105*(1+参数设置!$B$6)))</f>
        <v/>
      </c>
      <c r="M105" s="6" t="str">
        <f>IF(A105="","",参数设置!$B$7)</f>
        <v/>
      </c>
      <c r="N105" t="str">
        <f t="shared" si="11"/>
        <v/>
      </c>
    </row>
    <row r="106" spans="1:14" x14ac:dyDescent="0.25">
      <c r="A106">
        <v>21</v>
      </c>
      <c r="C106" t="s">
        <v>44</v>
      </c>
      <c r="E106" s="6"/>
      <c r="F106" s="6"/>
      <c r="G106" s="6"/>
      <c r="H106" s="6"/>
      <c r="I106" s="6"/>
      <c r="J106" s="6" t="str">
        <f t="shared" si="9"/>
        <v/>
      </c>
      <c r="K106" s="6" t="str">
        <f t="shared" si="10"/>
        <v/>
      </c>
      <c r="L106" s="6" t="str">
        <f>IF(C106&lt;&gt;"ST1","",IF(K106="","",K106*(1+参数设置!$B$6)))</f>
        <v/>
      </c>
      <c r="M106" s="6" t="str">
        <f>IF(A106="","",参数设置!$B$7)</f>
        <v/>
      </c>
      <c r="N106" t="str">
        <f t="shared" si="11"/>
        <v/>
      </c>
    </row>
    <row r="107" spans="1:14" x14ac:dyDescent="0.25">
      <c r="A107">
        <v>21</v>
      </c>
      <c r="C107" t="s">
        <v>45</v>
      </c>
      <c r="E107" s="6"/>
      <c r="F107" s="6"/>
      <c r="G107" s="6"/>
      <c r="H107" s="6"/>
      <c r="I107" s="6"/>
      <c r="J107" s="6" t="str">
        <f t="shared" si="9"/>
        <v/>
      </c>
      <c r="K107" s="6" t="str">
        <f t="shared" si="10"/>
        <v/>
      </c>
      <c r="L107" s="6" t="str">
        <f>IF(C107&lt;&gt;"ST1","",IF(K107="","",K107*(1+参数设置!$B$6)))</f>
        <v/>
      </c>
      <c r="M107" s="6" t="str">
        <f>IF(A107="","",参数设置!$B$7)</f>
        <v/>
      </c>
      <c r="N107" t="str">
        <f t="shared" si="11"/>
        <v/>
      </c>
    </row>
    <row r="108" spans="1:14" x14ac:dyDescent="0.25">
      <c r="A108">
        <v>22</v>
      </c>
      <c r="C108" t="s">
        <v>41</v>
      </c>
      <c r="E108" s="6"/>
      <c r="F108" s="6"/>
      <c r="G108" s="6"/>
      <c r="H108" s="6"/>
      <c r="I108" s="6"/>
      <c r="J108" s="6" t="str">
        <f t="shared" si="9"/>
        <v/>
      </c>
      <c r="K108" s="6">
        <f t="shared" si="10"/>
        <v>0</v>
      </c>
      <c r="L108" s="6">
        <f>IF(C108&lt;&gt;"ST1","",IF(K108="","",K108*(1+参数设置!$B$6)))</f>
        <v>0</v>
      </c>
      <c r="M108" s="6" t="str">
        <f>IF(A108="","",参数设置!$B$7)</f>
        <v/>
      </c>
      <c r="N108" t="str">
        <f t="shared" si="11"/>
        <v/>
      </c>
    </row>
    <row r="109" spans="1:14" x14ac:dyDescent="0.25">
      <c r="A109">
        <v>22</v>
      </c>
      <c r="C109" t="s">
        <v>42</v>
      </c>
      <c r="E109" s="6"/>
      <c r="F109" s="6"/>
      <c r="G109" s="6"/>
      <c r="H109" s="6"/>
      <c r="I109" s="6"/>
      <c r="J109" s="6" t="str">
        <f t="shared" si="9"/>
        <v/>
      </c>
      <c r="K109" s="6" t="str">
        <f t="shared" si="10"/>
        <v/>
      </c>
      <c r="L109" s="6" t="str">
        <f>IF(C109&lt;&gt;"ST1","",IF(K109="","",K109*(1+参数设置!$B$6)))</f>
        <v/>
      </c>
      <c r="M109" s="6" t="str">
        <f>IF(A109="","",参数设置!$B$7)</f>
        <v/>
      </c>
      <c r="N109" t="str">
        <f t="shared" si="11"/>
        <v/>
      </c>
    </row>
    <row r="110" spans="1:14" x14ac:dyDescent="0.25">
      <c r="A110">
        <v>22</v>
      </c>
      <c r="C110" t="s">
        <v>43</v>
      </c>
      <c r="E110" s="6"/>
      <c r="F110" s="6"/>
      <c r="G110" s="6"/>
      <c r="H110" s="6"/>
      <c r="I110" s="6"/>
      <c r="J110" s="6" t="str">
        <f t="shared" si="9"/>
        <v/>
      </c>
      <c r="K110" s="6" t="str">
        <f t="shared" si="10"/>
        <v/>
      </c>
      <c r="L110" s="6" t="str">
        <f>IF(C110&lt;&gt;"ST1","",IF(K110="","",K110*(1+参数设置!$B$6)))</f>
        <v/>
      </c>
      <c r="M110" s="6" t="str">
        <f>IF(A110="","",参数设置!$B$7)</f>
        <v/>
      </c>
      <c r="N110" t="str">
        <f t="shared" si="11"/>
        <v/>
      </c>
    </row>
    <row r="111" spans="1:14" x14ac:dyDescent="0.25">
      <c r="A111">
        <v>22</v>
      </c>
      <c r="C111" t="s">
        <v>44</v>
      </c>
      <c r="E111" s="6"/>
      <c r="F111" s="6"/>
      <c r="G111" s="6"/>
      <c r="H111" s="6"/>
      <c r="I111" s="6"/>
      <c r="J111" s="6" t="str">
        <f t="shared" si="9"/>
        <v/>
      </c>
      <c r="K111" s="6" t="str">
        <f t="shared" si="10"/>
        <v/>
      </c>
      <c r="L111" s="6" t="str">
        <f>IF(C111&lt;&gt;"ST1","",IF(K111="","",K111*(1+参数设置!$B$6)))</f>
        <v/>
      </c>
      <c r="M111" s="6" t="str">
        <f>IF(A111="","",参数设置!$B$7)</f>
        <v/>
      </c>
      <c r="N111" t="str">
        <f t="shared" si="11"/>
        <v/>
      </c>
    </row>
    <row r="112" spans="1:14" x14ac:dyDescent="0.25">
      <c r="A112">
        <v>22</v>
      </c>
      <c r="C112" t="s">
        <v>45</v>
      </c>
      <c r="E112" s="6"/>
      <c r="F112" s="6"/>
      <c r="G112" s="6"/>
      <c r="H112" s="6"/>
      <c r="I112" s="6"/>
      <c r="J112" s="6" t="str">
        <f t="shared" si="9"/>
        <v/>
      </c>
      <c r="K112" s="6" t="str">
        <f t="shared" si="10"/>
        <v/>
      </c>
      <c r="L112" s="6" t="str">
        <f>IF(C112&lt;&gt;"ST1","",IF(K112="","",K112*(1+参数设置!$B$6)))</f>
        <v/>
      </c>
      <c r="M112" s="6" t="str">
        <f>IF(A112="","",参数设置!$B$7)</f>
        <v/>
      </c>
      <c r="N112" t="str">
        <f t="shared" si="11"/>
        <v/>
      </c>
    </row>
    <row r="113" spans="1:14" x14ac:dyDescent="0.25">
      <c r="A113">
        <v>23</v>
      </c>
      <c r="C113" t="s">
        <v>41</v>
      </c>
      <c r="E113" s="6"/>
      <c r="F113" s="6"/>
      <c r="G113" s="6"/>
      <c r="H113" s="6"/>
      <c r="I113" s="6"/>
      <c r="J113" s="6" t="str">
        <f t="shared" si="9"/>
        <v/>
      </c>
      <c r="K113" s="6">
        <f t="shared" si="10"/>
        <v>0</v>
      </c>
      <c r="L113" s="6">
        <f>IF(C113&lt;&gt;"ST1","",IF(K113="","",K113*(1+参数设置!$B$6)))</f>
        <v>0</v>
      </c>
      <c r="M113" s="6" t="str">
        <f>IF(A113="","",参数设置!$B$7)</f>
        <v/>
      </c>
      <c r="N113" t="str">
        <f t="shared" si="11"/>
        <v/>
      </c>
    </row>
    <row r="114" spans="1:14" x14ac:dyDescent="0.25">
      <c r="A114">
        <v>23</v>
      </c>
      <c r="C114" t="s">
        <v>42</v>
      </c>
      <c r="E114" s="6"/>
      <c r="F114" s="6"/>
      <c r="G114" s="6"/>
      <c r="H114" s="6"/>
      <c r="I114" s="6"/>
      <c r="J114" s="6" t="str">
        <f t="shared" si="9"/>
        <v/>
      </c>
      <c r="K114" s="6" t="str">
        <f t="shared" si="10"/>
        <v/>
      </c>
      <c r="L114" s="6" t="str">
        <f>IF(C114&lt;&gt;"ST1","",IF(K114="","",K114*(1+参数设置!$B$6)))</f>
        <v/>
      </c>
      <c r="M114" s="6" t="str">
        <f>IF(A114="","",参数设置!$B$7)</f>
        <v/>
      </c>
      <c r="N114" t="str">
        <f t="shared" si="11"/>
        <v/>
      </c>
    </row>
    <row r="115" spans="1:14" x14ac:dyDescent="0.25">
      <c r="A115">
        <v>23</v>
      </c>
      <c r="C115" t="s">
        <v>43</v>
      </c>
      <c r="E115" s="6"/>
      <c r="F115" s="6"/>
      <c r="G115" s="6"/>
      <c r="H115" s="6"/>
      <c r="I115" s="6"/>
      <c r="J115" s="6" t="str">
        <f t="shared" si="9"/>
        <v/>
      </c>
      <c r="K115" s="6" t="str">
        <f t="shared" si="10"/>
        <v/>
      </c>
      <c r="L115" s="6" t="str">
        <f>IF(C115&lt;&gt;"ST1","",IF(K115="","",K115*(1+参数设置!$B$6)))</f>
        <v/>
      </c>
      <c r="M115" s="6" t="str">
        <f>IF(A115="","",参数设置!$B$7)</f>
        <v/>
      </c>
      <c r="N115" t="str">
        <f t="shared" si="11"/>
        <v/>
      </c>
    </row>
    <row r="116" spans="1:14" x14ac:dyDescent="0.25">
      <c r="A116">
        <v>23</v>
      </c>
      <c r="C116" t="s">
        <v>44</v>
      </c>
      <c r="E116" s="6"/>
      <c r="F116" s="6"/>
      <c r="G116" s="6"/>
      <c r="H116" s="6"/>
      <c r="I116" s="6"/>
      <c r="J116" s="6" t="str">
        <f t="shared" si="9"/>
        <v/>
      </c>
      <c r="K116" s="6" t="str">
        <f t="shared" si="10"/>
        <v/>
      </c>
      <c r="L116" s="6" t="str">
        <f>IF(C116&lt;&gt;"ST1","",IF(K116="","",K116*(1+参数设置!$B$6)))</f>
        <v/>
      </c>
      <c r="M116" s="6" t="str">
        <f>IF(A116="","",参数设置!$B$7)</f>
        <v/>
      </c>
      <c r="N116" t="str">
        <f t="shared" si="11"/>
        <v/>
      </c>
    </row>
    <row r="117" spans="1:14" x14ac:dyDescent="0.25">
      <c r="A117">
        <v>23</v>
      </c>
      <c r="C117" t="s">
        <v>45</v>
      </c>
      <c r="E117" s="6"/>
      <c r="F117" s="6"/>
      <c r="G117" s="6"/>
      <c r="H117" s="6"/>
      <c r="I117" s="6"/>
      <c r="J117" s="6" t="str">
        <f t="shared" si="9"/>
        <v/>
      </c>
      <c r="K117" s="6" t="str">
        <f t="shared" si="10"/>
        <v/>
      </c>
      <c r="L117" s="6" t="str">
        <f>IF(C117&lt;&gt;"ST1","",IF(K117="","",K117*(1+参数设置!$B$6)))</f>
        <v/>
      </c>
      <c r="M117" s="6" t="str">
        <f>IF(A117="","",参数设置!$B$7)</f>
        <v/>
      </c>
      <c r="N117" t="str">
        <f t="shared" si="11"/>
        <v/>
      </c>
    </row>
    <row r="118" spans="1:14" x14ac:dyDescent="0.25">
      <c r="A118">
        <v>24</v>
      </c>
      <c r="C118" t="s">
        <v>41</v>
      </c>
      <c r="E118" s="6"/>
      <c r="F118" s="6"/>
      <c r="G118" s="6"/>
      <c r="H118" s="6"/>
      <c r="I118" s="6"/>
      <c r="J118" s="6" t="str">
        <f t="shared" si="9"/>
        <v/>
      </c>
      <c r="K118" s="6">
        <f t="shared" si="10"/>
        <v>0</v>
      </c>
      <c r="L118" s="6">
        <f>IF(C118&lt;&gt;"ST1","",IF(K118="","",K118*(1+参数设置!$B$6)))</f>
        <v>0</v>
      </c>
      <c r="M118" s="6" t="str">
        <f>IF(A118="","",参数设置!$B$7)</f>
        <v/>
      </c>
      <c r="N118" t="str">
        <f t="shared" si="11"/>
        <v/>
      </c>
    </row>
    <row r="119" spans="1:14" x14ac:dyDescent="0.25">
      <c r="A119">
        <v>24</v>
      </c>
      <c r="C119" t="s">
        <v>42</v>
      </c>
      <c r="E119" s="6"/>
      <c r="F119" s="6"/>
      <c r="G119" s="6"/>
      <c r="H119" s="6"/>
      <c r="I119" s="6"/>
      <c r="J119" s="6" t="str">
        <f t="shared" si="9"/>
        <v/>
      </c>
      <c r="K119" s="6" t="str">
        <f t="shared" si="10"/>
        <v/>
      </c>
      <c r="L119" s="6" t="str">
        <f>IF(C119&lt;&gt;"ST1","",IF(K119="","",K119*(1+参数设置!$B$6)))</f>
        <v/>
      </c>
      <c r="M119" s="6" t="str">
        <f>IF(A119="","",参数设置!$B$7)</f>
        <v/>
      </c>
      <c r="N119" t="str">
        <f t="shared" si="11"/>
        <v/>
      </c>
    </row>
    <row r="120" spans="1:14" x14ac:dyDescent="0.25">
      <c r="A120">
        <v>24</v>
      </c>
      <c r="C120" t="s">
        <v>43</v>
      </c>
      <c r="E120" s="6"/>
      <c r="F120" s="6"/>
      <c r="G120" s="6"/>
      <c r="H120" s="6"/>
      <c r="I120" s="6"/>
      <c r="J120" s="6" t="str">
        <f t="shared" si="9"/>
        <v/>
      </c>
      <c r="K120" s="6" t="str">
        <f t="shared" si="10"/>
        <v/>
      </c>
      <c r="L120" s="6" t="str">
        <f>IF(C120&lt;&gt;"ST1","",IF(K120="","",K120*(1+参数设置!$B$6)))</f>
        <v/>
      </c>
      <c r="M120" s="6" t="str">
        <f>IF(A120="","",参数设置!$B$7)</f>
        <v/>
      </c>
      <c r="N120" t="str">
        <f t="shared" si="11"/>
        <v/>
      </c>
    </row>
    <row r="121" spans="1:14" x14ac:dyDescent="0.25">
      <c r="A121">
        <v>24</v>
      </c>
      <c r="C121" t="s">
        <v>44</v>
      </c>
      <c r="E121" s="6"/>
      <c r="F121" s="6"/>
      <c r="G121" s="6"/>
      <c r="H121" s="6"/>
      <c r="I121" s="6"/>
      <c r="J121" s="6" t="str">
        <f t="shared" si="9"/>
        <v/>
      </c>
      <c r="K121" s="6" t="str">
        <f t="shared" si="10"/>
        <v/>
      </c>
      <c r="L121" s="6" t="str">
        <f>IF(C121&lt;&gt;"ST1","",IF(K121="","",K121*(1+参数设置!$B$6)))</f>
        <v/>
      </c>
      <c r="M121" s="6" t="str">
        <f>IF(A121="","",参数设置!$B$7)</f>
        <v/>
      </c>
      <c r="N121" t="str">
        <f t="shared" si="11"/>
        <v/>
      </c>
    </row>
    <row r="122" spans="1:14" x14ac:dyDescent="0.25">
      <c r="A122">
        <v>24</v>
      </c>
      <c r="C122" t="s">
        <v>45</v>
      </c>
      <c r="E122" s="6"/>
      <c r="F122" s="6"/>
      <c r="G122" s="6"/>
      <c r="H122" s="6"/>
      <c r="I122" s="6"/>
      <c r="J122" s="6" t="str">
        <f t="shared" si="9"/>
        <v/>
      </c>
      <c r="K122" s="6" t="str">
        <f t="shared" si="10"/>
        <v/>
      </c>
      <c r="L122" s="6" t="str">
        <f>IF(C122&lt;&gt;"ST1","",IF(K122="","",K122*(1+参数设置!$B$6)))</f>
        <v/>
      </c>
      <c r="M122" s="6" t="str">
        <f>IF(A122="","",参数设置!$B$7)</f>
        <v/>
      </c>
      <c r="N122" t="str">
        <f t="shared" si="11"/>
        <v/>
      </c>
    </row>
    <row r="123" spans="1:14" x14ac:dyDescent="0.25">
      <c r="A123">
        <v>25</v>
      </c>
      <c r="C123" t="s">
        <v>41</v>
      </c>
      <c r="E123" s="6"/>
      <c r="F123" s="6"/>
      <c r="G123" s="6"/>
      <c r="H123" s="6"/>
      <c r="I123" s="6"/>
      <c r="J123" s="6" t="str">
        <f t="shared" si="9"/>
        <v/>
      </c>
      <c r="K123" s="6">
        <f t="shared" si="10"/>
        <v>0</v>
      </c>
      <c r="L123" s="6">
        <f>IF(C123&lt;&gt;"ST1","",IF(K123="","",K123*(1+参数设置!$B$6)))</f>
        <v>0</v>
      </c>
      <c r="M123" s="6" t="str">
        <f>IF(A123="","",参数设置!$B$7)</f>
        <v/>
      </c>
      <c r="N123" t="str">
        <f t="shared" si="11"/>
        <v/>
      </c>
    </row>
    <row r="124" spans="1:14" x14ac:dyDescent="0.25">
      <c r="A124">
        <v>25</v>
      </c>
      <c r="C124" t="s">
        <v>42</v>
      </c>
      <c r="E124" s="6"/>
      <c r="F124" s="6"/>
      <c r="G124" s="6"/>
      <c r="H124" s="6"/>
      <c r="I124" s="6"/>
      <c r="J124" s="6" t="str">
        <f t="shared" si="9"/>
        <v/>
      </c>
      <c r="K124" s="6" t="str">
        <f t="shared" si="10"/>
        <v/>
      </c>
      <c r="L124" s="6" t="str">
        <f>IF(C124&lt;&gt;"ST1","",IF(K124="","",K124*(1+参数设置!$B$6)))</f>
        <v/>
      </c>
      <c r="M124" s="6" t="str">
        <f>IF(A124="","",参数设置!$B$7)</f>
        <v/>
      </c>
      <c r="N124" t="str">
        <f t="shared" si="11"/>
        <v/>
      </c>
    </row>
    <row r="125" spans="1:14" x14ac:dyDescent="0.25">
      <c r="A125">
        <v>25</v>
      </c>
      <c r="C125" t="s">
        <v>43</v>
      </c>
      <c r="E125" s="6"/>
      <c r="F125" s="6"/>
      <c r="G125" s="6"/>
      <c r="H125" s="6"/>
      <c r="I125" s="6"/>
      <c r="J125" s="6" t="str">
        <f t="shared" si="9"/>
        <v/>
      </c>
      <c r="K125" s="6" t="str">
        <f t="shared" si="10"/>
        <v/>
      </c>
      <c r="L125" s="6" t="str">
        <f>IF(C125&lt;&gt;"ST1","",IF(K125="","",K125*(1+参数设置!$B$6)))</f>
        <v/>
      </c>
      <c r="M125" s="6" t="str">
        <f>IF(A125="","",参数设置!$B$7)</f>
        <v/>
      </c>
      <c r="N125" t="str">
        <f t="shared" si="11"/>
        <v/>
      </c>
    </row>
    <row r="126" spans="1:14" x14ac:dyDescent="0.25">
      <c r="A126">
        <v>25</v>
      </c>
      <c r="C126" t="s">
        <v>44</v>
      </c>
      <c r="E126" s="6"/>
      <c r="F126" s="6"/>
      <c r="G126" s="6"/>
      <c r="H126" s="6"/>
      <c r="I126" s="6"/>
      <c r="J126" s="6" t="str">
        <f t="shared" si="9"/>
        <v/>
      </c>
      <c r="K126" s="6" t="str">
        <f t="shared" si="10"/>
        <v/>
      </c>
      <c r="L126" s="6" t="str">
        <f>IF(C126&lt;&gt;"ST1","",IF(K126="","",K126*(1+参数设置!$B$6)))</f>
        <v/>
      </c>
      <c r="M126" s="6" t="str">
        <f>IF(A126="","",参数设置!$B$7)</f>
        <v/>
      </c>
      <c r="N126" t="str">
        <f t="shared" si="11"/>
        <v/>
      </c>
    </row>
    <row r="127" spans="1:14" x14ac:dyDescent="0.25">
      <c r="A127">
        <v>25</v>
      </c>
      <c r="C127" t="s">
        <v>45</v>
      </c>
      <c r="D127" s="4"/>
      <c r="E127" s="6"/>
      <c r="F127" s="6"/>
      <c r="G127" s="6"/>
      <c r="H127" s="6"/>
      <c r="I127" s="6"/>
      <c r="J127" s="6" t="str">
        <f t="shared" si="9"/>
        <v/>
      </c>
      <c r="K127" s="6" t="str">
        <f t="shared" si="10"/>
        <v/>
      </c>
      <c r="L127" s="6" t="str">
        <f>IF(C127&lt;&gt;"ST1","",IF(K127="","",K127*(1+参数设置!$B$6)))</f>
        <v/>
      </c>
      <c r="M127" s="6" t="str">
        <f>IF(A127="","",参数设置!$B$7)</f>
        <v/>
      </c>
      <c r="N127" t="str">
        <f t="shared" si="11"/>
        <v/>
      </c>
    </row>
  </sheetData>
  <mergeCells count="1">
    <mergeCell ref="A1:R1"/>
  </mergeCells>
  <phoneticPr fontId="4" type="noConversion"/>
  <conditionalFormatting sqref="N127">
    <cfRule type="cellIs" dxfId="10" priority="1" stopIfTrue="1" operator="equal">
      <formula>"超节拍"</formula>
    </cfRule>
    <cfRule type="cellIs" dxfId="9" priority="2" stopIfTrue="1" operator="equal">
      <formula>"接近上限"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ddProcessAfterSelection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403860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DeleteSelectedProcess">
                <anchor moveWithCells="1" sizeWithCells="1">
                  <from>
                    <xdr:col>17</xdr:col>
                    <xdr:colOff>533400</xdr:colOff>
                    <xdr:row>1</xdr:row>
                    <xdr:rowOff>0</xdr:rowOff>
                  </from>
                  <to>
                    <xdr:col>19</xdr:col>
                    <xdr:colOff>327660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RefreshAll">
                <anchor moveWithCells="1" sizeWithCells="1">
                  <from>
                    <xdr:col>19</xdr:col>
                    <xdr:colOff>457200</xdr:colOff>
                    <xdr:row>1</xdr:row>
                    <xdr:rowOff>0</xdr:rowOff>
                  </from>
                  <to>
                    <xdr:col>21</xdr:col>
                    <xdr:colOff>251460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D633-0641-48AB-884D-C2CD187F698B}">
  <sheetPr codeName="Sheet5"/>
  <dimension ref="A1:A15"/>
  <sheetViews>
    <sheetView workbookViewId="0"/>
  </sheetViews>
  <sheetFormatPr defaultRowHeight="13.8" x14ac:dyDescent="0.25"/>
  <cols>
    <col min="1" max="1" width="12.77734375" customWidth="1"/>
  </cols>
  <sheetData>
    <row r="1" spans="1:1" x14ac:dyDescent="0.25">
      <c r="A1" s="10" t="s">
        <v>46</v>
      </c>
    </row>
    <row r="2" spans="1:1" ht="61.95" customHeight="1" x14ac:dyDescent="0.25">
      <c r="A2" s="10" t="s">
        <v>27</v>
      </c>
    </row>
    <row r="3" spans="1:1" ht="42" customHeight="1" x14ac:dyDescent="0.25">
      <c r="A3" s="10" t="s">
        <v>47</v>
      </c>
    </row>
    <row r="4" spans="1:1" ht="42" customHeight="1" x14ac:dyDescent="0.25">
      <c r="A4" s="10" t="s">
        <v>48</v>
      </c>
    </row>
    <row r="5" spans="1:1" ht="42" customHeight="1" x14ac:dyDescent="0.25">
      <c r="A5" s="10" t="s">
        <v>49</v>
      </c>
    </row>
    <row r="6" spans="1:1" ht="42" customHeight="1" x14ac:dyDescent="0.25">
      <c r="A6" s="10" t="s">
        <v>50</v>
      </c>
    </row>
    <row r="7" spans="1:1" ht="42" customHeight="1" x14ac:dyDescent="0.25">
      <c r="A7" s="10" t="s">
        <v>51</v>
      </c>
    </row>
    <row r="8" spans="1:1" x14ac:dyDescent="0.25">
      <c r="A8" s="10" t="s">
        <v>52</v>
      </c>
    </row>
    <row r="9" spans="1:1" x14ac:dyDescent="0.25">
      <c r="A9" s="10" t="s">
        <v>53</v>
      </c>
    </row>
    <row r="10" spans="1:1" x14ac:dyDescent="0.25">
      <c r="A10" s="10" t="s">
        <v>54</v>
      </c>
    </row>
    <row r="11" spans="1:1" x14ac:dyDescent="0.25">
      <c r="A11" s="10" t="s">
        <v>55</v>
      </c>
    </row>
    <row r="12" spans="1:1" x14ac:dyDescent="0.25">
      <c r="A12" s="10" t="s">
        <v>56</v>
      </c>
    </row>
    <row r="13" spans="1:1" x14ac:dyDescent="0.25">
      <c r="A13" s="10" t="s">
        <v>57</v>
      </c>
    </row>
    <row r="14" spans="1:1" x14ac:dyDescent="0.25">
      <c r="A14" s="10" t="s">
        <v>58</v>
      </c>
    </row>
    <row r="15" spans="1:1" x14ac:dyDescent="0.25">
      <c r="A15" s="10" t="s">
        <v>59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6EFAB-F830-43E5-B9DD-547D919AB79C}">
  <sheetPr codeName="Sheet1"/>
  <dimension ref="A1:Q4"/>
  <sheetViews>
    <sheetView workbookViewId="0"/>
  </sheetViews>
  <sheetFormatPr defaultRowHeight="13.8" x14ac:dyDescent="0.25"/>
  <sheetData>
    <row r="1" spans="1:17" ht="20.399999999999999" x14ac:dyDescent="0.25">
      <c r="A1" s="5" t="s">
        <v>60</v>
      </c>
      <c r="B1" s="2"/>
      <c r="C1" s="2"/>
      <c r="D1" s="2"/>
      <c r="E1" s="2"/>
      <c r="F1" s="2"/>
      <c r="G1" s="2"/>
      <c r="H1" s="2"/>
    </row>
    <row r="2" spans="1:17" x14ac:dyDescent="0.25">
      <c r="I2" s="11" t="s">
        <v>66</v>
      </c>
      <c r="J2" s="11" t="s">
        <v>30</v>
      </c>
      <c r="K2" s="11" t="s">
        <v>31</v>
      </c>
      <c r="L2" s="11" t="s">
        <v>32</v>
      </c>
      <c r="M2" s="11" t="s">
        <v>33</v>
      </c>
      <c r="N2" s="11" t="s">
        <v>34</v>
      </c>
      <c r="O2" s="11" t="s">
        <v>36</v>
      </c>
      <c r="P2" s="11" t="s">
        <v>38</v>
      </c>
      <c r="Q2" s="11" t="s">
        <v>39</v>
      </c>
    </row>
    <row r="3" spans="1:17" x14ac:dyDescent="0.25">
      <c r="A3" s="7" t="s">
        <v>61</v>
      </c>
      <c r="B3" s="7"/>
      <c r="C3" s="7"/>
      <c r="D3" s="7" t="s">
        <v>62</v>
      </c>
      <c r="E3" s="7"/>
      <c r="F3" s="7"/>
      <c r="G3" s="7" t="s">
        <v>63</v>
      </c>
      <c r="H3" s="7"/>
    </row>
    <row r="4" spans="1:17" x14ac:dyDescent="0.25">
      <c r="A4" s="7" t="s">
        <v>64</v>
      </c>
      <c r="B4" s="7"/>
      <c r="C4" s="7"/>
      <c r="D4" s="7" t="s">
        <v>14</v>
      </c>
      <c r="E4" s="7" t="s">
        <v>65</v>
      </c>
      <c r="F4" s="7"/>
      <c r="G4" s="7"/>
      <c r="H4" s="7"/>
    </row>
  </sheetData>
  <mergeCells count="1">
    <mergeCell ref="A1:H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使用说明</vt:lpstr>
      <vt:lpstr>参数设置</vt:lpstr>
      <vt:lpstr>动作要素测量</vt:lpstr>
      <vt:lpstr>员工负荷表</vt:lpstr>
      <vt:lpstr>山积分析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祥宇 李</dc:creator>
  <cp:lastModifiedBy>祥宇 李</cp:lastModifiedBy>
  <dcterms:created xsi:type="dcterms:W3CDTF">2026-05-19T08:31:27Z</dcterms:created>
  <dcterms:modified xsi:type="dcterms:W3CDTF">2026-05-19T08:31:30Z</dcterms:modified>
</cp:coreProperties>
</file>