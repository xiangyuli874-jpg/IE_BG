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I\gongshibiao\outputs\worktime_action_element_template\"/>
    </mc:Choice>
  </mc:AlternateContent>
  <xr:revisionPtr revIDLastSave="0" documentId="8_{5C5D9396-0529-4CA9-8555-1387ADA4EF18}" xr6:coauthVersionLast="47" xr6:coauthVersionMax="47" xr10:uidLastSave="{00000000-0000-0000-0000-000000000000}"/>
  <bookViews>
    <workbookView xWindow="4872" yWindow="2436" windowWidth="9384" windowHeight="9300" firstSheet="3" activeTab="4" xr2:uid="{79424D80-C8CB-4CC6-8629-418063F82370}"/>
  </bookViews>
  <sheets>
    <sheet name="使用说明" sheetId="5" r:id="rId1"/>
    <sheet name="参数设置" sheetId="4" r:id="rId2"/>
    <sheet name="动作要素测量" sheetId="3" r:id="rId3"/>
    <sheet name="员工负荷表" sheetId="2" r:id="rId4"/>
    <sheet name="山积分析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2" i="1" l="1"/>
  <c r="P142" i="1"/>
  <c r="O142" i="1"/>
  <c r="N142" i="1"/>
  <c r="M142" i="1"/>
  <c r="L142" i="1"/>
  <c r="K142" i="1"/>
  <c r="J142" i="1"/>
  <c r="I142" i="1"/>
  <c r="Q141" i="1"/>
  <c r="P141" i="1"/>
  <c r="O141" i="1"/>
  <c r="N141" i="1"/>
  <c r="M141" i="1"/>
  <c r="L141" i="1"/>
  <c r="K141" i="1"/>
  <c r="J141" i="1"/>
  <c r="I141" i="1"/>
  <c r="Q140" i="1"/>
  <c r="P140" i="1"/>
  <c r="O140" i="1"/>
  <c r="N140" i="1"/>
  <c r="M140" i="1"/>
  <c r="L140" i="1"/>
  <c r="K140" i="1"/>
  <c r="J140" i="1"/>
  <c r="I140" i="1"/>
  <c r="Q139" i="1"/>
  <c r="P139" i="1"/>
  <c r="O139" i="1"/>
  <c r="N139" i="1"/>
  <c r="M139" i="1"/>
  <c r="L139" i="1"/>
  <c r="K139" i="1"/>
  <c r="J139" i="1"/>
  <c r="I139" i="1"/>
  <c r="Q138" i="1"/>
  <c r="P138" i="1"/>
  <c r="O138" i="1"/>
  <c r="N138" i="1"/>
  <c r="M138" i="1"/>
  <c r="L138" i="1"/>
  <c r="K138" i="1"/>
  <c r="J138" i="1"/>
  <c r="I138" i="1"/>
  <c r="Q137" i="1"/>
  <c r="P137" i="1"/>
  <c r="O137" i="1"/>
  <c r="N137" i="1"/>
  <c r="M137" i="1"/>
  <c r="L137" i="1"/>
  <c r="K137" i="1"/>
  <c r="J137" i="1"/>
  <c r="I137" i="1"/>
  <c r="Q136" i="1"/>
  <c r="P136" i="1"/>
  <c r="O136" i="1"/>
  <c r="N136" i="1"/>
  <c r="M136" i="1"/>
  <c r="L136" i="1"/>
  <c r="K136" i="1"/>
  <c r="J136" i="1"/>
  <c r="I136" i="1"/>
  <c r="Q135" i="1"/>
  <c r="P135" i="1"/>
  <c r="O135" i="1"/>
  <c r="N135" i="1"/>
  <c r="M135" i="1"/>
  <c r="L135" i="1"/>
  <c r="K135" i="1"/>
  <c r="J135" i="1"/>
  <c r="I135" i="1"/>
  <c r="Q134" i="1"/>
  <c r="P134" i="1"/>
  <c r="O134" i="1"/>
  <c r="N134" i="1"/>
  <c r="M134" i="1"/>
  <c r="L134" i="1"/>
  <c r="K134" i="1"/>
  <c r="J134" i="1"/>
  <c r="I134" i="1"/>
  <c r="Q133" i="1"/>
  <c r="P133" i="1"/>
  <c r="O133" i="1"/>
  <c r="N133" i="1"/>
  <c r="M133" i="1"/>
  <c r="L133" i="1"/>
  <c r="K133" i="1"/>
  <c r="J133" i="1"/>
  <c r="I133" i="1"/>
  <c r="Q132" i="1"/>
  <c r="P132" i="1"/>
  <c r="O132" i="1"/>
  <c r="N132" i="1"/>
  <c r="M132" i="1"/>
  <c r="L132" i="1"/>
  <c r="K132" i="1"/>
  <c r="J132" i="1"/>
  <c r="I132" i="1"/>
  <c r="Q131" i="1"/>
  <c r="P131" i="1"/>
  <c r="O131" i="1"/>
  <c r="N131" i="1"/>
  <c r="M131" i="1"/>
  <c r="L131" i="1"/>
  <c r="K131" i="1"/>
  <c r="J131" i="1"/>
  <c r="I131" i="1"/>
  <c r="Q130" i="1"/>
  <c r="P130" i="1"/>
  <c r="O130" i="1"/>
  <c r="N130" i="1"/>
  <c r="M130" i="1"/>
  <c r="L130" i="1"/>
  <c r="K130" i="1"/>
  <c r="J130" i="1"/>
  <c r="I130" i="1"/>
  <c r="Q129" i="1"/>
  <c r="P129" i="1"/>
  <c r="O129" i="1"/>
  <c r="N129" i="1"/>
  <c r="M129" i="1"/>
  <c r="L129" i="1"/>
  <c r="K129" i="1"/>
  <c r="J129" i="1"/>
  <c r="I129" i="1"/>
  <c r="Q128" i="1"/>
  <c r="P128" i="1"/>
  <c r="O128" i="1"/>
  <c r="N128" i="1"/>
  <c r="M128" i="1"/>
  <c r="L128" i="1"/>
  <c r="K128" i="1"/>
  <c r="J128" i="1"/>
  <c r="I128" i="1"/>
  <c r="Q127" i="1"/>
  <c r="P127" i="1"/>
  <c r="O127" i="1"/>
  <c r="N127" i="1"/>
  <c r="M127" i="1"/>
  <c r="L127" i="1"/>
  <c r="K127" i="1"/>
  <c r="J127" i="1"/>
  <c r="I127" i="1"/>
  <c r="Q126" i="1"/>
  <c r="P126" i="1"/>
  <c r="O126" i="1"/>
  <c r="N126" i="1"/>
  <c r="M126" i="1"/>
  <c r="L126" i="1"/>
  <c r="K126" i="1"/>
  <c r="J126" i="1"/>
  <c r="I126" i="1"/>
  <c r="Q125" i="1"/>
  <c r="P125" i="1"/>
  <c r="O125" i="1"/>
  <c r="N125" i="1"/>
  <c r="M125" i="1"/>
  <c r="L125" i="1"/>
  <c r="K125" i="1"/>
  <c r="J125" i="1"/>
  <c r="I125" i="1"/>
  <c r="Q124" i="1"/>
  <c r="P124" i="1"/>
  <c r="O124" i="1"/>
  <c r="N124" i="1"/>
  <c r="M124" i="1"/>
  <c r="L124" i="1"/>
  <c r="K124" i="1"/>
  <c r="J124" i="1"/>
  <c r="I124" i="1"/>
  <c r="Q123" i="1"/>
  <c r="P123" i="1"/>
  <c r="O123" i="1"/>
  <c r="N123" i="1"/>
  <c r="M123" i="1"/>
  <c r="L123" i="1"/>
  <c r="K123" i="1"/>
  <c r="J123" i="1"/>
  <c r="I123" i="1"/>
  <c r="Q122" i="1"/>
  <c r="P122" i="1"/>
  <c r="O122" i="1"/>
  <c r="N122" i="1"/>
  <c r="M122" i="1"/>
  <c r="L122" i="1"/>
  <c r="K122" i="1"/>
  <c r="J122" i="1"/>
  <c r="I122" i="1"/>
  <c r="Q121" i="1"/>
  <c r="P121" i="1"/>
  <c r="O121" i="1"/>
  <c r="N121" i="1"/>
  <c r="M121" i="1"/>
  <c r="L121" i="1"/>
  <c r="K121" i="1"/>
  <c r="J121" i="1"/>
  <c r="I121" i="1"/>
  <c r="Q120" i="1"/>
  <c r="P120" i="1"/>
  <c r="O120" i="1"/>
  <c r="N120" i="1"/>
  <c r="M120" i="1"/>
  <c r="L120" i="1"/>
  <c r="K120" i="1"/>
  <c r="J120" i="1"/>
  <c r="I120" i="1"/>
  <c r="Q119" i="1"/>
  <c r="P119" i="1"/>
  <c r="O119" i="1"/>
  <c r="N119" i="1"/>
  <c r="M119" i="1"/>
  <c r="L119" i="1"/>
  <c r="K119" i="1"/>
  <c r="J119" i="1"/>
  <c r="I119" i="1"/>
  <c r="Q118" i="1"/>
  <c r="P118" i="1"/>
  <c r="O118" i="1"/>
  <c r="N118" i="1"/>
  <c r="M118" i="1"/>
  <c r="L118" i="1"/>
  <c r="K118" i="1"/>
  <c r="J118" i="1"/>
  <c r="I118" i="1"/>
  <c r="Q117" i="1"/>
  <c r="P117" i="1"/>
  <c r="O117" i="1"/>
  <c r="N117" i="1"/>
  <c r="M117" i="1"/>
  <c r="L117" i="1"/>
  <c r="K117" i="1"/>
  <c r="J117" i="1"/>
  <c r="I117" i="1"/>
  <c r="Q116" i="1"/>
  <c r="P116" i="1"/>
  <c r="O116" i="1"/>
  <c r="N116" i="1"/>
  <c r="M116" i="1"/>
  <c r="L116" i="1"/>
  <c r="K116" i="1"/>
  <c r="J116" i="1"/>
  <c r="I116" i="1"/>
  <c r="Q115" i="1"/>
  <c r="P115" i="1"/>
  <c r="O115" i="1"/>
  <c r="N115" i="1"/>
  <c r="M115" i="1"/>
  <c r="L115" i="1"/>
  <c r="K115" i="1"/>
  <c r="J115" i="1"/>
  <c r="I115" i="1"/>
  <c r="Q114" i="1"/>
  <c r="P114" i="1"/>
  <c r="O114" i="1"/>
  <c r="N114" i="1"/>
  <c r="M114" i="1"/>
  <c r="L114" i="1"/>
  <c r="K114" i="1"/>
  <c r="J114" i="1"/>
  <c r="I114" i="1"/>
  <c r="Q113" i="1"/>
  <c r="P113" i="1"/>
  <c r="O113" i="1"/>
  <c r="N113" i="1"/>
  <c r="M113" i="1"/>
  <c r="L113" i="1"/>
  <c r="K113" i="1"/>
  <c r="J113" i="1"/>
  <c r="I113" i="1"/>
  <c r="Q112" i="1"/>
  <c r="P112" i="1"/>
  <c r="O112" i="1"/>
  <c r="N112" i="1"/>
  <c r="M112" i="1"/>
  <c r="L112" i="1"/>
  <c r="K112" i="1"/>
  <c r="J112" i="1"/>
  <c r="I112" i="1"/>
  <c r="Q111" i="1"/>
  <c r="P111" i="1"/>
  <c r="O111" i="1"/>
  <c r="N111" i="1"/>
  <c r="M111" i="1"/>
  <c r="L111" i="1"/>
  <c r="K111" i="1"/>
  <c r="J111" i="1"/>
  <c r="I111" i="1"/>
  <c r="Q110" i="1"/>
  <c r="P110" i="1"/>
  <c r="O110" i="1"/>
  <c r="N110" i="1"/>
  <c r="M110" i="1"/>
  <c r="L110" i="1"/>
  <c r="K110" i="1"/>
  <c r="J110" i="1"/>
  <c r="I110" i="1"/>
  <c r="Q109" i="1"/>
  <c r="P109" i="1"/>
  <c r="O109" i="1"/>
  <c r="N109" i="1"/>
  <c r="M109" i="1"/>
  <c r="L109" i="1"/>
  <c r="K109" i="1"/>
  <c r="J109" i="1"/>
  <c r="I109" i="1"/>
  <c r="Q108" i="1"/>
  <c r="P108" i="1"/>
  <c r="O108" i="1"/>
  <c r="N108" i="1"/>
  <c r="M108" i="1"/>
  <c r="L108" i="1"/>
  <c r="K108" i="1"/>
  <c r="J108" i="1"/>
  <c r="I108" i="1"/>
  <c r="Q107" i="1"/>
  <c r="P107" i="1"/>
  <c r="O107" i="1"/>
  <c r="N107" i="1"/>
  <c r="M107" i="1"/>
  <c r="L107" i="1"/>
  <c r="K107" i="1"/>
  <c r="J107" i="1"/>
  <c r="I107" i="1"/>
  <c r="Q106" i="1"/>
  <c r="P106" i="1"/>
  <c r="O106" i="1"/>
  <c r="N106" i="1"/>
  <c r="M106" i="1"/>
  <c r="L106" i="1"/>
  <c r="K106" i="1"/>
  <c r="J106" i="1"/>
  <c r="I106" i="1"/>
  <c r="Q105" i="1"/>
  <c r="P105" i="1"/>
  <c r="O105" i="1"/>
  <c r="N105" i="1"/>
  <c r="M105" i="1"/>
  <c r="L105" i="1"/>
  <c r="K105" i="1"/>
  <c r="J105" i="1"/>
  <c r="I105" i="1"/>
  <c r="Q104" i="1"/>
  <c r="P104" i="1"/>
  <c r="O104" i="1"/>
  <c r="N104" i="1"/>
  <c r="M104" i="1"/>
  <c r="L104" i="1"/>
  <c r="K104" i="1"/>
  <c r="J104" i="1"/>
  <c r="I104" i="1"/>
  <c r="Q103" i="1"/>
  <c r="P103" i="1"/>
  <c r="O103" i="1"/>
  <c r="N103" i="1"/>
  <c r="M103" i="1"/>
  <c r="L103" i="1"/>
  <c r="K103" i="1"/>
  <c r="J103" i="1"/>
  <c r="I103" i="1"/>
  <c r="Q102" i="1"/>
  <c r="P102" i="1"/>
  <c r="O102" i="1"/>
  <c r="N102" i="1"/>
  <c r="M102" i="1"/>
  <c r="L102" i="1"/>
  <c r="K102" i="1"/>
  <c r="J102" i="1"/>
  <c r="I102" i="1"/>
  <c r="Q101" i="1"/>
  <c r="P101" i="1"/>
  <c r="O101" i="1"/>
  <c r="N101" i="1"/>
  <c r="M101" i="1"/>
  <c r="L101" i="1"/>
  <c r="K101" i="1"/>
  <c r="J101" i="1"/>
  <c r="I101" i="1"/>
  <c r="Q100" i="1"/>
  <c r="P100" i="1"/>
  <c r="O100" i="1"/>
  <c r="N100" i="1"/>
  <c r="M100" i="1"/>
  <c r="L100" i="1"/>
  <c r="K100" i="1"/>
  <c r="J100" i="1"/>
  <c r="I100" i="1"/>
  <c r="Q99" i="1"/>
  <c r="P99" i="1"/>
  <c r="O99" i="1"/>
  <c r="N99" i="1"/>
  <c r="M99" i="1"/>
  <c r="L99" i="1"/>
  <c r="K99" i="1"/>
  <c r="J99" i="1"/>
  <c r="I99" i="1"/>
  <c r="Q98" i="1"/>
  <c r="P98" i="1"/>
  <c r="O98" i="1"/>
  <c r="N98" i="1"/>
  <c r="M98" i="1"/>
  <c r="L98" i="1"/>
  <c r="K98" i="1"/>
  <c r="J98" i="1"/>
  <c r="I98" i="1"/>
  <c r="Q97" i="1"/>
  <c r="P97" i="1"/>
  <c r="O97" i="1"/>
  <c r="N97" i="1"/>
  <c r="M97" i="1"/>
  <c r="L97" i="1"/>
  <c r="K97" i="1"/>
  <c r="J97" i="1"/>
  <c r="I97" i="1"/>
  <c r="Q96" i="1"/>
  <c r="P96" i="1"/>
  <c r="O96" i="1"/>
  <c r="N96" i="1"/>
  <c r="M96" i="1"/>
  <c r="L96" i="1"/>
  <c r="K96" i="1"/>
  <c r="J96" i="1"/>
  <c r="I96" i="1"/>
  <c r="Q95" i="1"/>
  <c r="P95" i="1"/>
  <c r="O95" i="1"/>
  <c r="N95" i="1"/>
  <c r="M95" i="1"/>
  <c r="L95" i="1"/>
  <c r="K95" i="1"/>
  <c r="J95" i="1"/>
  <c r="I95" i="1"/>
  <c r="Q94" i="1"/>
  <c r="P94" i="1"/>
  <c r="O94" i="1"/>
  <c r="N94" i="1"/>
  <c r="M94" i="1"/>
  <c r="L94" i="1"/>
  <c r="K94" i="1"/>
  <c r="J94" i="1"/>
  <c r="I94" i="1"/>
  <c r="Q93" i="1"/>
  <c r="P93" i="1"/>
  <c r="O93" i="1"/>
  <c r="N93" i="1"/>
  <c r="M93" i="1"/>
  <c r="L93" i="1"/>
  <c r="K93" i="1"/>
  <c r="J93" i="1"/>
  <c r="I93" i="1"/>
  <c r="Q92" i="1"/>
  <c r="P92" i="1"/>
  <c r="O92" i="1"/>
  <c r="N92" i="1"/>
  <c r="M92" i="1"/>
  <c r="L92" i="1"/>
  <c r="K92" i="1"/>
  <c r="J92" i="1"/>
  <c r="I92" i="1"/>
  <c r="Q91" i="1"/>
  <c r="P91" i="1"/>
  <c r="O91" i="1"/>
  <c r="N91" i="1"/>
  <c r="M91" i="1"/>
  <c r="L91" i="1"/>
  <c r="K91" i="1"/>
  <c r="J91" i="1"/>
  <c r="I91" i="1"/>
  <c r="Q90" i="1"/>
  <c r="P90" i="1"/>
  <c r="O90" i="1"/>
  <c r="N90" i="1"/>
  <c r="M90" i="1"/>
  <c r="L90" i="1"/>
  <c r="K90" i="1"/>
  <c r="J90" i="1"/>
  <c r="I90" i="1"/>
  <c r="Q89" i="1"/>
  <c r="P89" i="1"/>
  <c r="O89" i="1"/>
  <c r="N89" i="1"/>
  <c r="M89" i="1"/>
  <c r="L89" i="1"/>
  <c r="K89" i="1"/>
  <c r="J89" i="1"/>
  <c r="I89" i="1"/>
  <c r="Q88" i="1"/>
  <c r="P88" i="1"/>
  <c r="O88" i="1"/>
  <c r="N88" i="1"/>
  <c r="M88" i="1"/>
  <c r="L88" i="1"/>
  <c r="K88" i="1"/>
  <c r="J88" i="1"/>
  <c r="I88" i="1"/>
  <c r="Q87" i="1"/>
  <c r="P87" i="1"/>
  <c r="O87" i="1"/>
  <c r="N87" i="1"/>
  <c r="M87" i="1"/>
  <c r="L87" i="1"/>
  <c r="K87" i="1"/>
  <c r="J87" i="1"/>
  <c r="I87" i="1"/>
  <c r="Q86" i="1"/>
  <c r="P86" i="1"/>
  <c r="O86" i="1"/>
  <c r="N86" i="1"/>
  <c r="M86" i="1"/>
  <c r="L86" i="1"/>
  <c r="K86" i="1"/>
  <c r="J86" i="1"/>
  <c r="I86" i="1"/>
  <c r="Q85" i="1"/>
  <c r="P85" i="1"/>
  <c r="O85" i="1"/>
  <c r="N85" i="1"/>
  <c r="M85" i="1"/>
  <c r="L85" i="1"/>
  <c r="K85" i="1"/>
  <c r="J85" i="1"/>
  <c r="I85" i="1"/>
  <c r="Q84" i="1"/>
  <c r="P84" i="1"/>
  <c r="O84" i="1"/>
  <c r="N84" i="1"/>
  <c r="M84" i="1"/>
  <c r="L84" i="1"/>
  <c r="K84" i="1"/>
  <c r="J84" i="1"/>
  <c r="I84" i="1"/>
  <c r="Q83" i="1"/>
  <c r="P83" i="1"/>
  <c r="O83" i="1"/>
  <c r="N83" i="1"/>
  <c r="M83" i="1"/>
  <c r="L83" i="1"/>
  <c r="K83" i="1"/>
  <c r="J83" i="1"/>
  <c r="I83" i="1"/>
  <c r="Q82" i="1"/>
  <c r="P82" i="1"/>
  <c r="O82" i="1"/>
  <c r="N82" i="1"/>
  <c r="M82" i="1"/>
  <c r="L82" i="1"/>
  <c r="K82" i="1"/>
  <c r="J82" i="1"/>
  <c r="I82" i="1"/>
  <c r="Q81" i="1"/>
  <c r="P81" i="1"/>
  <c r="O81" i="1"/>
  <c r="N81" i="1"/>
  <c r="M81" i="1"/>
  <c r="L81" i="1"/>
  <c r="K81" i="1"/>
  <c r="J81" i="1"/>
  <c r="I81" i="1"/>
  <c r="Q80" i="1"/>
  <c r="P80" i="1"/>
  <c r="O80" i="1"/>
  <c r="N80" i="1"/>
  <c r="M80" i="1"/>
  <c r="L80" i="1"/>
  <c r="K80" i="1"/>
  <c r="J80" i="1"/>
  <c r="I80" i="1"/>
  <c r="Q79" i="1"/>
  <c r="P79" i="1"/>
  <c r="O79" i="1"/>
  <c r="N79" i="1"/>
  <c r="M79" i="1"/>
  <c r="L79" i="1"/>
  <c r="K79" i="1"/>
  <c r="J79" i="1"/>
  <c r="I79" i="1"/>
  <c r="Q78" i="1"/>
  <c r="P78" i="1"/>
  <c r="O78" i="1"/>
  <c r="N78" i="1"/>
  <c r="M78" i="1"/>
  <c r="L78" i="1"/>
  <c r="K78" i="1"/>
  <c r="J78" i="1"/>
  <c r="I78" i="1"/>
  <c r="Q77" i="1"/>
  <c r="P77" i="1"/>
  <c r="O77" i="1"/>
  <c r="N77" i="1"/>
  <c r="M77" i="1"/>
  <c r="L77" i="1"/>
  <c r="K77" i="1"/>
  <c r="J77" i="1"/>
  <c r="I77" i="1"/>
  <c r="Q76" i="1"/>
  <c r="P76" i="1"/>
  <c r="O76" i="1"/>
  <c r="N76" i="1"/>
  <c r="M76" i="1"/>
  <c r="L76" i="1"/>
  <c r="K76" i="1"/>
  <c r="J76" i="1"/>
  <c r="I76" i="1"/>
  <c r="Q75" i="1"/>
  <c r="P75" i="1"/>
  <c r="O75" i="1"/>
  <c r="N75" i="1"/>
  <c r="M75" i="1"/>
  <c r="L75" i="1"/>
  <c r="K75" i="1"/>
  <c r="J75" i="1"/>
  <c r="I75" i="1"/>
  <c r="Q74" i="1"/>
  <c r="P74" i="1"/>
  <c r="O74" i="1"/>
  <c r="N74" i="1"/>
  <c r="M74" i="1"/>
  <c r="L74" i="1"/>
  <c r="K74" i="1"/>
  <c r="J74" i="1"/>
  <c r="I74" i="1"/>
  <c r="Q73" i="1"/>
  <c r="P73" i="1"/>
  <c r="O73" i="1"/>
  <c r="N73" i="1"/>
  <c r="M73" i="1"/>
  <c r="L73" i="1"/>
  <c r="K73" i="1"/>
  <c r="J73" i="1"/>
  <c r="I73" i="1"/>
  <c r="Q72" i="1"/>
  <c r="P72" i="1"/>
  <c r="O72" i="1"/>
  <c r="N72" i="1"/>
  <c r="M72" i="1"/>
  <c r="L72" i="1"/>
  <c r="K72" i="1"/>
  <c r="J72" i="1"/>
  <c r="I72" i="1"/>
  <c r="Q71" i="1"/>
  <c r="P71" i="1"/>
  <c r="O71" i="1"/>
  <c r="N71" i="1"/>
  <c r="M71" i="1"/>
  <c r="L71" i="1"/>
  <c r="K71" i="1"/>
  <c r="J71" i="1"/>
  <c r="I71" i="1"/>
  <c r="Q70" i="1"/>
  <c r="P70" i="1"/>
  <c r="O70" i="1"/>
  <c r="N70" i="1"/>
  <c r="M70" i="1"/>
  <c r="L70" i="1"/>
  <c r="K70" i="1"/>
  <c r="J70" i="1"/>
  <c r="I70" i="1"/>
  <c r="Q69" i="1"/>
  <c r="P69" i="1"/>
  <c r="O69" i="1"/>
  <c r="N69" i="1"/>
  <c r="M69" i="1"/>
  <c r="L69" i="1"/>
  <c r="K69" i="1"/>
  <c r="J69" i="1"/>
  <c r="I69" i="1"/>
  <c r="Q68" i="1"/>
  <c r="P68" i="1"/>
  <c r="O68" i="1"/>
  <c r="N68" i="1"/>
  <c r="M68" i="1"/>
  <c r="L68" i="1"/>
  <c r="K68" i="1"/>
  <c r="J68" i="1"/>
  <c r="I68" i="1"/>
  <c r="Q67" i="1"/>
  <c r="P67" i="1"/>
  <c r="O67" i="1"/>
  <c r="N67" i="1"/>
  <c r="M67" i="1"/>
  <c r="L67" i="1"/>
  <c r="K67" i="1"/>
  <c r="J67" i="1"/>
  <c r="I67" i="1"/>
  <c r="Q66" i="1"/>
  <c r="P66" i="1"/>
  <c r="O66" i="1"/>
  <c r="N66" i="1"/>
  <c r="M66" i="1"/>
  <c r="L66" i="1"/>
  <c r="K66" i="1"/>
  <c r="J66" i="1"/>
  <c r="I66" i="1"/>
  <c r="Q65" i="1"/>
  <c r="P65" i="1"/>
  <c r="O65" i="1"/>
  <c r="N65" i="1"/>
  <c r="M65" i="1"/>
  <c r="L65" i="1"/>
  <c r="K65" i="1"/>
  <c r="J65" i="1"/>
  <c r="I65" i="1"/>
  <c r="Q64" i="1"/>
  <c r="P64" i="1"/>
  <c r="O64" i="1"/>
  <c r="N64" i="1"/>
  <c r="M64" i="1"/>
  <c r="L64" i="1"/>
  <c r="K64" i="1"/>
  <c r="J64" i="1"/>
  <c r="I64" i="1"/>
  <c r="Q63" i="1"/>
  <c r="P63" i="1"/>
  <c r="O63" i="1"/>
  <c r="N63" i="1"/>
  <c r="M63" i="1"/>
  <c r="L63" i="1"/>
  <c r="K63" i="1"/>
  <c r="J63" i="1"/>
  <c r="I63" i="1"/>
  <c r="Q62" i="1"/>
  <c r="P62" i="1"/>
  <c r="O62" i="1"/>
  <c r="N62" i="1"/>
  <c r="M62" i="1"/>
  <c r="L62" i="1"/>
  <c r="K62" i="1"/>
  <c r="J62" i="1"/>
  <c r="I62" i="1"/>
  <c r="Q61" i="1"/>
  <c r="P61" i="1"/>
  <c r="O61" i="1"/>
  <c r="N61" i="1"/>
  <c r="M61" i="1"/>
  <c r="L61" i="1"/>
  <c r="K61" i="1"/>
  <c r="J61" i="1"/>
  <c r="I61" i="1"/>
  <c r="Q60" i="1"/>
  <c r="P60" i="1"/>
  <c r="O60" i="1"/>
  <c r="N60" i="1"/>
  <c r="M60" i="1"/>
  <c r="L60" i="1"/>
  <c r="K60" i="1"/>
  <c r="J60" i="1"/>
  <c r="I60" i="1"/>
  <c r="Q59" i="1"/>
  <c r="P59" i="1"/>
  <c r="O59" i="1"/>
  <c r="N59" i="1"/>
  <c r="M59" i="1"/>
  <c r="L59" i="1"/>
  <c r="K59" i="1"/>
  <c r="J59" i="1"/>
  <c r="I59" i="1"/>
  <c r="Q58" i="1"/>
  <c r="P58" i="1"/>
  <c r="O58" i="1"/>
  <c r="N58" i="1"/>
  <c r="M58" i="1"/>
  <c r="L58" i="1"/>
  <c r="K58" i="1"/>
  <c r="J58" i="1"/>
  <c r="I58" i="1"/>
  <c r="Q57" i="1"/>
  <c r="P57" i="1"/>
  <c r="O57" i="1"/>
  <c r="N57" i="1"/>
  <c r="M57" i="1"/>
  <c r="L57" i="1"/>
  <c r="K57" i="1"/>
  <c r="J57" i="1"/>
  <c r="I57" i="1"/>
  <c r="Q56" i="1"/>
  <c r="P56" i="1"/>
  <c r="O56" i="1"/>
  <c r="N56" i="1"/>
  <c r="M56" i="1"/>
  <c r="L56" i="1"/>
  <c r="K56" i="1"/>
  <c r="J56" i="1"/>
  <c r="I56" i="1"/>
  <c r="Q55" i="1"/>
  <c r="P55" i="1"/>
  <c r="O55" i="1"/>
  <c r="N55" i="1"/>
  <c r="M55" i="1"/>
  <c r="L55" i="1"/>
  <c r="K55" i="1"/>
  <c r="J55" i="1"/>
  <c r="I55" i="1"/>
  <c r="Q54" i="1"/>
  <c r="P54" i="1"/>
  <c r="O54" i="1"/>
  <c r="N54" i="1"/>
  <c r="M54" i="1"/>
  <c r="L54" i="1"/>
  <c r="K54" i="1"/>
  <c r="J54" i="1"/>
  <c r="I54" i="1"/>
  <c r="Q53" i="1"/>
  <c r="P53" i="1"/>
  <c r="O53" i="1"/>
  <c r="N53" i="1"/>
  <c r="M53" i="1"/>
  <c r="L53" i="1"/>
  <c r="K53" i="1"/>
  <c r="J53" i="1"/>
  <c r="I53" i="1"/>
  <c r="Q52" i="1"/>
  <c r="P52" i="1"/>
  <c r="O52" i="1"/>
  <c r="N52" i="1"/>
  <c r="M52" i="1"/>
  <c r="L52" i="1"/>
  <c r="K52" i="1"/>
  <c r="J52" i="1"/>
  <c r="I52" i="1"/>
  <c r="Q51" i="1"/>
  <c r="P51" i="1"/>
  <c r="O51" i="1"/>
  <c r="N51" i="1"/>
  <c r="M51" i="1"/>
  <c r="L51" i="1"/>
  <c r="K51" i="1"/>
  <c r="J51" i="1"/>
  <c r="I51" i="1"/>
  <c r="Q50" i="1"/>
  <c r="P50" i="1"/>
  <c r="O50" i="1"/>
  <c r="N50" i="1"/>
  <c r="M50" i="1"/>
  <c r="L50" i="1"/>
  <c r="K50" i="1"/>
  <c r="J50" i="1"/>
  <c r="I50" i="1"/>
  <c r="Q49" i="1"/>
  <c r="P49" i="1"/>
  <c r="O49" i="1"/>
  <c r="N49" i="1"/>
  <c r="M49" i="1"/>
  <c r="L49" i="1"/>
  <c r="K49" i="1"/>
  <c r="J49" i="1"/>
  <c r="I49" i="1"/>
  <c r="Q48" i="1"/>
  <c r="P48" i="1"/>
  <c r="O48" i="1"/>
  <c r="N48" i="1"/>
  <c r="M48" i="1"/>
  <c r="L48" i="1"/>
  <c r="K48" i="1"/>
  <c r="J48" i="1"/>
  <c r="I48" i="1"/>
  <c r="Q47" i="1"/>
  <c r="P47" i="1"/>
  <c r="O47" i="1"/>
  <c r="N47" i="1"/>
  <c r="M47" i="1"/>
  <c r="L47" i="1"/>
  <c r="K47" i="1"/>
  <c r="J47" i="1"/>
  <c r="I47" i="1"/>
  <c r="Q46" i="1"/>
  <c r="P46" i="1"/>
  <c r="O46" i="1"/>
  <c r="N46" i="1"/>
  <c r="M46" i="1"/>
  <c r="L46" i="1"/>
  <c r="K46" i="1"/>
  <c r="J46" i="1"/>
  <c r="I46" i="1"/>
  <c r="Q45" i="1"/>
  <c r="P45" i="1"/>
  <c r="O45" i="1"/>
  <c r="N45" i="1"/>
  <c r="M45" i="1"/>
  <c r="L45" i="1"/>
  <c r="K45" i="1"/>
  <c r="J45" i="1"/>
  <c r="I45" i="1"/>
  <c r="Q44" i="1"/>
  <c r="P44" i="1"/>
  <c r="O44" i="1"/>
  <c r="N44" i="1"/>
  <c r="M44" i="1"/>
  <c r="L44" i="1"/>
  <c r="K44" i="1"/>
  <c r="J44" i="1"/>
  <c r="I44" i="1"/>
  <c r="Q43" i="1"/>
  <c r="P43" i="1"/>
  <c r="O43" i="1"/>
  <c r="N43" i="1"/>
  <c r="M43" i="1"/>
  <c r="L43" i="1"/>
  <c r="K43" i="1"/>
  <c r="J43" i="1"/>
  <c r="I43" i="1"/>
  <c r="Q42" i="1"/>
  <c r="P42" i="1"/>
  <c r="O42" i="1"/>
  <c r="N42" i="1"/>
  <c r="M42" i="1"/>
  <c r="L42" i="1"/>
  <c r="K42" i="1"/>
  <c r="J42" i="1"/>
  <c r="I42" i="1"/>
  <c r="Q41" i="1"/>
  <c r="P41" i="1"/>
  <c r="O41" i="1"/>
  <c r="N41" i="1"/>
  <c r="M41" i="1"/>
  <c r="L41" i="1"/>
  <c r="K41" i="1"/>
  <c r="J41" i="1"/>
  <c r="I41" i="1"/>
  <c r="Q40" i="1"/>
  <c r="P40" i="1"/>
  <c r="O40" i="1"/>
  <c r="N40" i="1"/>
  <c r="M40" i="1"/>
  <c r="L40" i="1"/>
  <c r="K40" i="1"/>
  <c r="J40" i="1"/>
  <c r="I40" i="1"/>
  <c r="Q39" i="1"/>
  <c r="P39" i="1"/>
  <c r="O39" i="1"/>
  <c r="N39" i="1"/>
  <c r="M39" i="1"/>
  <c r="L39" i="1"/>
  <c r="K39" i="1"/>
  <c r="J39" i="1"/>
  <c r="I39" i="1"/>
  <c r="Q38" i="1"/>
  <c r="P38" i="1"/>
  <c r="O38" i="1"/>
  <c r="N38" i="1"/>
  <c r="M38" i="1"/>
  <c r="L38" i="1"/>
  <c r="K38" i="1"/>
  <c r="J38" i="1"/>
  <c r="I38" i="1"/>
  <c r="Q37" i="1"/>
  <c r="P37" i="1"/>
  <c r="O37" i="1"/>
  <c r="N37" i="1"/>
  <c r="M37" i="1"/>
  <c r="L37" i="1"/>
  <c r="K37" i="1"/>
  <c r="J37" i="1"/>
  <c r="I37" i="1"/>
  <c r="Q36" i="1"/>
  <c r="P36" i="1"/>
  <c r="O36" i="1"/>
  <c r="N36" i="1"/>
  <c r="M36" i="1"/>
  <c r="L36" i="1"/>
  <c r="K36" i="1"/>
  <c r="J36" i="1"/>
  <c r="I36" i="1"/>
  <c r="Q35" i="1"/>
  <c r="P35" i="1"/>
  <c r="O35" i="1"/>
  <c r="N35" i="1"/>
  <c r="M35" i="1"/>
  <c r="L35" i="1"/>
  <c r="K35" i="1"/>
  <c r="J35" i="1"/>
  <c r="I35" i="1"/>
  <c r="Q34" i="1"/>
  <c r="P34" i="1"/>
  <c r="O34" i="1"/>
  <c r="N34" i="1"/>
  <c r="M34" i="1"/>
  <c r="L34" i="1"/>
  <c r="K34" i="1"/>
  <c r="J34" i="1"/>
  <c r="I34" i="1"/>
  <c r="Q33" i="1"/>
  <c r="P33" i="1"/>
  <c r="O33" i="1"/>
  <c r="N33" i="1"/>
  <c r="M33" i="1"/>
  <c r="L33" i="1"/>
  <c r="K33" i="1"/>
  <c r="J33" i="1"/>
  <c r="I33" i="1"/>
  <c r="Q32" i="1"/>
  <c r="P32" i="1"/>
  <c r="O32" i="1"/>
  <c r="N32" i="1"/>
  <c r="M32" i="1"/>
  <c r="L32" i="1"/>
  <c r="K32" i="1"/>
  <c r="J32" i="1"/>
  <c r="I32" i="1"/>
  <c r="Q31" i="1"/>
  <c r="P31" i="1"/>
  <c r="O31" i="1"/>
  <c r="N31" i="1"/>
  <c r="M31" i="1"/>
  <c r="L31" i="1"/>
  <c r="K31" i="1"/>
  <c r="J31" i="1"/>
  <c r="I31" i="1"/>
  <c r="Q30" i="1"/>
  <c r="P30" i="1"/>
  <c r="O30" i="1"/>
  <c r="N30" i="1"/>
  <c r="M30" i="1"/>
  <c r="L30" i="1"/>
  <c r="K30" i="1"/>
  <c r="J30" i="1"/>
  <c r="I30" i="1"/>
  <c r="Q29" i="1"/>
  <c r="P29" i="1"/>
  <c r="O29" i="1"/>
  <c r="N29" i="1"/>
  <c r="M29" i="1"/>
  <c r="L29" i="1"/>
  <c r="K29" i="1"/>
  <c r="J29" i="1"/>
  <c r="I29" i="1"/>
  <c r="Q28" i="1"/>
  <c r="P28" i="1"/>
  <c r="O28" i="1"/>
  <c r="N28" i="1"/>
  <c r="M28" i="1"/>
  <c r="L28" i="1"/>
  <c r="K28" i="1"/>
  <c r="J28" i="1"/>
  <c r="I28" i="1"/>
  <c r="Q27" i="1"/>
  <c r="P27" i="1"/>
  <c r="O27" i="1"/>
  <c r="N27" i="1"/>
  <c r="M27" i="1"/>
  <c r="L27" i="1"/>
  <c r="K27" i="1"/>
  <c r="J27" i="1"/>
  <c r="I27" i="1"/>
  <c r="Q26" i="1"/>
  <c r="P26" i="1"/>
  <c r="O26" i="1"/>
  <c r="N26" i="1"/>
  <c r="M26" i="1"/>
  <c r="L26" i="1"/>
  <c r="K26" i="1"/>
  <c r="J26" i="1"/>
  <c r="I26" i="1"/>
  <c r="Q25" i="1"/>
  <c r="P25" i="1"/>
  <c r="O25" i="1"/>
  <c r="N25" i="1"/>
  <c r="M25" i="1"/>
  <c r="L25" i="1"/>
  <c r="K25" i="1"/>
  <c r="J25" i="1"/>
  <c r="I25" i="1"/>
  <c r="Q24" i="1"/>
  <c r="P24" i="1"/>
  <c r="O24" i="1"/>
  <c r="N24" i="1"/>
  <c r="M24" i="1"/>
  <c r="L24" i="1"/>
  <c r="K24" i="1"/>
  <c r="J24" i="1"/>
  <c r="I24" i="1"/>
  <c r="Q23" i="1"/>
  <c r="P23" i="1"/>
  <c r="O23" i="1"/>
  <c r="N23" i="1"/>
  <c r="M23" i="1"/>
  <c r="L23" i="1"/>
  <c r="K23" i="1"/>
  <c r="J23" i="1"/>
  <c r="I23" i="1"/>
  <c r="Q22" i="1"/>
  <c r="P22" i="1"/>
  <c r="O22" i="1"/>
  <c r="N22" i="1"/>
  <c r="M22" i="1"/>
  <c r="L22" i="1"/>
  <c r="K22" i="1"/>
  <c r="J22" i="1"/>
  <c r="I22" i="1"/>
  <c r="Q21" i="1"/>
  <c r="P21" i="1"/>
  <c r="O21" i="1"/>
  <c r="N21" i="1"/>
  <c r="M21" i="1"/>
  <c r="L21" i="1"/>
  <c r="K21" i="1"/>
  <c r="J21" i="1"/>
  <c r="I21" i="1"/>
  <c r="Q20" i="1"/>
  <c r="P20" i="1"/>
  <c r="O20" i="1"/>
  <c r="N20" i="1"/>
  <c r="M20" i="1"/>
  <c r="L20" i="1"/>
  <c r="K20" i="1"/>
  <c r="J20" i="1"/>
  <c r="I20" i="1"/>
  <c r="Q19" i="1"/>
  <c r="P19" i="1"/>
  <c r="O19" i="1"/>
  <c r="N19" i="1"/>
  <c r="M19" i="1"/>
  <c r="L19" i="1"/>
  <c r="K19" i="1"/>
  <c r="J19" i="1"/>
  <c r="I19" i="1"/>
  <c r="Q18" i="1"/>
  <c r="P18" i="1"/>
  <c r="O18" i="1"/>
  <c r="N18" i="1"/>
  <c r="M18" i="1"/>
  <c r="L18" i="1"/>
  <c r="K18" i="1"/>
  <c r="J18" i="1"/>
  <c r="I18" i="1"/>
  <c r="Q17" i="1"/>
  <c r="P17" i="1"/>
  <c r="O17" i="1"/>
  <c r="N17" i="1"/>
  <c r="M17" i="1"/>
  <c r="L17" i="1"/>
  <c r="K17" i="1"/>
  <c r="J17" i="1"/>
  <c r="I17" i="1"/>
  <c r="Q16" i="1"/>
  <c r="P16" i="1"/>
  <c r="O16" i="1"/>
  <c r="N16" i="1"/>
  <c r="M16" i="1"/>
  <c r="L16" i="1"/>
  <c r="K16" i="1"/>
  <c r="J16" i="1"/>
  <c r="I16" i="1"/>
  <c r="Q15" i="1"/>
  <c r="P15" i="1"/>
  <c r="O15" i="1"/>
  <c r="N15" i="1"/>
  <c r="M15" i="1"/>
  <c r="L15" i="1"/>
  <c r="K15" i="1"/>
  <c r="J15" i="1"/>
  <c r="I15" i="1"/>
  <c r="Q14" i="1"/>
  <c r="P14" i="1"/>
  <c r="O14" i="1"/>
  <c r="N14" i="1"/>
  <c r="M14" i="1"/>
  <c r="L14" i="1"/>
  <c r="K14" i="1"/>
  <c r="J14" i="1"/>
  <c r="I14" i="1"/>
  <c r="Q13" i="1"/>
  <c r="P13" i="1"/>
  <c r="O13" i="1"/>
  <c r="N13" i="1"/>
  <c r="M13" i="1"/>
  <c r="L13" i="1"/>
  <c r="K13" i="1"/>
  <c r="J13" i="1"/>
  <c r="I13" i="1"/>
  <c r="Q12" i="1"/>
  <c r="P12" i="1"/>
  <c r="O12" i="1"/>
  <c r="N12" i="1"/>
  <c r="M12" i="1"/>
  <c r="L12" i="1"/>
  <c r="K12" i="1"/>
  <c r="J12" i="1"/>
  <c r="I12" i="1"/>
  <c r="Q11" i="1"/>
  <c r="P11" i="1"/>
  <c r="O11" i="1"/>
  <c r="N11" i="1"/>
  <c r="M11" i="1"/>
  <c r="L11" i="1"/>
  <c r="K11" i="1"/>
  <c r="J11" i="1"/>
  <c r="I11" i="1"/>
  <c r="Q10" i="1"/>
  <c r="P10" i="1"/>
  <c r="O10" i="1"/>
  <c r="N10" i="1"/>
  <c r="M10" i="1"/>
  <c r="L10" i="1"/>
  <c r="K10" i="1"/>
  <c r="J10" i="1"/>
  <c r="I10" i="1"/>
  <c r="Q9" i="1"/>
  <c r="P9" i="1"/>
  <c r="O9" i="1"/>
  <c r="N9" i="1"/>
  <c r="M9" i="1"/>
  <c r="L9" i="1"/>
  <c r="K9" i="1"/>
  <c r="J9" i="1"/>
  <c r="I9" i="1"/>
  <c r="Q8" i="1"/>
  <c r="P8" i="1"/>
  <c r="O8" i="1"/>
  <c r="N8" i="1"/>
  <c r="M8" i="1"/>
  <c r="L8" i="1"/>
  <c r="K8" i="1"/>
  <c r="J8" i="1"/>
  <c r="I8" i="1"/>
  <c r="Q7" i="1"/>
  <c r="P7" i="1"/>
  <c r="O7" i="1"/>
  <c r="N7" i="1"/>
  <c r="M7" i="1"/>
  <c r="L7" i="1"/>
  <c r="K7" i="1"/>
  <c r="J7" i="1"/>
  <c r="I7" i="1"/>
  <c r="Q6" i="1"/>
  <c r="P6" i="1"/>
  <c r="O6" i="1"/>
  <c r="N6" i="1"/>
  <c r="M6" i="1"/>
  <c r="L6" i="1"/>
  <c r="K6" i="1"/>
  <c r="J6" i="1"/>
  <c r="I6" i="1"/>
  <c r="Q5" i="1"/>
  <c r="P5" i="1"/>
  <c r="O5" i="1"/>
  <c r="N5" i="1"/>
  <c r="M5" i="1"/>
  <c r="L5" i="1"/>
  <c r="K5" i="1"/>
  <c r="J5" i="1"/>
  <c r="I5" i="1"/>
  <c r="Q4" i="1"/>
  <c r="P4" i="1"/>
  <c r="O4" i="1"/>
  <c r="N4" i="1"/>
  <c r="M4" i="1"/>
  <c r="L4" i="1"/>
  <c r="K4" i="1"/>
  <c r="J4" i="1"/>
  <c r="I4" i="1"/>
  <c r="Q3" i="1"/>
  <c r="P3" i="1"/>
  <c r="O3" i="1"/>
  <c r="N3" i="1"/>
  <c r="M3" i="1"/>
  <c r="L3" i="1"/>
  <c r="K3" i="1"/>
  <c r="J3" i="1"/>
  <c r="I3" i="1"/>
  <c r="EK15" i="2"/>
  <c r="EK14" i="2"/>
  <c r="EK13" i="2"/>
  <c r="EK12" i="2"/>
  <c r="EK7" i="2"/>
  <c r="EK11" i="2"/>
  <c r="EK6" i="2"/>
  <c r="EK10" i="2"/>
  <c r="EK5" i="2"/>
  <c r="EK9" i="2"/>
  <c r="EK4" i="2"/>
  <c r="EK8" i="2"/>
  <c r="EK3" i="2"/>
  <c r="EK2" i="2"/>
  <c r="EK1" i="2"/>
  <c r="EJ15" i="2"/>
  <c r="EJ14" i="2"/>
  <c r="EJ13" i="2"/>
  <c r="EJ12" i="2"/>
  <c r="EJ7" i="2"/>
  <c r="EJ11" i="2"/>
  <c r="EJ6" i="2"/>
  <c r="EJ10" i="2"/>
  <c r="EJ5" i="2"/>
  <c r="EJ9" i="2"/>
  <c r="EJ4" i="2"/>
  <c r="EJ8" i="2"/>
  <c r="EJ3" i="2"/>
  <c r="EJ2" i="2"/>
  <c r="EJ1" i="2"/>
  <c r="EI15" i="2"/>
  <c r="EI14" i="2"/>
  <c r="EI13" i="2"/>
  <c r="EI12" i="2"/>
  <c r="EI7" i="2"/>
  <c r="EI11" i="2"/>
  <c r="EI6" i="2"/>
  <c r="EI10" i="2"/>
  <c r="EI5" i="2"/>
  <c r="EI9" i="2"/>
  <c r="EI4" i="2"/>
  <c r="EI8" i="2"/>
  <c r="EI3" i="2"/>
  <c r="EI2" i="2"/>
  <c r="EI1" i="2"/>
  <c r="EH15" i="2"/>
  <c r="EH14" i="2"/>
  <c r="EH13" i="2"/>
  <c r="EH12" i="2"/>
  <c r="EH7" i="2"/>
  <c r="EH11" i="2"/>
  <c r="EH6" i="2"/>
  <c r="EH10" i="2"/>
  <c r="EH5" i="2"/>
  <c r="EH9" i="2"/>
  <c r="EH4" i="2"/>
  <c r="EH8" i="2"/>
  <c r="EH3" i="2"/>
  <c r="EH2" i="2"/>
  <c r="EH1" i="2"/>
  <c r="EG15" i="2"/>
  <c r="EG14" i="2"/>
  <c r="EG13" i="2"/>
  <c r="EG12" i="2"/>
  <c r="EG7" i="2"/>
  <c r="EG11" i="2"/>
  <c r="EG6" i="2"/>
  <c r="EG10" i="2"/>
  <c r="EG5" i="2"/>
  <c r="EG9" i="2"/>
  <c r="EG4" i="2"/>
  <c r="EG8" i="2"/>
  <c r="EG3" i="2"/>
  <c r="EG2" i="2"/>
  <c r="EG1" i="2"/>
  <c r="EF15" i="2"/>
  <c r="EF14" i="2"/>
  <c r="EF13" i="2"/>
  <c r="EF12" i="2"/>
  <c r="EF7" i="2"/>
  <c r="EF11" i="2"/>
  <c r="EF6" i="2"/>
  <c r="EF10" i="2"/>
  <c r="EF5" i="2"/>
  <c r="EF9" i="2"/>
  <c r="EF4" i="2"/>
  <c r="EF8" i="2"/>
  <c r="EF3" i="2"/>
  <c r="EF2" i="2"/>
  <c r="EF1" i="2"/>
  <c r="EE15" i="2"/>
  <c r="EE14" i="2"/>
  <c r="EE13" i="2"/>
  <c r="EE12" i="2"/>
  <c r="EE7" i="2"/>
  <c r="EE11" i="2"/>
  <c r="EE6" i="2"/>
  <c r="EE10" i="2"/>
  <c r="EE5" i="2"/>
  <c r="EE9" i="2"/>
  <c r="EE4" i="2"/>
  <c r="EE8" i="2"/>
  <c r="EE3" i="2"/>
  <c r="EE2" i="2"/>
  <c r="EE1" i="2"/>
  <c r="ED15" i="2"/>
  <c r="ED14" i="2"/>
  <c r="ED13" i="2"/>
  <c r="ED12" i="2"/>
  <c r="ED7" i="2"/>
  <c r="ED11" i="2"/>
  <c r="ED6" i="2"/>
  <c r="ED10" i="2"/>
  <c r="ED5" i="2"/>
  <c r="ED9" i="2"/>
  <c r="ED4" i="2"/>
  <c r="ED8" i="2"/>
  <c r="ED3" i="2"/>
  <c r="ED2" i="2"/>
  <c r="ED1" i="2"/>
  <c r="EC15" i="2"/>
  <c r="EC14" i="2"/>
  <c r="EC13" i="2"/>
  <c r="EC12" i="2"/>
  <c r="EC7" i="2"/>
  <c r="EC11" i="2"/>
  <c r="EC6" i="2"/>
  <c r="EC10" i="2"/>
  <c r="EC5" i="2"/>
  <c r="EC9" i="2"/>
  <c r="EC4" i="2"/>
  <c r="EC8" i="2"/>
  <c r="EC3" i="2"/>
  <c r="EC2" i="2"/>
  <c r="EC1" i="2"/>
  <c r="EB15" i="2"/>
  <c r="EB14" i="2"/>
  <c r="EB13" i="2"/>
  <c r="EB12" i="2"/>
  <c r="EB7" i="2"/>
  <c r="EB11" i="2"/>
  <c r="EB6" i="2"/>
  <c r="EB10" i="2"/>
  <c r="EB5" i="2"/>
  <c r="EB9" i="2"/>
  <c r="EB4" i="2"/>
  <c r="EB8" i="2"/>
  <c r="EB3" i="2"/>
  <c r="EB2" i="2"/>
  <c r="EB1" i="2"/>
  <c r="EA15" i="2"/>
  <c r="EA14" i="2"/>
  <c r="EA13" i="2"/>
  <c r="EA12" i="2"/>
  <c r="EA7" i="2"/>
  <c r="EA11" i="2"/>
  <c r="EA6" i="2"/>
  <c r="EA10" i="2"/>
  <c r="EA5" i="2"/>
  <c r="EA9" i="2"/>
  <c r="EA4" i="2"/>
  <c r="EA8" i="2"/>
  <c r="EA3" i="2"/>
  <c r="EA2" i="2"/>
  <c r="EA1" i="2"/>
  <c r="DZ15" i="2"/>
  <c r="DZ14" i="2"/>
  <c r="DZ13" i="2"/>
  <c r="DZ12" i="2"/>
  <c r="DZ7" i="2"/>
  <c r="DZ11" i="2"/>
  <c r="DZ6" i="2"/>
  <c r="DZ10" i="2"/>
  <c r="DZ5" i="2"/>
  <c r="DZ9" i="2"/>
  <c r="DZ4" i="2"/>
  <c r="DZ8" i="2"/>
  <c r="DZ3" i="2"/>
  <c r="DZ2" i="2"/>
  <c r="DZ1" i="2"/>
  <c r="DY15" i="2"/>
  <c r="DY14" i="2"/>
  <c r="DY13" i="2"/>
  <c r="DY12" i="2"/>
  <c r="DY7" i="2"/>
  <c r="DY11" i="2"/>
  <c r="DY6" i="2"/>
  <c r="DY10" i="2"/>
  <c r="DY5" i="2"/>
  <c r="DY9" i="2"/>
  <c r="DY4" i="2"/>
  <c r="DY8" i="2"/>
  <c r="DY3" i="2"/>
  <c r="DY2" i="2"/>
  <c r="DY1" i="2"/>
  <c r="DX15" i="2"/>
  <c r="DX14" i="2"/>
  <c r="DX13" i="2"/>
  <c r="DX12" i="2"/>
  <c r="DX7" i="2"/>
  <c r="DX11" i="2"/>
  <c r="DX6" i="2"/>
  <c r="DX10" i="2"/>
  <c r="DX5" i="2"/>
  <c r="DX9" i="2"/>
  <c r="DX4" i="2"/>
  <c r="DX8" i="2"/>
  <c r="DX3" i="2"/>
  <c r="DX2" i="2"/>
  <c r="DX1" i="2"/>
  <c r="DW15" i="2"/>
  <c r="DW14" i="2"/>
  <c r="DW13" i="2"/>
  <c r="DW12" i="2"/>
  <c r="DW7" i="2"/>
  <c r="DW11" i="2"/>
  <c r="DW6" i="2"/>
  <c r="DW10" i="2"/>
  <c r="DW5" i="2"/>
  <c r="DW9" i="2"/>
  <c r="DW4" i="2"/>
  <c r="DW8" i="2"/>
  <c r="DW3" i="2"/>
  <c r="DW2" i="2"/>
  <c r="DW1" i="2"/>
  <c r="DV15" i="2"/>
  <c r="DV14" i="2"/>
  <c r="DV13" i="2"/>
  <c r="DV12" i="2"/>
  <c r="DV7" i="2"/>
  <c r="DV11" i="2"/>
  <c r="DV6" i="2"/>
  <c r="DV10" i="2"/>
  <c r="DV5" i="2"/>
  <c r="DV9" i="2"/>
  <c r="DV4" i="2"/>
  <c r="DV8" i="2"/>
  <c r="DV3" i="2"/>
  <c r="DV2" i="2"/>
  <c r="DV1" i="2"/>
  <c r="DU15" i="2"/>
  <c r="DU14" i="2"/>
  <c r="DU13" i="2"/>
  <c r="DU12" i="2"/>
  <c r="DU7" i="2"/>
  <c r="DU11" i="2"/>
  <c r="DU6" i="2"/>
  <c r="DU10" i="2"/>
  <c r="DU5" i="2"/>
  <c r="DU9" i="2"/>
  <c r="DU4" i="2"/>
  <c r="DU8" i="2"/>
  <c r="DU3" i="2"/>
  <c r="DU2" i="2"/>
  <c r="DU1" i="2"/>
  <c r="DT15" i="2"/>
  <c r="DT14" i="2"/>
  <c r="DT13" i="2"/>
  <c r="DT12" i="2"/>
  <c r="DT7" i="2"/>
  <c r="DT11" i="2"/>
  <c r="DT6" i="2"/>
  <c r="DT10" i="2"/>
  <c r="DT5" i="2"/>
  <c r="DT9" i="2"/>
  <c r="DT4" i="2"/>
  <c r="DT8" i="2"/>
  <c r="DT3" i="2"/>
  <c r="DT2" i="2"/>
  <c r="DT1" i="2"/>
  <c r="DS15" i="2"/>
  <c r="DS14" i="2"/>
  <c r="DS13" i="2"/>
  <c r="DS12" i="2"/>
  <c r="DS7" i="2"/>
  <c r="DS11" i="2"/>
  <c r="DS6" i="2"/>
  <c r="DS10" i="2"/>
  <c r="DS5" i="2"/>
  <c r="DS9" i="2"/>
  <c r="DS4" i="2"/>
  <c r="DS8" i="2"/>
  <c r="DS3" i="2"/>
  <c r="DS2" i="2"/>
  <c r="DS1" i="2"/>
  <c r="DR15" i="2"/>
  <c r="DR14" i="2"/>
  <c r="DR13" i="2"/>
  <c r="DR12" i="2"/>
  <c r="DR7" i="2"/>
  <c r="DR11" i="2"/>
  <c r="DR6" i="2"/>
  <c r="DR10" i="2"/>
  <c r="DR5" i="2"/>
  <c r="DR9" i="2"/>
  <c r="DR4" i="2"/>
  <c r="DR8" i="2"/>
  <c r="DR3" i="2"/>
  <c r="DR2" i="2"/>
  <c r="DR1" i="2"/>
  <c r="DQ15" i="2"/>
  <c r="DQ14" i="2"/>
  <c r="DQ13" i="2"/>
  <c r="DQ12" i="2"/>
  <c r="DQ7" i="2"/>
  <c r="DQ11" i="2"/>
  <c r="DQ6" i="2"/>
  <c r="DQ10" i="2"/>
  <c r="DQ5" i="2"/>
  <c r="DQ9" i="2"/>
  <c r="DQ4" i="2"/>
  <c r="DQ8" i="2"/>
  <c r="DQ3" i="2"/>
  <c r="DQ2" i="2"/>
  <c r="DQ1" i="2"/>
  <c r="DP15" i="2"/>
  <c r="DP14" i="2"/>
  <c r="DP13" i="2"/>
  <c r="DP12" i="2"/>
  <c r="DP7" i="2"/>
  <c r="DP11" i="2"/>
  <c r="DP6" i="2"/>
  <c r="DP10" i="2"/>
  <c r="DP5" i="2"/>
  <c r="DP9" i="2"/>
  <c r="DP4" i="2"/>
  <c r="DP8" i="2"/>
  <c r="DP3" i="2"/>
  <c r="DP2" i="2"/>
  <c r="DP1" i="2"/>
  <c r="DO15" i="2"/>
  <c r="DO14" i="2"/>
  <c r="DO13" i="2"/>
  <c r="DO12" i="2"/>
  <c r="DO7" i="2"/>
  <c r="DO11" i="2"/>
  <c r="DO6" i="2"/>
  <c r="DO10" i="2"/>
  <c r="DO5" i="2"/>
  <c r="DO9" i="2"/>
  <c r="DO4" i="2"/>
  <c r="DO8" i="2"/>
  <c r="DO3" i="2"/>
  <c r="DO2" i="2"/>
  <c r="DO1" i="2"/>
  <c r="DN15" i="2"/>
  <c r="DN14" i="2"/>
  <c r="DN13" i="2"/>
  <c r="DN12" i="2"/>
  <c r="DN7" i="2"/>
  <c r="DN11" i="2"/>
  <c r="DN6" i="2"/>
  <c r="DN10" i="2"/>
  <c r="DN5" i="2"/>
  <c r="DN9" i="2"/>
  <c r="DN4" i="2"/>
  <c r="DN8" i="2"/>
  <c r="DN3" i="2"/>
  <c r="DN2" i="2"/>
  <c r="DN1" i="2"/>
  <c r="DM15" i="2"/>
  <c r="DM14" i="2"/>
  <c r="DM13" i="2"/>
  <c r="DM12" i="2"/>
  <c r="DM7" i="2"/>
  <c r="DM11" i="2"/>
  <c r="DM6" i="2"/>
  <c r="DM10" i="2"/>
  <c r="DM5" i="2"/>
  <c r="DM9" i="2"/>
  <c r="DM4" i="2"/>
  <c r="DM8" i="2"/>
  <c r="DM3" i="2"/>
  <c r="DM2" i="2"/>
  <c r="DM1" i="2"/>
  <c r="DL15" i="2"/>
  <c r="DL14" i="2"/>
  <c r="DL13" i="2"/>
  <c r="DL12" i="2"/>
  <c r="DL7" i="2"/>
  <c r="DL11" i="2"/>
  <c r="DL6" i="2"/>
  <c r="DL10" i="2"/>
  <c r="DL5" i="2"/>
  <c r="DL9" i="2"/>
  <c r="DL4" i="2"/>
  <c r="DL8" i="2"/>
  <c r="DL3" i="2"/>
  <c r="DL2" i="2"/>
  <c r="DL1" i="2"/>
  <c r="DK15" i="2"/>
  <c r="DK14" i="2"/>
  <c r="DK13" i="2"/>
  <c r="DK12" i="2"/>
  <c r="DK7" i="2"/>
  <c r="DK11" i="2"/>
  <c r="DK6" i="2"/>
  <c r="DK10" i="2"/>
  <c r="DK5" i="2"/>
  <c r="DK9" i="2"/>
  <c r="DK4" i="2"/>
  <c r="DK8" i="2"/>
  <c r="DK3" i="2"/>
  <c r="DK2" i="2"/>
  <c r="DK1" i="2"/>
  <c r="DJ15" i="2"/>
  <c r="DJ14" i="2"/>
  <c r="DJ13" i="2"/>
  <c r="DJ12" i="2"/>
  <c r="DJ7" i="2"/>
  <c r="DJ11" i="2"/>
  <c r="DJ6" i="2"/>
  <c r="DJ10" i="2"/>
  <c r="DJ5" i="2"/>
  <c r="DJ9" i="2"/>
  <c r="DJ4" i="2"/>
  <c r="DJ8" i="2"/>
  <c r="DJ3" i="2"/>
  <c r="DJ2" i="2"/>
  <c r="DJ1" i="2"/>
  <c r="DI15" i="2"/>
  <c r="DI14" i="2"/>
  <c r="DI13" i="2"/>
  <c r="DI12" i="2"/>
  <c r="DI7" i="2"/>
  <c r="DI11" i="2"/>
  <c r="DI6" i="2"/>
  <c r="DI10" i="2"/>
  <c r="DI5" i="2"/>
  <c r="DI9" i="2"/>
  <c r="DI4" i="2"/>
  <c r="DI8" i="2"/>
  <c r="DI3" i="2"/>
  <c r="DI2" i="2"/>
  <c r="DI1" i="2"/>
  <c r="DH15" i="2"/>
  <c r="DH14" i="2"/>
  <c r="DH13" i="2"/>
  <c r="DH12" i="2"/>
  <c r="DH7" i="2"/>
  <c r="DH11" i="2"/>
  <c r="DH6" i="2"/>
  <c r="DH10" i="2"/>
  <c r="DH5" i="2"/>
  <c r="DH9" i="2"/>
  <c r="DH4" i="2"/>
  <c r="DH8" i="2"/>
  <c r="DH3" i="2"/>
  <c r="DH2" i="2"/>
  <c r="DH1" i="2"/>
  <c r="DG15" i="2"/>
  <c r="DG14" i="2"/>
  <c r="DG13" i="2"/>
  <c r="DG12" i="2"/>
  <c r="DG7" i="2"/>
  <c r="DG11" i="2"/>
  <c r="DG6" i="2"/>
  <c r="DG10" i="2"/>
  <c r="DG5" i="2"/>
  <c r="DG9" i="2"/>
  <c r="DG4" i="2"/>
  <c r="DG8" i="2"/>
  <c r="DG3" i="2"/>
  <c r="DG2" i="2"/>
  <c r="DG1" i="2"/>
  <c r="DF15" i="2"/>
  <c r="DF14" i="2"/>
  <c r="DF13" i="2"/>
  <c r="DF12" i="2"/>
  <c r="DF7" i="2"/>
  <c r="DF11" i="2"/>
  <c r="DF6" i="2"/>
  <c r="DF10" i="2"/>
  <c r="DF5" i="2"/>
  <c r="DF9" i="2"/>
  <c r="DF4" i="2"/>
  <c r="DF8" i="2"/>
  <c r="DF3" i="2"/>
  <c r="DF2" i="2"/>
  <c r="DF1" i="2"/>
  <c r="DE15" i="2"/>
  <c r="DE14" i="2"/>
  <c r="DE13" i="2"/>
  <c r="DE12" i="2"/>
  <c r="DE7" i="2"/>
  <c r="DE11" i="2"/>
  <c r="DE6" i="2"/>
  <c r="DE10" i="2"/>
  <c r="DE5" i="2"/>
  <c r="DE9" i="2"/>
  <c r="DE4" i="2"/>
  <c r="DE8" i="2"/>
  <c r="DE3" i="2"/>
  <c r="DE2" i="2"/>
  <c r="DE1" i="2"/>
  <c r="DD15" i="2"/>
  <c r="DD14" i="2"/>
  <c r="DD13" i="2"/>
  <c r="DD12" i="2"/>
  <c r="DD7" i="2"/>
  <c r="DD11" i="2"/>
  <c r="DD6" i="2"/>
  <c r="DD10" i="2"/>
  <c r="DD5" i="2"/>
  <c r="DD9" i="2"/>
  <c r="DD4" i="2"/>
  <c r="DD8" i="2"/>
  <c r="DD3" i="2"/>
  <c r="DD2" i="2"/>
  <c r="DD1" i="2"/>
  <c r="DC15" i="2"/>
  <c r="DC14" i="2"/>
  <c r="DC13" i="2"/>
  <c r="DC12" i="2"/>
  <c r="DC7" i="2"/>
  <c r="DC11" i="2"/>
  <c r="DC6" i="2"/>
  <c r="DC10" i="2"/>
  <c r="DC5" i="2"/>
  <c r="DC9" i="2"/>
  <c r="DC4" i="2"/>
  <c r="DC8" i="2"/>
  <c r="DC3" i="2"/>
  <c r="DC2" i="2"/>
  <c r="DC1" i="2"/>
  <c r="DB15" i="2"/>
  <c r="DB14" i="2"/>
  <c r="DB13" i="2"/>
  <c r="DB12" i="2"/>
  <c r="DB7" i="2"/>
  <c r="DB11" i="2"/>
  <c r="DB6" i="2"/>
  <c r="DB10" i="2"/>
  <c r="DB5" i="2"/>
  <c r="DB9" i="2"/>
  <c r="DB4" i="2"/>
  <c r="DB8" i="2"/>
  <c r="DB3" i="2"/>
  <c r="DB2" i="2"/>
  <c r="DB1" i="2"/>
  <c r="DA15" i="2"/>
  <c r="DA14" i="2"/>
  <c r="DA13" i="2"/>
  <c r="DA12" i="2"/>
  <c r="DA7" i="2"/>
  <c r="DA11" i="2"/>
  <c r="DA6" i="2"/>
  <c r="DA10" i="2"/>
  <c r="DA5" i="2"/>
  <c r="DA9" i="2"/>
  <c r="DA4" i="2"/>
  <c r="DA8" i="2"/>
  <c r="DA3" i="2"/>
  <c r="DA2" i="2"/>
  <c r="DA1" i="2"/>
  <c r="CZ15" i="2"/>
  <c r="CZ14" i="2"/>
  <c r="CZ13" i="2"/>
  <c r="CZ12" i="2"/>
  <c r="CZ7" i="2"/>
  <c r="CZ11" i="2"/>
  <c r="CZ6" i="2"/>
  <c r="CZ10" i="2"/>
  <c r="CZ5" i="2"/>
  <c r="CZ9" i="2"/>
  <c r="CZ4" i="2"/>
  <c r="CZ8" i="2"/>
  <c r="CZ3" i="2"/>
  <c r="CZ2" i="2"/>
  <c r="CZ1" i="2"/>
  <c r="CY15" i="2"/>
  <c r="CY14" i="2"/>
  <c r="CY13" i="2"/>
  <c r="CY12" i="2"/>
  <c r="CY7" i="2"/>
  <c r="CY11" i="2"/>
  <c r="CY6" i="2"/>
  <c r="CY10" i="2"/>
  <c r="CY5" i="2"/>
  <c r="CY9" i="2"/>
  <c r="CY4" i="2"/>
  <c r="CY8" i="2"/>
  <c r="CY3" i="2"/>
  <c r="CY2" i="2"/>
  <c r="CY1" i="2"/>
  <c r="CX15" i="2"/>
  <c r="CX14" i="2"/>
  <c r="CX13" i="2"/>
  <c r="CX12" i="2"/>
  <c r="CX7" i="2"/>
  <c r="CX11" i="2"/>
  <c r="CX6" i="2"/>
  <c r="CX10" i="2"/>
  <c r="CX5" i="2"/>
  <c r="CX9" i="2"/>
  <c r="CX4" i="2"/>
  <c r="CX8" i="2"/>
  <c r="CX3" i="2"/>
  <c r="CX2" i="2"/>
  <c r="CX1" i="2"/>
  <c r="CW15" i="2"/>
  <c r="CW14" i="2"/>
  <c r="CW13" i="2"/>
  <c r="CW12" i="2"/>
  <c r="CW7" i="2"/>
  <c r="CW11" i="2"/>
  <c r="CW6" i="2"/>
  <c r="CW10" i="2"/>
  <c r="CW5" i="2"/>
  <c r="CW9" i="2"/>
  <c r="CW4" i="2"/>
  <c r="CW8" i="2"/>
  <c r="CW3" i="2"/>
  <c r="CW2" i="2"/>
  <c r="CW1" i="2"/>
  <c r="CV15" i="2"/>
  <c r="CV14" i="2"/>
  <c r="CV13" i="2"/>
  <c r="CV12" i="2"/>
  <c r="CV7" i="2"/>
  <c r="CV11" i="2"/>
  <c r="CV6" i="2"/>
  <c r="CV10" i="2"/>
  <c r="CV5" i="2"/>
  <c r="CV9" i="2"/>
  <c r="CV4" i="2"/>
  <c r="CV8" i="2"/>
  <c r="CV3" i="2"/>
  <c r="CV2" i="2"/>
  <c r="CV1" i="2"/>
  <c r="CU15" i="2"/>
  <c r="CU14" i="2"/>
  <c r="CU13" i="2"/>
  <c r="CU12" i="2"/>
  <c r="CU7" i="2"/>
  <c r="CU11" i="2"/>
  <c r="CU6" i="2"/>
  <c r="CU10" i="2"/>
  <c r="CU5" i="2"/>
  <c r="CU9" i="2"/>
  <c r="CU4" i="2"/>
  <c r="CU8" i="2"/>
  <c r="CU3" i="2"/>
  <c r="CU2" i="2"/>
  <c r="CU1" i="2"/>
  <c r="CT15" i="2"/>
  <c r="CT14" i="2"/>
  <c r="CT13" i="2"/>
  <c r="CT12" i="2"/>
  <c r="CT7" i="2"/>
  <c r="CT11" i="2"/>
  <c r="CT6" i="2"/>
  <c r="CT10" i="2"/>
  <c r="CT5" i="2"/>
  <c r="CT9" i="2"/>
  <c r="CT4" i="2"/>
  <c r="CT8" i="2"/>
  <c r="CT3" i="2"/>
  <c r="CT2" i="2"/>
  <c r="CT1" i="2"/>
  <c r="CS15" i="2"/>
  <c r="CS14" i="2"/>
  <c r="CS13" i="2"/>
  <c r="CS12" i="2"/>
  <c r="CS7" i="2"/>
  <c r="CS11" i="2"/>
  <c r="CS6" i="2"/>
  <c r="CS10" i="2"/>
  <c r="CS5" i="2"/>
  <c r="CS9" i="2"/>
  <c r="CS4" i="2"/>
  <c r="CS8" i="2"/>
  <c r="CS3" i="2"/>
  <c r="CS2" i="2"/>
  <c r="CS1" i="2"/>
  <c r="CR15" i="2"/>
  <c r="CR14" i="2"/>
  <c r="CR13" i="2"/>
  <c r="CR12" i="2"/>
  <c r="CR7" i="2"/>
  <c r="CR11" i="2"/>
  <c r="CR6" i="2"/>
  <c r="CR10" i="2"/>
  <c r="CR5" i="2"/>
  <c r="CR9" i="2"/>
  <c r="CR4" i="2"/>
  <c r="CR8" i="2"/>
  <c r="CR3" i="2"/>
  <c r="CR2" i="2"/>
  <c r="CR1" i="2"/>
  <c r="CQ15" i="2"/>
  <c r="CQ14" i="2"/>
  <c r="CQ13" i="2"/>
  <c r="CQ12" i="2"/>
  <c r="CQ7" i="2"/>
  <c r="CQ11" i="2"/>
  <c r="CQ6" i="2"/>
  <c r="CQ10" i="2"/>
  <c r="CQ5" i="2"/>
  <c r="CQ9" i="2"/>
  <c r="CQ4" i="2"/>
  <c r="CQ8" i="2"/>
  <c r="CQ3" i="2"/>
  <c r="CQ2" i="2"/>
  <c r="CQ1" i="2"/>
  <c r="CP15" i="2"/>
  <c r="CP14" i="2"/>
  <c r="CP13" i="2"/>
  <c r="CP12" i="2"/>
  <c r="CP7" i="2"/>
  <c r="CP11" i="2"/>
  <c r="CP6" i="2"/>
  <c r="CP10" i="2"/>
  <c r="CP5" i="2"/>
  <c r="CP9" i="2"/>
  <c r="CP4" i="2"/>
  <c r="CP8" i="2"/>
  <c r="CP3" i="2"/>
  <c r="CP2" i="2"/>
  <c r="CP1" i="2"/>
  <c r="CO15" i="2"/>
  <c r="CO14" i="2"/>
  <c r="CO13" i="2"/>
  <c r="CO12" i="2"/>
  <c r="CO7" i="2"/>
  <c r="CO11" i="2"/>
  <c r="CO6" i="2"/>
  <c r="CO10" i="2"/>
  <c r="CO5" i="2"/>
  <c r="CO9" i="2"/>
  <c r="CO4" i="2"/>
  <c r="CO8" i="2"/>
  <c r="CO3" i="2"/>
  <c r="CO2" i="2"/>
  <c r="CO1" i="2"/>
  <c r="CN15" i="2"/>
  <c r="CN14" i="2"/>
  <c r="CN13" i="2"/>
  <c r="CN12" i="2"/>
  <c r="CN7" i="2"/>
  <c r="CN11" i="2"/>
  <c r="CN6" i="2"/>
  <c r="CN10" i="2"/>
  <c r="CN5" i="2"/>
  <c r="CN9" i="2"/>
  <c r="CN4" i="2"/>
  <c r="CN8" i="2"/>
  <c r="CN3" i="2"/>
  <c r="CN2" i="2"/>
  <c r="CN1" i="2"/>
  <c r="CM15" i="2"/>
  <c r="CM14" i="2"/>
  <c r="CM13" i="2"/>
  <c r="CM12" i="2"/>
  <c r="CM7" i="2"/>
  <c r="CM11" i="2"/>
  <c r="CM6" i="2"/>
  <c r="CM10" i="2"/>
  <c r="CM5" i="2"/>
  <c r="CM9" i="2"/>
  <c r="CM4" i="2"/>
  <c r="CM8" i="2"/>
  <c r="CM3" i="2"/>
  <c r="CM2" i="2"/>
  <c r="CM1" i="2"/>
  <c r="CL15" i="2"/>
  <c r="CL14" i="2"/>
  <c r="CL13" i="2"/>
  <c r="CL12" i="2"/>
  <c r="CL7" i="2"/>
  <c r="CL11" i="2"/>
  <c r="CL6" i="2"/>
  <c r="CL10" i="2"/>
  <c r="CL5" i="2"/>
  <c r="CL9" i="2"/>
  <c r="CL4" i="2"/>
  <c r="CL8" i="2"/>
  <c r="CL3" i="2"/>
  <c r="CL2" i="2"/>
  <c r="CL1" i="2"/>
  <c r="CK15" i="2"/>
  <c r="CK14" i="2"/>
  <c r="CK13" i="2"/>
  <c r="CK12" i="2"/>
  <c r="CK7" i="2"/>
  <c r="CK11" i="2"/>
  <c r="CK6" i="2"/>
  <c r="CK10" i="2"/>
  <c r="CK5" i="2"/>
  <c r="CK9" i="2"/>
  <c r="CK4" i="2"/>
  <c r="CK8" i="2"/>
  <c r="CK3" i="2"/>
  <c r="CK2" i="2"/>
  <c r="CK1" i="2"/>
  <c r="CJ15" i="2"/>
  <c r="CJ14" i="2"/>
  <c r="CJ13" i="2"/>
  <c r="CJ12" i="2"/>
  <c r="CJ7" i="2"/>
  <c r="CJ11" i="2"/>
  <c r="CJ6" i="2"/>
  <c r="CJ10" i="2"/>
  <c r="CJ5" i="2"/>
  <c r="CJ9" i="2"/>
  <c r="CJ4" i="2"/>
  <c r="CJ8" i="2"/>
  <c r="CJ3" i="2"/>
  <c r="CJ2" i="2"/>
  <c r="CJ1" i="2"/>
  <c r="CI15" i="2"/>
  <c r="CI14" i="2"/>
  <c r="CI13" i="2"/>
  <c r="CI12" i="2"/>
  <c r="CI7" i="2"/>
  <c r="CI11" i="2"/>
  <c r="CI6" i="2"/>
  <c r="CI10" i="2"/>
  <c r="CI5" i="2"/>
  <c r="CI9" i="2"/>
  <c r="CI4" i="2"/>
  <c r="CI8" i="2"/>
  <c r="CI3" i="2"/>
  <c r="CI2" i="2"/>
  <c r="CI1" i="2"/>
  <c r="CH15" i="2"/>
  <c r="CH14" i="2"/>
  <c r="CH13" i="2"/>
  <c r="CH12" i="2"/>
  <c r="CH7" i="2"/>
  <c r="CH11" i="2"/>
  <c r="CH6" i="2"/>
  <c r="CH10" i="2"/>
  <c r="CH5" i="2"/>
  <c r="CH9" i="2"/>
  <c r="CH4" i="2"/>
  <c r="CH8" i="2"/>
  <c r="CH3" i="2"/>
  <c r="CH2" i="2"/>
  <c r="CH1" i="2"/>
  <c r="CG15" i="2"/>
  <c r="CG14" i="2"/>
  <c r="CG13" i="2"/>
  <c r="CG12" i="2"/>
  <c r="CG7" i="2"/>
  <c r="CG11" i="2"/>
  <c r="CG6" i="2"/>
  <c r="CG10" i="2"/>
  <c r="CG5" i="2"/>
  <c r="CG9" i="2"/>
  <c r="CG4" i="2"/>
  <c r="CG8" i="2"/>
  <c r="CG3" i="2"/>
  <c r="CG2" i="2"/>
  <c r="CG1" i="2"/>
  <c r="CF15" i="2"/>
  <c r="CF14" i="2"/>
  <c r="CF13" i="2"/>
  <c r="CF12" i="2"/>
  <c r="CF7" i="2"/>
  <c r="CF11" i="2"/>
  <c r="CF6" i="2"/>
  <c r="CF10" i="2"/>
  <c r="CF5" i="2"/>
  <c r="CF9" i="2"/>
  <c r="CF4" i="2"/>
  <c r="CF8" i="2"/>
  <c r="CF3" i="2"/>
  <c r="CF2" i="2"/>
  <c r="CF1" i="2"/>
  <c r="CE15" i="2"/>
  <c r="CE14" i="2"/>
  <c r="CE13" i="2"/>
  <c r="CE12" i="2"/>
  <c r="CE7" i="2"/>
  <c r="CE11" i="2"/>
  <c r="CE6" i="2"/>
  <c r="CE10" i="2"/>
  <c r="CE5" i="2"/>
  <c r="CE9" i="2"/>
  <c r="CE4" i="2"/>
  <c r="CE8" i="2"/>
  <c r="CE3" i="2"/>
  <c r="CE2" i="2"/>
  <c r="CE1" i="2"/>
  <c r="CD15" i="2"/>
  <c r="CD14" i="2"/>
  <c r="CD13" i="2"/>
  <c r="CD12" i="2"/>
  <c r="CD7" i="2"/>
  <c r="CD11" i="2"/>
  <c r="CD6" i="2"/>
  <c r="CD10" i="2"/>
  <c r="CD5" i="2"/>
  <c r="CD9" i="2"/>
  <c r="CD4" i="2"/>
  <c r="CD8" i="2"/>
  <c r="CD3" i="2"/>
  <c r="CD2" i="2"/>
  <c r="CD1" i="2"/>
  <c r="CC15" i="2"/>
  <c r="CC14" i="2"/>
  <c r="CC13" i="2"/>
  <c r="CC12" i="2"/>
  <c r="CC7" i="2"/>
  <c r="CC11" i="2"/>
  <c r="CC6" i="2"/>
  <c r="CC10" i="2"/>
  <c r="CC5" i="2"/>
  <c r="CC9" i="2"/>
  <c r="CC4" i="2"/>
  <c r="CC8" i="2"/>
  <c r="CC3" i="2"/>
  <c r="CC2" i="2"/>
  <c r="CC1" i="2"/>
  <c r="CB15" i="2"/>
  <c r="CB14" i="2"/>
  <c r="CB13" i="2"/>
  <c r="CB12" i="2"/>
  <c r="CB7" i="2"/>
  <c r="CB11" i="2"/>
  <c r="CB6" i="2"/>
  <c r="CB10" i="2"/>
  <c r="CB5" i="2"/>
  <c r="CB9" i="2"/>
  <c r="CB4" i="2"/>
  <c r="CB8" i="2"/>
  <c r="CB3" i="2"/>
  <c r="CB2" i="2"/>
  <c r="CB1" i="2"/>
  <c r="CA15" i="2"/>
  <c r="CA14" i="2"/>
  <c r="CA13" i="2"/>
  <c r="CA12" i="2"/>
  <c r="CA7" i="2"/>
  <c r="CA11" i="2"/>
  <c r="CA6" i="2"/>
  <c r="CA10" i="2"/>
  <c r="CA5" i="2"/>
  <c r="CA9" i="2"/>
  <c r="CA4" i="2"/>
  <c r="CA8" i="2"/>
  <c r="CA3" i="2"/>
  <c r="CA2" i="2"/>
  <c r="CA1" i="2"/>
  <c r="BZ15" i="2"/>
  <c r="BZ14" i="2"/>
  <c r="BZ13" i="2"/>
  <c r="BZ12" i="2"/>
  <c r="BZ7" i="2"/>
  <c r="BZ11" i="2"/>
  <c r="BZ6" i="2"/>
  <c r="BZ10" i="2"/>
  <c r="BZ5" i="2"/>
  <c r="BZ9" i="2"/>
  <c r="BZ4" i="2"/>
  <c r="BZ8" i="2"/>
  <c r="BZ3" i="2"/>
  <c r="BZ2" i="2"/>
  <c r="BZ1" i="2"/>
  <c r="BY15" i="2"/>
  <c r="BY14" i="2"/>
  <c r="BY13" i="2"/>
  <c r="BY12" i="2"/>
  <c r="BY7" i="2"/>
  <c r="BY11" i="2"/>
  <c r="BY6" i="2"/>
  <c r="BY10" i="2"/>
  <c r="BY5" i="2"/>
  <c r="BY9" i="2"/>
  <c r="BY4" i="2"/>
  <c r="BY8" i="2"/>
  <c r="BY3" i="2"/>
  <c r="BY2" i="2"/>
  <c r="BY1" i="2"/>
  <c r="BX15" i="2"/>
  <c r="BX14" i="2"/>
  <c r="BX13" i="2"/>
  <c r="BX12" i="2"/>
  <c r="BX7" i="2"/>
  <c r="BX11" i="2"/>
  <c r="BX6" i="2"/>
  <c r="BX10" i="2"/>
  <c r="BX5" i="2"/>
  <c r="BX9" i="2"/>
  <c r="BX4" i="2"/>
  <c r="BX8" i="2"/>
  <c r="BX3" i="2"/>
  <c r="BX2" i="2"/>
  <c r="BX1" i="2"/>
  <c r="BW15" i="2"/>
  <c r="BW14" i="2"/>
  <c r="BW13" i="2"/>
  <c r="BW12" i="2"/>
  <c r="BW7" i="2"/>
  <c r="BW11" i="2"/>
  <c r="BW6" i="2"/>
  <c r="BW10" i="2"/>
  <c r="BW5" i="2"/>
  <c r="BW9" i="2"/>
  <c r="BW4" i="2"/>
  <c r="BW8" i="2"/>
  <c r="BW3" i="2"/>
  <c r="BW2" i="2"/>
  <c r="BW1" i="2"/>
  <c r="BV15" i="2"/>
  <c r="BV14" i="2"/>
  <c r="BV13" i="2"/>
  <c r="BV12" i="2"/>
  <c r="BV7" i="2"/>
  <c r="BV11" i="2"/>
  <c r="BV6" i="2"/>
  <c r="BV10" i="2"/>
  <c r="BV5" i="2"/>
  <c r="BV9" i="2"/>
  <c r="BV4" i="2"/>
  <c r="BV8" i="2"/>
  <c r="BV3" i="2"/>
  <c r="BV2" i="2"/>
  <c r="BV1" i="2"/>
  <c r="BU15" i="2"/>
  <c r="BU14" i="2"/>
  <c r="BU13" i="2"/>
  <c r="BU12" i="2"/>
  <c r="BU7" i="2"/>
  <c r="BU11" i="2"/>
  <c r="BU6" i="2"/>
  <c r="BU10" i="2"/>
  <c r="BU5" i="2"/>
  <c r="BU9" i="2"/>
  <c r="BU4" i="2"/>
  <c r="BU8" i="2"/>
  <c r="BU3" i="2"/>
  <c r="BU2" i="2"/>
  <c r="BU1" i="2"/>
  <c r="BT15" i="2"/>
  <c r="BT14" i="2"/>
  <c r="BT13" i="2"/>
  <c r="BT12" i="2"/>
  <c r="BT7" i="2"/>
  <c r="BT11" i="2"/>
  <c r="BT6" i="2"/>
  <c r="BT10" i="2"/>
  <c r="BT5" i="2"/>
  <c r="BT9" i="2"/>
  <c r="BT4" i="2"/>
  <c r="BT8" i="2"/>
  <c r="BT3" i="2"/>
  <c r="BT2" i="2"/>
  <c r="BT1" i="2"/>
  <c r="BS15" i="2"/>
  <c r="BS14" i="2"/>
  <c r="BS13" i="2"/>
  <c r="BS12" i="2"/>
  <c r="BS7" i="2"/>
  <c r="BS11" i="2"/>
  <c r="BS6" i="2"/>
  <c r="BS10" i="2"/>
  <c r="BS5" i="2"/>
  <c r="BS9" i="2"/>
  <c r="BS4" i="2"/>
  <c r="BS8" i="2"/>
  <c r="BS3" i="2"/>
  <c r="BS2" i="2"/>
  <c r="BS1" i="2"/>
  <c r="BR15" i="2"/>
  <c r="BR14" i="2"/>
  <c r="BR13" i="2"/>
  <c r="BR12" i="2"/>
  <c r="BR7" i="2"/>
  <c r="BR11" i="2"/>
  <c r="BR6" i="2"/>
  <c r="BR10" i="2"/>
  <c r="BR5" i="2"/>
  <c r="BR9" i="2"/>
  <c r="BR4" i="2"/>
  <c r="BR8" i="2"/>
  <c r="BR3" i="2"/>
  <c r="BR2" i="2"/>
  <c r="BR1" i="2"/>
  <c r="BQ15" i="2"/>
  <c r="BQ14" i="2"/>
  <c r="BQ13" i="2"/>
  <c r="BQ12" i="2"/>
  <c r="BQ7" i="2"/>
  <c r="BQ11" i="2"/>
  <c r="BQ6" i="2"/>
  <c r="BQ10" i="2"/>
  <c r="BQ5" i="2"/>
  <c r="BQ9" i="2"/>
  <c r="BQ4" i="2"/>
  <c r="BQ8" i="2"/>
  <c r="BQ3" i="2"/>
  <c r="BQ2" i="2"/>
  <c r="BQ1" i="2"/>
  <c r="BP15" i="2"/>
  <c r="BP14" i="2"/>
  <c r="BP13" i="2"/>
  <c r="BP12" i="2"/>
  <c r="BP7" i="2"/>
  <c r="BP11" i="2"/>
  <c r="BP6" i="2"/>
  <c r="BP10" i="2"/>
  <c r="BP5" i="2"/>
  <c r="BP9" i="2"/>
  <c r="BP4" i="2"/>
  <c r="BP8" i="2"/>
  <c r="BP3" i="2"/>
  <c r="BP2" i="2"/>
  <c r="BP1" i="2"/>
  <c r="BO15" i="2"/>
  <c r="BO14" i="2"/>
  <c r="BO13" i="2"/>
  <c r="BO12" i="2"/>
  <c r="BO7" i="2"/>
  <c r="BO11" i="2"/>
  <c r="BO6" i="2"/>
  <c r="BO10" i="2"/>
  <c r="BO5" i="2"/>
  <c r="BO9" i="2"/>
  <c r="BO4" i="2"/>
  <c r="BO8" i="2"/>
  <c r="BO3" i="2"/>
  <c r="BO2" i="2"/>
  <c r="BO1" i="2"/>
  <c r="BN15" i="2"/>
  <c r="BN14" i="2"/>
  <c r="BN13" i="2"/>
  <c r="BN12" i="2"/>
  <c r="BN7" i="2"/>
  <c r="BN11" i="2"/>
  <c r="BN6" i="2"/>
  <c r="BN10" i="2"/>
  <c r="BN5" i="2"/>
  <c r="BN9" i="2"/>
  <c r="BN4" i="2"/>
  <c r="BN8" i="2"/>
  <c r="BN3" i="2"/>
  <c r="BN2" i="2"/>
  <c r="BN1" i="2"/>
  <c r="BM15" i="2"/>
  <c r="BM14" i="2"/>
  <c r="BM13" i="2"/>
  <c r="BM12" i="2"/>
  <c r="BM7" i="2"/>
  <c r="BM11" i="2"/>
  <c r="BM6" i="2"/>
  <c r="BM10" i="2"/>
  <c r="BM5" i="2"/>
  <c r="BM9" i="2"/>
  <c r="BM4" i="2"/>
  <c r="BM8" i="2"/>
  <c r="BM3" i="2"/>
  <c r="BM2" i="2"/>
  <c r="BM1" i="2"/>
  <c r="BL15" i="2"/>
  <c r="BL14" i="2"/>
  <c r="BL13" i="2"/>
  <c r="BL12" i="2"/>
  <c r="BL7" i="2"/>
  <c r="BL11" i="2"/>
  <c r="BL6" i="2"/>
  <c r="BL10" i="2"/>
  <c r="BL5" i="2"/>
  <c r="BL9" i="2"/>
  <c r="BL4" i="2"/>
  <c r="BL8" i="2"/>
  <c r="BL3" i="2"/>
  <c r="BL2" i="2"/>
  <c r="BL1" i="2"/>
  <c r="BK15" i="2"/>
  <c r="BK14" i="2"/>
  <c r="BK13" i="2"/>
  <c r="BK12" i="2"/>
  <c r="BK7" i="2"/>
  <c r="BK11" i="2"/>
  <c r="BK6" i="2"/>
  <c r="BK10" i="2"/>
  <c r="BK5" i="2"/>
  <c r="BK9" i="2"/>
  <c r="BK4" i="2"/>
  <c r="BK8" i="2"/>
  <c r="BK3" i="2"/>
  <c r="BK2" i="2"/>
  <c r="BK1" i="2"/>
  <c r="BJ15" i="2"/>
  <c r="BJ14" i="2"/>
  <c r="BJ13" i="2"/>
  <c r="BJ12" i="2"/>
  <c r="BJ7" i="2"/>
  <c r="BJ11" i="2"/>
  <c r="BJ6" i="2"/>
  <c r="BJ10" i="2"/>
  <c r="BJ5" i="2"/>
  <c r="BJ9" i="2"/>
  <c r="BJ4" i="2"/>
  <c r="BJ8" i="2"/>
  <c r="BJ3" i="2"/>
  <c r="BJ2" i="2"/>
  <c r="BJ1" i="2"/>
  <c r="BI15" i="2"/>
  <c r="BI14" i="2"/>
  <c r="BI13" i="2"/>
  <c r="BI12" i="2"/>
  <c r="BI7" i="2"/>
  <c r="BI11" i="2"/>
  <c r="BI6" i="2"/>
  <c r="BI10" i="2"/>
  <c r="BI5" i="2"/>
  <c r="BI9" i="2"/>
  <c r="BI4" i="2"/>
  <c r="BI8" i="2"/>
  <c r="BI3" i="2"/>
  <c r="BI2" i="2"/>
  <c r="BI1" i="2"/>
  <c r="BH15" i="2"/>
  <c r="BH14" i="2"/>
  <c r="BH13" i="2"/>
  <c r="BH12" i="2"/>
  <c r="BH7" i="2"/>
  <c r="BH11" i="2"/>
  <c r="BH6" i="2"/>
  <c r="BH10" i="2"/>
  <c r="BH5" i="2"/>
  <c r="BH9" i="2"/>
  <c r="BH4" i="2"/>
  <c r="BH8" i="2"/>
  <c r="BH3" i="2"/>
  <c r="BH2" i="2"/>
  <c r="BH1" i="2"/>
  <c r="BG15" i="2"/>
  <c r="BG14" i="2"/>
  <c r="BG13" i="2"/>
  <c r="BG12" i="2"/>
  <c r="BG7" i="2"/>
  <c r="BG11" i="2"/>
  <c r="BG6" i="2"/>
  <c r="BG10" i="2"/>
  <c r="BG5" i="2"/>
  <c r="BG9" i="2"/>
  <c r="BG4" i="2"/>
  <c r="BG8" i="2"/>
  <c r="BG3" i="2"/>
  <c r="BG2" i="2"/>
  <c r="BG1" i="2"/>
  <c r="BF15" i="2"/>
  <c r="BF14" i="2"/>
  <c r="BF13" i="2"/>
  <c r="BF12" i="2"/>
  <c r="BF7" i="2"/>
  <c r="BF11" i="2"/>
  <c r="BF6" i="2"/>
  <c r="BF10" i="2"/>
  <c r="BF5" i="2"/>
  <c r="BF9" i="2"/>
  <c r="BF4" i="2"/>
  <c r="BF8" i="2"/>
  <c r="BF3" i="2"/>
  <c r="BF2" i="2"/>
  <c r="BF1" i="2"/>
  <c r="BE15" i="2"/>
  <c r="BE14" i="2"/>
  <c r="BE13" i="2"/>
  <c r="BE12" i="2"/>
  <c r="BE7" i="2"/>
  <c r="BE11" i="2"/>
  <c r="BE6" i="2"/>
  <c r="BE10" i="2"/>
  <c r="BE5" i="2"/>
  <c r="BE9" i="2"/>
  <c r="BE4" i="2"/>
  <c r="BE8" i="2"/>
  <c r="BE3" i="2"/>
  <c r="BE2" i="2"/>
  <c r="BE1" i="2"/>
  <c r="BD15" i="2"/>
  <c r="BD14" i="2"/>
  <c r="BD13" i="2"/>
  <c r="BD12" i="2"/>
  <c r="BD7" i="2"/>
  <c r="BD11" i="2"/>
  <c r="BD6" i="2"/>
  <c r="BD10" i="2"/>
  <c r="BD5" i="2"/>
  <c r="BD9" i="2"/>
  <c r="BD4" i="2"/>
  <c r="BD8" i="2"/>
  <c r="BD3" i="2"/>
  <c r="BD2" i="2"/>
  <c r="BD1" i="2"/>
  <c r="BC15" i="2"/>
  <c r="BC14" i="2"/>
  <c r="BC13" i="2"/>
  <c r="BC12" i="2"/>
  <c r="BC7" i="2"/>
  <c r="BC11" i="2"/>
  <c r="BC6" i="2"/>
  <c r="BC10" i="2"/>
  <c r="BC5" i="2"/>
  <c r="BC9" i="2"/>
  <c r="BC4" i="2"/>
  <c r="BC8" i="2"/>
  <c r="BC3" i="2"/>
  <c r="BC2" i="2"/>
  <c r="BC1" i="2"/>
  <c r="BB15" i="2"/>
  <c r="BB14" i="2"/>
  <c r="BB13" i="2"/>
  <c r="BB12" i="2"/>
  <c r="BB7" i="2"/>
  <c r="BB11" i="2"/>
  <c r="BB6" i="2"/>
  <c r="BB10" i="2"/>
  <c r="BB5" i="2"/>
  <c r="BB9" i="2"/>
  <c r="BB4" i="2"/>
  <c r="BB8" i="2"/>
  <c r="BB3" i="2"/>
  <c r="BB2" i="2"/>
  <c r="BB1" i="2"/>
  <c r="BA15" i="2"/>
  <c r="BA14" i="2"/>
  <c r="BA13" i="2"/>
  <c r="BA12" i="2"/>
  <c r="BA7" i="2"/>
  <c r="BA11" i="2"/>
  <c r="BA6" i="2"/>
  <c r="BA10" i="2"/>
  <c r="BA5" i="2"/>
  <c r="BA9" i="2"/>
  <c r="BA4" i="2"/>
  <c r="BA8" i="2"/>
  <c r="BA3" i="2"/>
  <c r="BA2" i="2"/>
  <c r="BA1" i="2"/>
  <c r="AZ15" i="2"/>
  <c r="AZ14" i="2"/>
  <c r="AZ13" i="2"/>
  <c r="AZ12" i="2"/>
  <c r="AZ7" i="2"/>
  <c r="AZ11" i="2"/>
  <c r="AZ6" i="2"/>
  <c r="AZ10" i="2"/>
  <c r="AZ5" i="2"/>
  <c r="AZ9" i="2"/>
  <c r="AZ4" i="2"/>
  <c r="AZ8" i="2"/>
  <c r="AZ3" i="2"/>
  <c r="AZ2" i="2"/>
  <c r="AZ1" i="2"/>
  <c r="AY15" i="2"/>
  <c r="AY14" i="2"/>
  <c r="AY13" i="2"/>
  <c r="AY12" i="2"/>
  <c r="AY7" i="2"/>
  <c r="AY11" i="2"/>
  <c r="AY6" i="2"/>
  <c r="AY10" i="2"/>
  <c r="AY5" i="2"/>
  <c r="AY9" i="2"/>
  <c r="AY4" i="2"/>
  <c r="AY8" i="2"/>
  <c r="AY3" i="2"/>
  <c r="AY2" i="2"/>
  <c r="AY1" i="2"/>
  <c r="AX15" i="2"/>
  <c r="AX14" i="2"/>
  <c r="AX13" i="2"/>
  <c r="AX12" i="2"/>
  <c r="AX7" i="2"/>
  <c r="AX11" i="2"/>
  <c r="AX6" i="2"/>
  <c r="AX10" i="2"/>
  <c r="AX5" i="2"/>
  <c r="AX9" i="2"/>
  <c r="AX4" i="2"/>
  <c r="AX8" i="2"/>
  <c r="AX3" i="2"/>
  <c r="AX2" i="2"/>
  <c r="AX1" i="2"/>
  <c r="AW15" i="2"/>
  <c r="AW14" i="2"/>
  <c r="AW13" i="2"/>
  <c r="AW12" i="2"/>
  <c r="AW7" i="2"/>
  <c r="AW11" i="2"/>
  <c r="AW6" i="2"/>
  <c r="AW10" i="2"/>
  <c r="AW5" i="2"/>
  <c r="AW9" i="2"/>
  <c r="AW4" i="2"/>
  <c r="AW8" i="2"/>
  <c r="AW3" i="2"/>
  <c r="AW2" i="2"/>
  <c r="AW1" i="2"/>
  <c r="AV15" i="2"/>
  <c r="AV14" i="2"/>
  <c r="AV13" i="2"/>
  <c r="AV12" i="2"/>
  <c r="AV7" i="2"/>
  <c r="AV11" i="2"/>
  <c r="AV6" i="2"/>
  <c r="AV10" i="2"/>
  <c r="AV5" i="2"/>
  <c r="AV9" i="2"/>
  <c r="AV4" i="2"/>
  <c r="AV8" i="2"/>
  <c r="AV3" i="2"/>
  <c r="AV2" i="2"/>
  <c r="AV1" i="2"/>
  <c r="AU15" i="2"/>
  <c r="AU14" i="2"/>
  <c r="AU13" i="2"/>
  <c r="AU12" i="2"/>
  <c r="AU7" i="2"/>
  <c r="AU11" i="2"/>
  <c r="AU6" i="2"/>
  <c r="AU10" i="2"/>
  <c r="AU5" i="2"/>
  <c r="AU9" i="2"/>
  <c r="AU4" i="2"/>
  <c r="AU8" i="2"/>
  <c r="AU3" i="2"/>
  <c r="AU2" i="2"/>
  <c r="AU1" i="2"/>
  <c r="AT15" i="2"/>
  <c r="AT14" i="2"/>
  <c r="AT13" i="2"/>
  <c r="AT12" i="2"/>
  <c r="AT7" i="2"/>
  <c r="AT11" i="2"/>
  <c r="AT6" i="2"/>
  <c r="AT10" i="2"/>
  <c r="AT5" i="2"/>
  <c r="AT9" i="2"/>
  <c r="AT4" i="2"/>
  <c r="AT8" i="2"/>
  <c r="AT3" i="2"/>
  <c r="AT2" i="2"/>
  <c r="AT1" i="2"/>
  <c r="AS15" i="2"/>
  <c r="AS14" i="2"/>
  <c r="AS13" i="2"/>
  <c r="AS12" i="2"/>
  <c r="AS7" i="2"/>
  <c r="AS11" i="2"/>
  <c r="AS6" i="2"/>
  <c r="AS10" i="2"/>
  <c r="AS5" i="2"/>
  <c r="AS9" i="2"/>
  <c r="AS4" i="2"/>
  <c r="AS8" i="2"/>
  <c r="AS3" i="2"/>
  <c r="AS2" i="2"/>
  <c r="AS1" i="2"/>
  <c r="AR15" i="2"/>
  <c r="AR14" i="2"/>
  <c r="AR13" i="2"/>
  <c r="AR12" i="2"/>
  <c r="AR7" i="2"/>
  <c r="AR11" i="2"/>
  <c r="AR6" i="2"/>
  <c r="AR10" i="2"/>
  <c r="AR5" i="2"/>
  <c r="AR9" i="2"/>
  <c r="AR4" i="2"/>
  <c r="AR8" i="2"/>
  <c r="AR3" i="2"/>
  <c r="AR2" i="2"/>
  <c r="AR1" i="2"/>
  <c r="AQ15" i="2"/>
  <c r="AQ14" i="2"/>
  <c r="AQ13" i="2"/>
  <c r="AQ12" i="2"/>
  <c r="AQ7" i="2"/>
  <c r="AQ11" i="2"/>
  <c r="AQ6" i="2"/>
  <c r="AQ10" i="2"/>
  <c r="AQ5" i="2"/>
  <c r="AQ9" i="2"/>
  <c r="AQ4" i="2"/>
  <c r="AQ8" i="2"/>
  <c r="AQ3" i="2"/>
  <c r="AQ2" i="2"/>
  <c r="AQ1" i="2"/>
  <c r="AP15" i="2"/>
  <c r="AP14" i="2"/>
  <c r="AP13" i="2"/>
  <c r="AP12" i="2"/>
  <c r="AP7" i="2"/>
  <c r="AP11" i="2"/>
  <c r="AP6" i="2"/>
  <c r="AP10" i="2"/>
  <c r="AP5" i="2"/>
  <c r="AP9" i="2"/>
  <c r="AP4" i="2"/>
  <c r="AP8" i="2"/>
  <c r="AP3" i="2"/>
  <c r="AP2" i="2"/>
  <c r="AP1" i="2"/>
  <c r="AO15" i="2"/>
  <c r="AO14" i="2"/>
  <c r="AO13" i="2"/>
  <c r="AO12" i="2"/>
  <c r="AO7" i="2"/>
  <c r="AO11" i="2"/>
  <c r="AO6" i="2"/>
  <c r="AO10" i="2"/>
  <c r="AO5" i="2"/>
  <c r="AO9" i="2"/>
  <c r="AO4" i="2"/>
  <c r="AO8" i="2"/>
  <c r="AO3" i="2"/>
  <c r="AO2" i="2"/>
  <c r="AO1" i="2"/>
  <c r="AN15" i="2"/>
  <c r="AN14" i="2"/>
  <c r="AN13" i="2"/>
  <c r="AN12" i="2"/>
  <c r="AN7" i="2"/>
  <c r="AN11" i="2"/>
  <c r="AN6" i="2"/>
  <c r="AN10" i="2"/>
  <c r="AN5" i="2"/>
  <c r="AN9" i="2"/>
  <c r="AN4" i="2"/>
  <c r="AN8" i="2"/>
  <c r="AN3" i="2"/>
  <c r="AN2" i="2"/>
  <c r="AN1" i="2"/>
  <c r="AM15" i="2"/>
  <c r="AM14" i="2"/>
  <c r="AM13" i="2"/>
  <c r="AM12" i="2"/>
  <c r="AM7" i="2"/>
  <c r="AM11" i="2"/>
  <c r="AM6" i="2"/>
  <c r="AM10" i="2"/>
  <c r="AM5" i="2"/>
  <c r="AM9" i="2"/>
  <c r="AM4" i="2"/>
  <c r="AM8" i="2"/>
  <c r="AM3" i="2"/>
  <c r="AM2" i="2"/>
  <c r="AM1" i="2"/>
  <c r="AL15" i="2"/>
  <c r="AL14" i="2"/>
  <c r="AL13" i="2"/>
  <c r="AL12" i="2"/>
  <c r="AL7" i="2"/>
  <c r="AL11" i="2"/>
  <c r="AL6" i="2"/>
  <c r="AL10" i="2"/>
  <c r="AL5" i="2"/>
  <c r="AL9" i="2"/>
  <c r="AL4" i="2"/>
  <c r="AL8" i="2"/>
  <c r="AL3" i="2"/>
  <c r="AL2" i="2"/>
  <c r="AL1" i="2"/>
  <c r="AK15" i="2"/>
  <c r="AK14" i="2"/>
  <c r="AK13" i="2"/>
  <c r="AK12" i="2"/>
  <c r="AK7" i="2"/>
  <c r="AK11" i="2"/>
  <c r="AK6" i="2"/>
  <c r="AK10" i="2"/>
  <c r="AK5" i="2"/>
  <c r="AK9" i="2"/>
  <c r="AK4" i="2"/>
  <c r="AK8" i="2"/>
  <c r="AK3" i="2"/>
  <c r="AK2" i="2"/>
  <c r="AK1" i="2"/>
  <c r="AJ15" i="2"/>
  <c r="AJ14" i="2"/>
  <c r="AJ13" i="2"/>
  <c r="AJ12" i="2"/>
  <c r="AJ7" i="2"/>
  <c r="AJ11" i="2"/>
  <c r="AJ6" i="2"/>
  <c r="AJ10" i="2"/>
  <c r="AJ5" i="2"/>
  <c r="AJ9" i="2"/>
  <c r="AJ4" i="2"/>
  <c r="AJ8" i="2"/>
  <c r="AJ3" i="2"/>
  <c r="AJ2" i="2"/>
  <c r="AJ1" i="2"/>
  <c r="AI15" i="2"/>
  <c r="AI14" i="2"/>
  <c r="AI13" i="2"/>
  <c r="AI12" i="2"/>
  <c r="AI7" i="2"/>
  <c r="AI11" i="2"/>
  <c r="AI6" i="2"/>
  <c r="AI10" i="2"/>
  <c r="AI5" i="2"/>
  <c r="AI9" i="2"/>
  <c r="AI4" i="2"/>
  <c r="AI8" i="2"/>
  <c r="AI3" i="2"/>
  <c r="AI2" i="2"/>
  <c r="AI1" i="2"/>
  <c r="AH15" i="2"/>
  <c r="AH14" i="2"/>
  <c r="AH13" i="2"/>
  <c r="AH12" i="2"/>
  <c r="AH7" i="2"/>
  <c r="AH11" i="2"/>
  <c r="AH6" i="2"/>
  <c r="AH10" i="2"/>
  <c r="AH5" i="2"/>
  <c r="AH9" i="2"/>
  <c r="AH4" i="2"/>
  <c r="AH8" i="2"/>
  <c r="AH3" i="2"/>
  <c r="AH2" i="2"/>
  <c r="AH1" i="2"/>
  <c r="AG15" i="2"/>
  <c r="AG14" i="2"/>
  <c r="AG13" i="2"/>
  <c r="AG12" i="2"/>
  <c r="AG7" i="2"/>
  <c r="AG11" i="2"/>
  <c r="AG6" i="2"/>
  <c r="AG10" i="2"/>
  <c r="AG5" i="2"/>
  <c r="AG9" i="2"/>
  <c r="AG4" i="2"/>
  <c r="AG8" i="2"/>
  <c r="AG3" i="2"/>
  <c r="AG2" i="2"/>
  <c r="AG1" i="2"/>
  <c r="AF15" i="2"/>
  <c r="AF14" i="2"/>
  <c r="AF13" i="2"/>
  <c r="AF12" i="2"/>
  <c r="AF7" i="2"/>
  <c r="AF11" i="2"/>
  <c r="AF6" i="2"/>
  <c r="AF10" i="2"/>
  <c r="AF5" i="2"/>
  <c r="AF9" i="2"/>
  <c r="AF4" i="2"/>
  <c r="AF8" i="2"/>
  <c r="AF3" i="2"/>
  <c r="AF2" i="2"/>
  <c r="AF1" i="2"/>
  <c r="AE15" i="2"/>
  <c r="AE14" i="2"/>
  <c r="AE13" i="2"/>
  <c r="AE12" i="2"/>
  <c r="AE7" i="2"/>
  <c r="AE11" i="2"/>
  <c r="AE6" i="2"/>
  <c r="AE10" i="2"/>
  <c r="AE5" i="2"/>
  <c r="AE9" i="2"/>
  <c r="AE4" i="2"/>
  <c r="AE8" i="2"/>
  <c r="AE3" i="2"/>
  <c r="AE2" i="2"/>
  <c r="AE1" i="2"/>
  <c r="AD15" i="2"/>
  <c r="AD14" i="2"/>
  <c r="AD13" i="2"/>
  <c r="AD12" i="2"/>
  <c r="AD7" i="2"/>
  <c r="AD11" i="2"/>
  <c r="AD6" i="2"/>
  <c r="AD10" i="2"/>
  <c r="AD5" i="2"/>
  <c r="AD9" i="2"/>
  <c r="AD4" i="2"/>
  <c r="AD8" i="2"/>
  <c r="AD3" i="2"/>
  <c r="AD2" i="2"/>
  <c r="AD1" i="2"/>
  <c r="AC15" i="2"/>
  <c r="AC14" i="2"/>
  <c r="AC13" i="2"/>
  <c r="AC12" i="2"/>
  <c r="AC7" i="2"/>
  <c r="AC11" i="2"/>
  <c r="AC6" i="2"/>
  <c r="AC10" i="2"/>
  <c r="AC5" i="2"/>
  <c r="AC9" i="2"/>
  <c r="AC4" i="2"/>
  <c r="AC8" i="2"/>
  <c r="AC3" i="2"/>
  <c r="AC2" i="2"/>
  <c r="AC1" i="2"/>
  <c r="AB15" i="2"/>
  <c r="AB14" i="2"/>
  <c r="AB13" i="2"/>
  <c r="AB12" i="2"/>
  <c r="AB7" i="2"/>
  <c r="AB11" i="2"/>
  <c r="AB6" i="2"/>
  <c r="AB10" i="2"/>
  <c r="AB5" i="2"/>
  <c r="AB9" i="2"/>
  <c r="AB4" i="2"/>
  <c r="AB8" i="2"/>
  <c r="AB3" i="2"/>
  <c r="AB2" i="2"/>
  <c r="AB1" i="2"/>
  <c r="AA15" i="2"/>
  <c r="AA14" i="2"/>
  <c r="AA13" i="2"/>
  <c r="AA12" i="2"/>
  <c r="AA7" i="2"/>
  <c r="AA11" i="2"/>
  <c r="AA6" i="2"/>
  <c r="AA10" i="2"/>
  <c r="AA5" i="2"/>
  <c r="AA9" i="2"/>
  <c r="AA4" i="2"/>
  <c r="AA8" i="2"/>
  <c r="AA3" i="2"/>
  <c r="AA2" i="2"/>
  <c r="AA1" i="2"/>
  <c r="Z15" i="2"/>
  <c r="Z14" i="2"/>
  <c r="Z13" i="2"/>
  <c r="Z12" i="2"/>
  <c r="Z7" i="2"/>
  <c r="Z11" i="2"/>
  <c r="Z6" i="2"/>
  <c r="Z10" i="2"/>
  <c r="Z5" i="2"/>
  <c r="Z9" i="2"/>
  <c r="Z4" i="2"/>
  <c r="Z8" i="2"/>
  <c r="Z3" i="2"/>
  <c r="Z2" i="2"/>
  <c r="Z1" i="2"/>
  <c r="Y15" i="2"/>
  <c r="Y14" i="2"/>
  <c r="Y13" i="2"/>
  <c r="Y12" i="2"/>
  <c r="Y7" i="2"/>
  <c r="Y11" i="2"/>
  <c r="Y6" i="2"/>
  <c r="Y10" i="2"/>
  <c r="Y5" i="2"/>
  <c r="Y9" i="2"/>
  <c r="Y4" i="2"/>
  <c r="Y8" i="2"/>
  <c r="Y3" i="2"/>
  <c r="Y2" i="2"/>
  <c r="Y1" i="2"/>
  <c r="X15" i="2"/>
  <c r="X14" i="2"/>
  <c r="X13" i="2"/>
  <c r="X12" i="2"/>
  <c r="X7" i="2"/>
  <c r="X11" i="2"/>
  <c r="X6" i="2"/>
  <c r="X10" i="2"/>
  <c r="X5" i="2"/>
  <c r="X9" i="2"/>
  <c r="X4" i="2"/>
  <c r="X8" i="2"/>
  <c r="X3" i="2"/>
  <c r="X2" i="2"/>
  <c r="X1" i="2"/>
  <c r="W15" i="2"/>
  <c r="W14" i="2"/>
  <c r="W13" i="2"/>
  <c r="W12" i="2"/>
  <c r="W7" i="2"/>
  <c r="W11" i="2"/>
  <c r="W6" i="2"/>
  <c r="W10" i="2"/>
  <c r="W5" i="2"/>
  <c r="W9" i="2"/>
  <c r="W4" i="2"/>
  <c r="W8" i="2"/>
  <c r="W3" i="2"/>
  <c r="W2" i="2"/>
  <c r="W1" i="2"/>
  <c r="V15" i="2"/>
  <c r="V14" i="2"/>
  <c r="V13" i="2"/>
  <c r="V12" i="2"/>
  <c r="V7" i="2"/>
  <c r="V11" i="2"/>
  <c r="V6" i="2"/>
  <c r="V10" i="2"/>
  <c r="V5" i="2"/>
  <c r="V9" i="2"/>
  <c r="V4" i="2"/>
  <c r="V8" i="2"/>
  <c r="V3" i="2"/>
  <c r="V2" i="2"/>
  <c r="V1" i="2"/>
  <c r="U15" i="2"/>
  <c r="U14" i="2"/>
  <c r="U13" i="2"/>
  <c r="U12" i="2"/>
  <c r="U7" i="2"/>
  <c r="U11" i="2"/>
  <c r="U6" i="2"/>
  <c r="U10" i="2"/>
  <c r="U5" i="2"/>
  <c r="U9" i="2"/>
  <c r="U4" i="2"/>
  <c r="U8" i="2"/>
  <c r="U3" i="2"/>
  <c r="U2" i="2"/>
  <c r="U1" i="2"/>
  <c r="T15" i="2"/>
  <c r="T14" i="2"/>
  <c r="T13" i="2"/>
  <c r="T12" i="2"/>
  <c r="T7" i="2"/>
  <c r="T11" i="2"/>
  <c r="T6" i="2"/>
  <c r="T10" i="2"/>
  <c r="T5" i="2"/>
  <c r="T9" i="2"/>
  <c r="T4" i="2"/>
  <c r="T8" i="2"/>
  <c r="T3" i="2"/>
  <c r="T2" i="2"/>
  <c r="T1" i="2"/>
  <c r="S15" i="2"/>
  <c r="S14" i="2"/>
  <c r="S13" i="2"/>
  <c r="S12" i="2"/>
  <c r="S7" i="2"/>
  <c r="S11" i="2"/>
  <c r="S6" i="2"/>
  <c r="S10" i="2"/>
  <c r="S5" i="2"/>
  <c r="S9" i="2"/>
  <c r="S4" i="2"/>
  <c r="S8" i="2"/>
  <c r="S3" i="2"/>
  <c r="S2" i="2"/>
  <c r="S1" i="2"/>
  <c r="R15" i="2"/>
  <c r="R14" i="2"/>
  <c r="R13" i="2"/>
  <c r="R12" i="2"/>
  <c r="R7" i="2"/>
  <c r="R11" i="2"/>
  <c r="R6" i="2"/>
  <c r="R10" i="2"/>
  <c r="R5" i="2"/>
  <c r="R9" i="2"/>
  <c r="R4" i="2"/>
  <c r="R8" i="2"/>
  <c r="R3" i="2"/>
  <c r="R2" i="2"/>
  <c r="R1" i="2"/>
  <c r="Q15" i="2"/>
  <c r="Q14" i="2"/>
  <c r="Q13" i="2"/>
  <c r="Q12" i="2"/>
  <c r="Q7" i="2"/>
  <c r="Q11" i="2"/>
  <c r="Q6" i="2"/>
  <c r="Q10" i="2"/>
  <c r="Q5" i="2"/>
  <c r="Q9" i="2"/>
  <c r="Q4" i="2"/>
  <c r="Q8" i="2"/>
  <c r="Q3" i="2"/>
  <c r="Q2" i="2"/>
  <c r="Q1" i="2"/>
  <c r="P15" i="2"/>
  <c r="P14" i="2"/>
  <c r="P13" i="2"/>
  <c r="P12" i="2"/>
  <c r="P7" i="2"/>
  <c r="P11" i="2"/>
  <c r="P6" i="2"/>
  <c r="P10" i="2"/>
  <c r="P5" i="2"/>
  <c r="P9" i="2"/>
  <c r="P4" i="2"/>
  <c r="P8" i="2"/>
  <c r="P3" i="2"/>
  <c r="P2" i="2"/>
  <c r="P1" i="2"/>
  <c r="O15" i="2"/>
  <c r="O14" i="2"/>
  <c r="O13" i="2"/>
  <c r="O12" i="2"/>
  <c r="O7" i="2"/>
  <c r="O11" i="2"/>
  <c r="O6" i="2"/>
  <c r="O10" i="2"/>
  <c r="O5" i="2"/>
  <c r="O9" i="2"/>
  <c r="O4" i="2"/>
  <c r="O8" i="2"/>
  <c r="O3" i="2"/>
  <c r="O2" i="2"/>
  <c r="O1" i="2"/>
  <c r="N15" i="2"/>
  <c r="N14" i="2"/>
  <c r="N13" i="2"/>
  <c r="N12" i="2"/>
  <c r="N7" i="2"/>
  <c r="N11" i="2"/>
  <c r="N6" i="2"/>
  <c r="N10" i="2"/>
  <c r="N5" i="2"/>
  <c r="N9" i="2"/>
  <c r="N4" i="2"/>
  <c r="N8" i="2"/>
  <c r="N3" i="2"/>
  <c r="N2" i="2"/>
  <c r="N1" i="2"/>
  <c r="M15" i="2"/>
  <c r="M14" i="2"/>
  <c r="M13" i="2"/>
  <c r="M12" i="2"/>
  <c r="M7" i="2"/>
  <c r="M11" i="2"/>
  <c r="M6" i="2"/>
  <c r="M10" i="2"/>
  <c r="M5" i="2"/>
  <c r="M9" i="2"/>
  <c r="M4" i="2"/>
  <c r="M8" i="2"/>
  <c r="M3" i="2"/>
  <c r="M2" i="2"/>
  <c r="M1" i="2"/>
  <c r="L15" i="2"/>
  <c r="L14" i="2"/>
  <c r="L13" i="2"/>
  <c r="L12" i="2"/>
  <c r="L7" i="2"/>
  <c r="L11" i="2"/>
  <c r="L6" i="2"/>
  <c r="L10" i="2"/>
  <c r="L5" i="2"/>
  <c r="L9" i="2"/>
  <c r="L4" i="2"/>
  <c r="L8" i="2"/>
  <c r="L3" i="2"/>
  <c r="L2" i="2"/>
  <c r="L1" i="2"/>
  <c r="K15" i="2"/>
  <c r="K14" i="2"/>
  <c r="K13" i="2"/>
  <c r="K12" i="2"/>
  <c r="K7" i="2"/>
  <c r="K11" i="2"/>
  <c r="K6" i="2"/>
  <c r="K10" i="2"/>
  <c r="K5" i="2"/>
  <c r="K9" i="2"/>
  <c r="K4" i="2"/>
  <c r="K8" i="2"/>
  <c r="K3" i="2"/>
  <c r="K2" i="2"/>
  <c r="K1" i="2"/>
  <c r="J15" i="2"/>
  <c r="J14" i="2"/>
  <c r="J13" i="2"/>
  <c r="J12" i="2"/>
  <c r="J7" i="2"/>
  <c r="J11" i="2"/>
  <c r="J6" i="2"/>
  <c r="J10" i="2"/>
  <c r="J5" i="2"/>
  <c r="J9" i="2"/>
  <c r="J4" i="2"/>
  <c r="J8" i="2"/>
  <c r="J3" i="2"/>
  <c r="J2" i="2"/>
  <c r="J1" i="2"/>
  <c r="I15" i="2"/>
  <c r="I14" i="2"/>
  <c r="I13" i="2"/>
  <c r="I12" i="2"/>
  <c r="I7" i="2"/>
  <c r="I11" i="2"/>
  <c r="I6" i="2"/>
  <c r="I10" i="2"/>
  <c r="I5" i="2"/>
  <c r="I9" i="2"/>
  <c r="I4" i="2"/>
  <c r="I8" i="2"/>
  <c r="I3" i="2"/>
  <c r="I2" i="2"/>
  <c r="I1" i="2"/>
  <c r="H15" i="2"/>
  <c r="H14" i="2"/>
  <c r="H13" i="2"/>
  <c r="H12" i="2"/>
  <c r="H7" i="2"/>
  <c r="H11" i="2"/>
  <c r="H6" i="2"/>
  <c r="H10" i="2"/>
  <c r="H5" i="2"/>
  <c r="H9" i="2"/>
  <c r="H4" i="2"/>
  <c r="H8" i="2"/>
  <c r="H3" i="2"/>
  <c r="H2" i="2"/>
  <c r="H1" i="2"/>
  <c r="G15" i="2"/>
  <c r="G14" i="2"/>
  <c r="G13" i="2"/>
  <c r="G12" i="2"/>
  <c r="G7" i="2"/>
  <c r="G11" i="2"/>
  <c r="G6" i="2"/>
  <c r="G10" i="2"/>
  <c r="G5" i="2"/>
  <c r="G9" i="2"/>
  <c r="G4" i="2"/>
  <c r="G8" i="2"/>
  <c r="G3" i="2"/>
  <c r="G2" i="2"/>
  <c r="G1" i="2"/>
  <c r="F15" i="2"/>
  <c r="F14" i="2"/>
  <c r="F13" i="2"/>
  <c r="F12" i="2"/>
  <c r="F7" i="2"/>
  <c r="F11" i="2"/>
  <c r="F6" i="2"/>
  <c r="F10" i="2"/>
  <c r="F5" i="2"/>
  <c r="F9" i="2"/>
  <c r="F4" i="2"/>
  <c r="F8" i="2"/>
  <c r="F3" i="2"/>
  <c r="F2" i="2"/>
  <c r="F1" i="2"/>
  <c r="E15" i="2"/>
  <c r="E14" i="2"/>
  <c r="E13" i="2"/>
  <c r="E12" i="2"/>
  <c r="E7" i="2"/>
  <c r="E11" i="2"/>
  <c r="E6" i="2"/>
  <c r="E10" i="2"/>
  <c r="E5" i="2"/>
  <c r="E9" i="2"/>
  <c r="E4" i="2"/>
  <c r="E8" i="2"/>
  <c r="E3" i="2"/>
  <c r="E2" i="2"/>
  <c r="E1" i="2"/>
  <c r="D15" i="2"/>
  <c r="D14" i="2"/>
  <c r="D13" i="2"/>
  <c r="D12" i="2"/>
  <c r="D7" i="2"/>
  <c r="D11" i="2"/>
  <c r="D6" i="2"/>
  <c r="D10" i="2"/>
  <c r="D5" i="2"/>
  <c r="D9" i="2"/>
  <c r="D4" i="2"/>
  <c r="D8" i="2"/>
  <c r="D3" i="2"/>
  <c r="D2" i="2"/>
  <c r="D1" i="2"/>
  <c r="C15" i="2"/>
  <c r="C14" i="2"/>
  <c r="C13" i="2"/>
  <c r="C12" i="2"/>
  <c r="C7" i="2"/>
  <c r="C11" i="2"/>
  <c r="C6" i="2"/>
  <c r="C10" i="2"/>
  <c r="C5" i="2"/>
  <c r="C9" i="2"/>
  <c r="C4" i="2"/>
  <c r="C8" i="2"/>
  <c r="C3" i="2"/>
  <c r="C2" i="2"/>
  <c r="C1" i="2"/>
  <c r="B15" i="2"/>
  <c r="B14" i="2"/>
  <c r="B13" i="2"/>
  <c r="B12" i="2"/>
  <c r="B7" i="2"/>
  <c r="B11" i="2"/>
  <c r="B6" i="2"/>
  <c r="B10" i="2"/>
  <c r="B5" i="2"/>
  <c r="B9" i="2"/>
  <c r="B4" i="2"/>
  <c r="B8" i="2"/>
  <c r="B3" i="2"/>
  <c r="B2" i="2"/>
  <c r="B1" i="2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B7" i="4"/>
  <c r="H3" i="1" l="1"/>
  <c r="E3" i="1"/>
  <c r="B3" i="1"/>
  <c r="B4" i="1"/>
</calcChain>
</file>

<file path=xl/sharedStrings.xml><?xml version="1.0" encoding="utf-8"?>
<sst xmlns="http://schemas.openxmlformats.org/spreadsheetml/2006/main" count="772" uniqueCount="61">
  <si>
    <t>动作要素工时与员工负荷表模板</t>
  </si>
  <si>
    <t>用途</t>
  </si>
  <si>
    <t>用于录入单个工序下的多个动作要素测量时间，自动计算动作平均ST、工序总ST、宽放ST，并生成动作堆叠山积图和员工负荷表。</t>
  </si>
  <si>
    <t>容量</t>
  </si>
  <si>
    <t>无宏稳定模板，预置 140 个工序，每个工序 5 行动作要素，共 700 行。</t>
  </si>
  <si>
    <t>动作序号</t>
  </si>
  <si>
    <t>动作序号按 ST1、ST2、ST3、ST4、ST5 填充，表示一个工序内的五个动作段。</t>
  </si>
  <si>
    <t>山积分析</t>
  </si>
  <si>
    <t>山积图柱形展示真实动作平均ST堆叠，并显示每段时间标签；TT基准用折线显示。</t>
  </si>
  <si>
    <t>员工负荷表</t>
  </si>
  <si>
    <t>横向自动抓取工序号、工序名称、动作名称、动作时间、总工时、目标节拍和实际节拍。</t>
  </si>
  <si>
    <t>参数设置</t>
  </si>
  <si>
    <t>参数</t>
  </si>
  <si>
    <t>数值</t>
  </si>
  <si>
    <t>说明</t>
  </si>
  <si>
    <t>计划单班产量(pcs/班)</t>
  </si>
  <si>
    <t>由用户自行填写，用于计算目标节拍 TT</t>
  </si>
  <si>
    <t>班次工时(h/班)</t>
  </si>
  <si>
    <t>单班可用工时</t>
  </si>
  <si>
    <t>稼动率</t>
  </si>
  <si>
    <t>有效生产时间比例</t>
  </si>
  <si>
    <t>宽放率</t>
  </si>
  <si>
    <t>用于补充计算宽放ST，不参与山积图柱形</t>
  </si>
  <si>
    <t>目标节拍TT(s)</t>
  </si>
  <si>
    <t>单班可用秒数除以计划单班产量</t>
  </si>
  <si>
    <t>动作要素测量</t>
  </si>
  <si>
    <t>工序号</t>
  </si>
  <si>
    <t>工序名称</t>
  </si>
  <si>
    <t>动作单元描述</t>
  </si>
  <si>
    <t>ST1</t>
  </si>
  <si>
    <t>ST2</t>
  </si>
  <si>
    <t>ST3</t>
  </si>
  <si>
    <t>ST4</t>
  </si>
  <si>
    <t>ST5</t>
  </si>
  <si>
    <t>平均ST</t>
  </si>
  <si>
    <t>工序总ST</t>
  </si>
  <si>
    <t>宽放ST</t>
  </si>
  <si>
    <t>TT基准</t>
  </si>
  <si>
    <t>状态</t>
  </si>
  <si>
    <t>备注</t>
  </si>
  <si>
    <t>工序序号</t>
  </si>
  <si>
    <t>ST1动作</t>
  </si>
  <si>
    <t>ST2动作</t>
  </si>
  <si>
    <t>ST3动作</t>
  </si>
  <si>
    <t>ST4动作</t>
  </si>
  <si>
    <t>ST5动作</t>
  </si>
  <si>
    <t>ST1时间</t>
  </si>
  <si>
    <t>ST2时间</t>
  </si>
  <si>
    <t>ST3时间</t>
  </si>
  <si>
    <t>ST4时间</t>
  </si>
  <si>
    <t>ST5时间</t>
  </si>
  <si>
    <t>总工时</t>
  </si>
  <si>
    <t>目标节拍</t>
  </si>
  <si>
    <t>实际节拍</t>
  </si>
  <si>
    <t>动作要素堆叠山积图</t>
  </si>
  <si>
    <t>线平衡率</t>
  </si>
  <si>
    <t>最大工序ST</t>
  </si>
  <si>
    <t>超过TT工序数</t>
  </si>
  <si>
    <t>平均工序ST</t>
  </si>
  <si>
    <t>柱形=ST1到ST5平均ST堆叠；折线=TT基准。</t>
  </si>
  <si>
    <t>工序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</si>
</sst>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"/>
  </numFmts>
  <fonts count="7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FFFF"/>
      <name val="等线"/>
      <family val="3"/>
      <charset val="134"/>
      <scheme val="minor"/>
    </font>
    <font>
      <sz val="11"/>
      <color rgb="FFFFFFFF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/>
    </xf>
    <xf numFmtId="2" fontId="0" fillId="0" borderId="0" xfId="0" applyNumberFormat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2" fontId="0" fillId="0" borderId="1" xfId="0" applyNumberFormat="1" applyBorder="1">
      <alignment vertical="center"/>
    </xf>
    <xf numFmtId="0" fontId="1" fillId="2" borderId="1" xfId="0" applyFont="1" applyFill="1" applyBorder="1">
      <alignment vertical="center"/>
    </xf>
    <xf numFmtId="1" fontId="0" fillId="0" borderId="0" xfId="0" applyNumberFormat="1">
      <alignment vertical="center"/>
    </xf>
    <xf numFmtId="0" fontId="0" fillId="0" borderId="1" xfId="0" applyBorder="1" applyAlignment="1">
      <alignment vertical="center" textRotation="255" wrapText="1"/>
    </xf>
    <xf numFmtId="177" fontId="0" fillId="0" borderId="1" xfId="0" applyNumberFormat="1" applyBorder="1">
      <alignment vertical="center"/>
    </xf>
    <xf numFmtId="0" fontId="1" fillId="3" borderId="1" xfId="0" applyFont="1" applyFill="1" applyBorder="1">
      <alignment vertical="center"/>
    </xf>
    <xf numFmtId="177" fontId="0" fillId="3" borderId="1" xfId="0" applyNumberFormat="1" applyFill="1" applyBorder="1">
      <alignment vertical="center"/>
    </xf>
    <xf numFmtId="0" fontId="5" fillId="4" borderId="1" xfId="0" applyFont="1" applyFill="1" applyBorder="1">
      <alignment vertical="center"/>
    </xf>
    <xf numFmtId="177" fontId="6" fillId="4" borderId="1" xfId="0" applyNumberFormat="1" applyFont="1" applyFill="1" applyBorder="1">
      <alignment vertical="center"/>
    </xf>
    <xf numFmtId="0" fontId="5" fillId="5" borderId="1" xfId="0" applyFont="1" applyFill="1" applyBorder="1">
      <alignment vertical="center"/>
    </xf>
    <xf numFmtId="177" fontId="6" fillId="5" borderId="1" xfId="0" applyNumberFormat="1" applyFont="1" applyFill="1" applyBorder="1">
      <alignment vertical="center"/>
    </xf>
  </cellXfs>
  <cellStyles count="1">
    <cellStyle name="常规" xfId="0" builtinId="0"/>
  </cellStyles>
  <dxfs count="8">
    <dxf>
      <font>
        <color rgb="FFFFC000"/>
      </font>
      <fill>
        <patternFill>
          <bgColor rgb="FFFFFF99"/>
        </patternFill>
      </fill>
    </dxf>
    <dxf>
      <font>
        <color rgb="FFC00000"/>
      </font>
      <fill>
        <patternFill>
          <bgColor rgb="FFFFCCCC"/>
        </patternFill>
      </fill>
    </dxf>
    <dxf>
      <font>
        <b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员工负荷堆叠图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ST1</c:v>
          </c:tx>
          <c:spPr>
            <a:solidFill>
              <a:srgbClr val="1F4E79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员工负荷表!$B$1:$EK$1</c:f>
              <c:numCache>
                <c:formatCode>General</c:formatCode>
                <c:ptCount val="1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</c:numCache>
            </c:numRef>
          </c:cat>
          <c:val>
            <c:numRef>
              <c:f>员工负荷表!$B$8:$EK$8</c:f>
              <c:numCache>
                <c:formatCode>0.0</c:formatCode>
                <c:ptCount val="1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18-4097-A8F5-42FC3FC35CD7}"/>
            </c:ext>
          </c:extLst>
        </c:ser>
        <c:ser>
          <c:idx val="1"/>
          <c:order val="1"/>
          <c:tx>
            <c:v>ST2</c:v>
          </c:tx>
          <c:spPr>
            <a:solidFill>
              <a:srgbClr val="C0000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员工负荷表!$B$1:$EK$1</c:f>
              <c:numCache>
                <c:formatCode>General</c:formatCode>
                <c:ptCount val="1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</c:numCache>
            </c:numRef>
          </c:cat>
          <c:val>
            <c:numRef>
              <c:f>员工负荷表!$B$9:$EK$9</c:f>
              <c:numCache>
                <c:formatCode>0.0</c:formatCode>
                <c:ptCount val="1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18-4097-A8F5-42FC3FC35CD7}"/>
            </c:ext>
          </c:extLst>
        </c:ser>
        <c:ser>
          <c:idx val="2"/>
          <c:order val="2"/>
          <c:tx>
            <c:v>ST3</c:v>
          </c:tx>
          <c:spPr>
            <a:solidFill>
              <a:srgbClr val="508845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员工负荷表!$B$1:$EK$1</c:f>
              <c:numCache>
                <c:formatCode>General</c:formatCode>
                <c:ptCount val="1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</c:numCache>
            </c:numRef>
          </c:cat>
          <c:val>
            <c:numRef>
              <c:f>员工负荷表!$B$10:$EK$10</c:f>
              <c:numCache>
                <c:formatCode>0.0</c:formatCode>
                <c:ptCount val="1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18-4097-A8F5-42FC3FC35CD7}"/>
            </c:ext>
          </c:extLst>
        </c:ser>
        <c:ser>
          <c:idx val="3"/>
          <c:order val="3"/>
          <c:tx>
            <c:v>ST4</c:v>
          </c:tx>
          <c:spPr>
            <a:solidFill>
              <a:srgbClr val="7030A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员工负荷表!$B$1:$EK$1</c:f>
              <c:numCache>
                <c:formatCode>General</c:formatCode>
                <c:ptCount val="1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</c:numCache>
            </c:numRef>
          </c:cat>
          <c:val>
            <c:numRef>
              <c:f>员工负荷表!$B$11:$EK$11</c:f>
              <c:numCache>
                <c:formatCode>0.0</c:formatCode>
                <c:ptCount val="1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618-4097-A8F5-42FC3FC35CD7}"/>
            </c:ext>
          </c:extLst>
        </c:ser>
        <c:ser>
          <c:idx val="4"/>
          <c:order val="4"/>
          <c:tx>
            <c:v>ST5</c:v>
          </c:tx>
          <c:spPr>
            <a:solidFill>
              <a:srgbClr val="ED7D31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员工负荷表!$B$1:$EK$1</c:f>
              <c:numCache>
                <c:formatCode>General</c:formatCode>
                <c:ptCount val="1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</c:numCache>
            </c:numRef>
          </c:cat>
          <c:val>
            <c:numRef>
              <c:f>员工负荷表!$B$12:$EK$12</c:f>
              <c:numCache>
                <c:formatCode>0.0</c:formatCode>
                <c:ptCount val="1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618-4097-A8F5-42FC3FC35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100"/>
        <c:axId val="875916735"/>
        <c:axId val="875922495"/>
      </c:barChart>
      <c:lineChart>
        <c:grouping val="standard"/>
        <c:varyColors val="0"/>
        <c:ser>
          <c:idx val="5"/>
          <c:order val="5"/>
          <c:tx>
            <c:v>目标节拍</c:v>
          </c:tx>
          <c:spPr>
            <a:ln w="28575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员工负荷表!$B$1:$EK$1</c:f>
              <c:numCache>
                <c:formatCode>General</c:formatCode>
                <c:ptCount val="1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</c:numCache>
            </c:numRef>
          </c:cat>
          <c:val>
            <c:numRef>
              <c:f>员工负荷表!$B$14:$EK$14</c:f>
              <c:numCache>
                <c:formatCode>0.0</c:formatCode>
                <c:ptCount val="1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618-4097-A8F5-42FC3FC35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5916735"/>
        <c:axId val="875922495"/>
      </c:lineChart>
      <c:catAx>
        <c:axId val="8759167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75922495"/>
        <c:crosses val="autoZero"/>
        <c:auto val="1"/>
        <c:lblAlgn val="ctr"/>
        <c:lblOffset val="100"/>
        <c:noMultiLvlLbl val="0"/>
      </c:catAx>
      <c:valAx>
        <c:axId val="87592249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ST(s)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875916735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工序动作要素堆叠山积图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ST1</c:v>
          </c:tx>
          <c:spPr>
            <a:solidFill>
              <a:srgbClr val="1F4E79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>
                    <a:solidFill>
                      <a:srgbClr val="FFFFFF"/>
                    </a:solidFill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山积分析!$I$3:$I$142</c:f>
              <c:numCache>
                <c:formatCode>General</c:formatCode>
                <c:ptCount val="1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</c:numCache>
            </c:numRef>
          </c:cat>
          <c:val>
            <c:numRef>
              <c:f>山积分析!$J$3:$J$142</c:f>
              <c:numCache>
                <c:formatCode>0.00</c:formatCode>
                <c:ptCount val="1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20-417A-A772-0BC94988674F}"/>
            </c:ext>
          </c:extLst>
        </c:ser>
        <c:ser>
          <c:idx val="1"/>
          <c:order val="1"/>
          <c:tx>
            <c:v>ST2</c:v>
          </c:tx>
          <c:spPr>
            <a:solidFill>
              <a:srgbClr val="C0000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>
                    <a:solidFill>
                      <a:srgbClr val="FFFFFF"/>
                    </a:solidFill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山积分析!$I$3:$I$142</c:f>
              <c:numCache>
                <c:formatCode>General</c:formatCode>
                <c:ptCount val="1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</c:numCache>
            </c:numRef>
          </c:cat>
          <c:val>
            <c:numRef>
              <c:f>山积分析!$K$3:$K$142</c:f>
              <c:numCache>
                <c:formatCode>0.00</c:formatCode>
                <c:ptCount val="1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20-417A-A772-0BC94988674F}"/>
            </c:ext>
          </c:extLst>
        </c:ser>
        <c:ser>
          <c:idx val="2"/>
          <c:order val="2"/>
          <c:tx>
            <c:v>ST3</c:v>
          </c:tx>
          <c:spPr>
            <a:solidFill>
              <a:srgbClr val="508845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>
                    <a:solidFill>
                      <a:srgbClr val="FFFFFF"/>
                    </a:solidFill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山积分析!$I$3:$I$142</c:f>
              <c:numCache>
                <c:formatCode>General</c:formatCode>
                <c:ptCount val="1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</c:numCache>
            </c:numRef>
          </c:cat>
          <c:val>
            <c:numRef>
              <c:f>山积分析!$L$3:$L$142</c:f>
              <c:numCache>
                <c:formatCode>0.00</c:formatCode>
                <c:ptCount val="1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20-417A-A772-0BC94988674F}"/>
            </c:ext>
          </c:extLst>
        </c:ser>
        <c:ser>
          <c:idx val="3"/>
          <c:order val="3"/>
          <c:tx>
            <c:v>ST4</c:v>
          </c:tx>
          <c:spPr>
            <a:solidFill>
              <a:srgbClr val="7030A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>
                    <a:solidFill>
                      <a:srgbClr val="FFFFFF"/>
                    </a:solidFill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山积分析!$I$3:$I$142</c:f>
              <c:numCache>
                <c:formatCode>General</c:formatCode>
                <c:ptCount val="1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</c:numCache>
            </c:numRef>
          </c:cat>
          <c:val>
            <c:numRef>
              <c:f>山积分析!$M$3:$M$142</c:f>
              <c:numCache>
                <c:formatCode>0.00</c:formatCode>
                <c:ptCount val="1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20-417A-A772-0BC94988674F}"/>
            </c:ext>
          </c:extLst>
        </c:ser>
        <c:ser>
          <c:idx val="4"/>
          <c:order val="4"/>
          <c:tx>
            <c:v>ST5</c:v>
          </c:tx>
          <c:spPr>
            <a:solidFill>
              <a:srgbClr val="ED7D31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>
                    <a:solidFill>
                      <a:srgbClr val="FFFFFF"/>
                    </a:solidFill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山积分析!$I$3:$I$142</c:f>
              <c:numCache>
                <c:formatCode>General</c:formatCode>
                <c:ptCount val="1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</c:numCache>
            </c:numRef>
          </c:cat>
          <c:val>
            <c:numRef>
              <c:f>山积分析!$N$3:$N$142</c:f>
              <c:numCache>
                <c:formatCode>0.00</c:formatCode>
                <c:ptCount val="1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D20-417A-A772-0BC949886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100"/>
        <c:axId val="875918175"/>
        <c:axId val="875924895"/>
      </c:barChart>
      <c:lineChart>
        <c:grouping val="standard"/>
        <c:varyColors val="0"/>
        <c:ser>
          <c:idx val="5"/>
          <c:order val="5"/>
          <c:tx>
            <c:v>TT基准</c:v>
          </c:tx>
          <c:spPr>
            <a:ln w="28575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山积分析!$I$3:$I$142</c:f>
              <c:numCache>
                <c:formatCode>General</c:formatCode>
                <c:ptCount val="1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</c:numCache>
            </c:numRef>
          </c:cat>
          <c:val>
            <c:numRef>
              <c:f>山积分析!$P$3:$P$142</c:f>
              <c:numCache>
                <c:formatCode>0.00</c:formatCode>
                <c:ptCount val="1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20-417A-A772-0BC949886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5918175"/>
        <c:axId val="875924895"/>
      </c:lineChart>
      <c:catAx>
        <c:axId val="8759181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75924895"/>
        <c:crosses val="autoZero"/>
        <c:auto val="1"/>
        <c:lblAlgn val="ctr"/>
        <c:lblOffset val="100"/>
        <c:noMultiLvlLbl val="0"/>
      </c:catAx>
      <c:valAx>
        <c:axId val="87592489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ST(s)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875918175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317500</xdr:colOff>
      <xdr:row>6</xdr:row>
      <xdr:rowOff>91440</xdr:rowOff>
    </xdr:from>
    <xdr:to>
      <xdr:col>29</xdr:col>
      <xdr:colOff>381000</xdr:colOff>
      <xdr:row>33</xdr:row>
      <xdr:rowOff>83820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78BC618-FE95-2CB7-3386-45F6A43C99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317500</xdr:colOff>
      <xdr:row>8</xdr:row>
      <xdr:rowOff>38100</xdr:rowOff>
    </xdr:from>
    <xdr:to>
      <xdr:col>17</xdr:col>
      <xdr:colOff>10160</xdr:colOff>
      <xdr:row>44</xdr:row>
      <xdr:rowOff>78740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362CC5A-9694-8749-770C-B5F71444EA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299C44-E2BC-4D94-8F12-28D49E953685}" name="tblActionElements" displayName="tblActionElements" ref="A2:O702" totalsRowShown="0" headerRowDxfId="2">
  <autoFilter ref="A2:O702" xr:uid="{39299C44-E2BC-4D94-8F12-28D49E953685}"/>
  <tableColumns count="15">
    <tableColumn id="1" xr3:uid="{3D27E269-A9E5-4798-938E-9AFC1AA1580B}" name="工序号"/>
    <tableColumn id="2" xr3:uid="{4A244FF2-AC8C-45D2-BE9A-37EA39FD024C}" name="工序名称"/>
    <tableColumn id="3" xr3:uid="{89589B4D-F95F-4316-BC4A-D8E07B414B48}" name="动作序号"/>
    <tableColumn id="4" xr3:uid="{A87F907D-0ACC-4D82-9963-6DB9BDAE6E29}" name="动作单元描述"/>
    <tableColumn id="5" xr3:uid="{00B0AA41-4A04-4FA9-B88C-6D5702CC8022}" name="ST1"/>
    <tableColumn id="6" xr3:uid="{C6E20273-1842-45B1-B147-3808CB08A287}" name="ST2"/>
    <tableColumn id="7" xr3:uid="{EC883B90-50D5-454A-8EC0-3362993907DC}" name="ST3"/>
    <tableColumn id="8" xr3:uid="{B3E81D8D-B815-4748-988E-23DBA949CE46}" name="ST4"/>
    <tableColumn id="9" xr3:uid="{5D14D999-DE29-417C-9678-E0B22F1D4E17}" name="ST5"/>
    <tableColumn id="10" xr3:uid="{82364827-2984-4164-832D-B6327EDCAA77}" name="平均ST" dataDxfId="7">
      <calculatedColumnFormula>IF(COUNT(E3:I3)=0,"",AVERAGE(E3:I3))</calculatedColumnFormula>
    </tableColumn>
    <tableColumn id="11" xr3:uid="{859427E9-16F6-42B9-AA8D-700CE15030C8}" name="工序总ST" dataDxfId="6">
      <calculatedColumnFormula>IF(C3&lt;&gt;"ST1","",IF(COUNTIFS($A:$A,A3,$J:$J,"&lt;&gt;")=0,"",SUMIFS($J:$J,$A:$A,A3)))</calculatedColumnFormula>
    </tableColumn>
    <tableColumn id="12" xr3:uid="{4DD2B8D3-D50D-4FF5-AB6D-312240DA6D86}" name="宽放ST" dataDxfId="5">
      <calculatedColumnFormula>IF(C3&lt;&gt;"ST1","",IF(K3="","",K3*(1+参数设置!$B$6)))</calculatedColumnFormula>
    </tableColumn>
    <tableColumn id="13" xr3:uid="{9BBD5097-3168-48B2-BE8F-BDC2E9527D09}" name="TT基准" dataDxfId="4">
      <calculatedColumnFormula>IF(A3="","",参数设置!$B$7)</calculatedColumnFormula>
    </tableColumn>
    <tableColumn id="14" xr3:uid="{7C45B4C3-F3C5-4A1D-A199-43C2CFE811D3}" name="状态" dataDxfId="3">
      <calculatedColumnFormula>IF(K3="","",IF(M3="","",IF(K3&gt;M3,"超节拍",IF(K3&gt;=M3*0.9,"接近上限","正常"))))</calculatedColumnFormula>
    </tableColumn>
    <tableColumn id="15" xr3:uid="{CE9577E3-21CD-4B36-9BB8-45FCCCFB74EB}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83993-F657-4272-8413-2846F8F8F8D8}">
  <dimension ref="A1:H7"/>
  <sheetViews>
    <sheetView workbookViewId="0"/>
  </sheetViews>
  <sheetFormatPr defaultRowHeight="13.8" x14ac:dyDescent="0.25"/>
  <cols>
    <col min="1" max="1" width="18.77734375" customWidth="1"/>
    <col min="2" max="2" width="95.77734375" customWidth="1"/>
  </cols>
  <sheetData>
    <row r="1" spans="1:8" ht="22.8" x14ac:dyDescent="0.25">
      <c r="A1" s="1" t="s">
        <v>0</v>
      </c>
      <c r="B1" s="2"/>
      <c r="C1" s="2"/>
      <c r="D1" s="2"/>
      <c r="E1" s="2"/>
      <c r="F1" s="2"/>
      <c r="G1" s="2"/>
      <c r="H1" s="2"/>
    </row>
    <row r="3" spans="1:8" ht="27.6" x14ac:dyDescent="0.25">
      <c r="A3" s="3" t="s">
        <v>1</v>
      </c>
      <c r="B3" s="4" t="s">
        <v>2</v>
      </c>
    </row>
    <row r="4" spans="1:8" x14ac:dyDescent="0.25">
      <c r="A4" s="3" t="s">
        <v>3</v>
      </c>
      <c r="B4" s="4" t="s">
        <v>4</v>
      </c>
    </row>
    <row r="5" spans="1:8" x14ac:dyDescent="0.25">
      <c r="A5" s="3" t="s">
        <v>5</v>
      </c>
      <c r="B5" s="4" t="s">
        <v>6</v>
      </c>
    </row>
    <row r="6" spans="1:8" x14ac:dyDescent="0.25">
      <c r="A6" s="3" t="s">
        <v>7</v>
      </c>
      <c r="B6" s="4" t="s">
        <v>8</v>
      </c>
    </row>
    <row r="7" spans="1:8" x14ac:dyDescent="0.25">
      <c r="A7" s="3" t="s">
        <v>9</v>
      </c>
      <c r="B7" s="4" t="s">
        <v>10</v>
      </c>
    </row>
  </sheetData>
  <mergeCells count="1">
    <mergeCell ref="A1:H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B7DF4-8514-4E17-A0AE-7C8796FE563C}">
  <dimension ref="A1:D7"/>
  <sheetViews>
    <sheetView workbookViewId="0"/>
  </sheetViews>
  <sheetFormatPr defaultRowHeight="13.8" x14ac:dyDescent="0.25"/>
  <cols>
    <col min="1" max="1" width="24.77734375" customWidth="1"/>
    <col min="2" max="2" width="16.77734375" customWidth="1"/>
    <col min="3" max="3" width="58.77734375" customWidth="1"/>
  </cols>
  <sheetData>
    <row r="1" spans="1:4" ht="20.399999999999999" x14ac:dyDescent="0.25">
      <c r="A1" s="5" t="s">
        <v>11</v>
      </c>
      <c r="B1" s="2"/>
      <c r="C1" s="2"/>
      <c r="D1" s="2"/>
    </row>
    <row r="2" spans="1:4" x14ac:dyDescent="0.25">
      <c r="A2" s="10" t="s">
        <v>12</v>
      </c>
      <c r="B2" s="10" t="s">
        <v>13</v>
      </c>
      <c r="C2" s="10" t="s">
        <v>14</v>
      </c>
    </row>
    <row r="3" spans="1:4" x14ac:dyDescent="0.25">
      <c r="A3" s="7" t="s">
        <v>15</v>
      </c>
      <c r="B3" s="7"/>
      <c r="C3" s="7" t="s">
        <v>16</v>
      </c>
    </row>
    <row r="4" spans="1:4" x14ac:dyDescent="0.25">
      <c r="A4" s="7" t="s">
        <v>17</v>
      </c>
      <c r="B4" s="7">
        <v>11</v>
      </c>
      <c r="C4" s="7" t="s">
        <v>18</v>
      </c>
    </row>
    <row r="5" spans="1:4" x14ac:dyDescent="0.25">
      <c r="A5" s="7" t="s">
        <v>19</v>
      </c>
      <c r="B5" s="8">
        <v>1</v>
      </c>
      <c r="C5" s="7" t="s">
        <v>20</v>
      </c>
    </row>
    <row r="6" spans="1:4" x14ac:dyDescent="0.25">
      <c r="A6" s="7" t="s">
        <v>21</v>
      </c>
      <c r="B6" s="8">
        <v>0.05</v>
      </c>
      <c r="C6" s="7" t="s">
        <v>22</v>
      </c>
    </row>
    <row r="7" spans="1:4" x14ac:dyDescent="0.25">
      <c r="A7" s="7" t="s">
        <v>23</v>
      </c>
      <c r="B7" s="9" t="str">
        <f>IFERROR(B4*3600*B5/B3,"")</f>
        <v/>
      </c>
      <c r="C7" s="7" t="s">
        <v>24</v>
      </c>
    </row>
  </sheetData>
  <mergeCells count="1">
    <mergeCell ref="A1:D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5649C-117E-4756-AA0F-30C24C8C64FD}">
  <dimension ref="A1:O702"/>
  <sheetViews>
    <sheetView workbookViewId="0">
      <pane ySplit="2" topLeftCell="A3" activePane="bottomLeft" state="frozen"/>
      <selection pane="bottomLeft" activeCell="A3" sqref="A3"/>
    </sheetView>
  </sheetViews>
  <sheetFormatPr defaultRowHeight="13.8" x14ac:dyDescent="0.25"/>
  <cols>
    <col min="1" max="1" width="10.77734375" customWidth="1"/>
    <col min="2" max="2" width="22.77734375" customWidth="1"/>
    <col min="3" max="3" width="10.77734375" customWidth="1"/>
    <col min="4" max="4" width="34.77734375" customWidth="1"/>
    <col min="5" max="9" width="9.77734375" customWidth="1"/>
    <col min="10" max="14" width="13.77734375" customWidth="1"/>
    <col min="15" max="15" width="22.77734375" customWidth="1"/>
  </cols>
  <sheetData>
    <row r="1" spans="1:15" ht="20.399999999999999" x14ac:dyDescent="0.25">
      <c r="A1" s="5" t="s">
        <v>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s="3" t="s">
        <v>26</v>
      </c>
      <c r="B2" s="3" t="s">
        <v>27</v>
      </c>
      <c r="C2" s="3" t="s">
        <v>5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35</v>
      </c>
      <c r="L2" s="3" t="s">
        <v>36</v>
      </c>
      <c r="M2" s="3" t="s">
        <v>37</v>
      </c>
      <c r="N2" s="3" t="s">
        <v>38</v>
      </c>
      <c r="O2" s="3" t="s">
        <v>39</v>
      </c>
    </row>
    <row r="3" spans="1:15" x14ac:dyDescent="0.25">
      <c r="A3">
        <v>1</v>
      </c>
      <c r="C3" t="s">
        <v>29</v>
      </c>
      <c r="J3" t="str">
        <f t="shared" ref="J3:J66" si="0">IF(COUNT(E3:I3)=0,"",AVERAGE(E3:I3))</f>
        <v/>
      </c>
      <c r="K3">
        <f t="shared" ref="K3:K66" si="1">IF(C3&lt;&gt;"ST1","",IF(COUNTIFS($A:$A,A3,$J:$J,"&lt;&gt;")=0,"",SUMIFS($J:$J,$A:$A,A3)))</f>
        <v>0</v>
      </c>
      <c r="L3">
        <f>IF(C3&lt;&gt;"ST1","",IF(K3="","",K3*(1+参数设置!$B$6)))</f>
        <v>0</v>
      </c>
      <c r="M3" t="str">
        <f>IF(A3="","",参数设置!$B$7)</f>
        <v/>
      </c>
      <c r="N3" t="str">
        <f t="shared" ref="N3:N66" si="2">IF(K3="","",IF(M3="","",IF(K3&gt;M3,"超节拍",IF(K3&gt;=M3*0.9,"接近上限","正常"))))</f>
        <v/>
      </c>
    </row>
    <row r="4" spans="1:15" x14ac:dyDescent="0.25">
      <c r="A4">
        <v>1</v>
      </c>
      <c r="C4" t="s">
        <v>30</v>
      </c>
      <c r="J4" t="str">
        <f t="shared" si="0"/>
        <v/>
      </c>
      <c r="K4" t="str">
        <f t="shared" si="1"/>
        <v/>
      </c>
      <c r="L4" t="str">
        <f>IF(C4&lt;&gt;"ST1","",IF(K4="","",K4*(1+参数设置!$B$6)))</f>
        <v/>
      </c>
      <c r="M4" t="str">
        <f>IF(A4="","",参数设置!$B$7)</f>
        <v/>
      </c>
      <c r="N4" t="str">
        <f t="shared" si="2"/>
        <v/>
      </c>
    </row>
    <row r="5" spans="1:15" x14ac:dyDescent="0.25">
      <c r="A5">
        <v>1</v>
      </c>
      <c r="C5" t="s">
        <v>31</v>
      </c>
      <c r="J5" t="str">
        <f t="shared" si="0"/>
        <v/>
      </c>
      <c r="K5" t="str">
        <f t="shared" si="1"/>
        <v/>
      </c>
      <c r="L5" t="str">
        <f>IF(C5&lt;&gt;"ST1","",IF(K5="","",K5*(1+参数设置!$B$6)))</f>
        <v/>
      </c>
      <c r="M5" t="str">
        <f>IF(A5="","",参数设置!$B$7)</f>
        <v/>
      </c>
      <c r="N5" t="str">
        <f t="shared" si="2"/>
        <v/>
      </c>
    </row>
    <row r="6" spans="1:15" x14ac:dyDescent="0.25">
      <c r="A6">
        <v>1</v>
      </c>
      <c r="C6" t="s">
        <v>32</v>
      </c>
      <c r="J6" t="str">
        <f t="shared" si="0"/>
        <v/>
      </c>
      <c r="K6" t="str">
        <f t="shared" si="1"/>
        <v/>
      </c>
      <c r="L6" t="str">
        <f>IF(C6&lt;&gt;"ST1","",IF(K6="","",K6*(1+参数设置!$B$6)))</f>
        <v/>
      </c>
      <c r="M6" t="str">
        <f>IF(A6="","",参数设置!$B$7)</f>
        <v/>
      </c>
      <c r="N6" t="str">
        <f t="shared" si="2"/>
        <v/>
      </c>
    </row>
    <row r="7" spans="1:15" x14ac:dyDescent="0.25">
      <c r="A7">
        <v>1</v>
      </c>
      <c r="C7" t="s">
        <v>33</v>
      </c>
      <c r="J7" t="str">
        <f t="shared" si="0"/>
        <v/>
      </c>
      <c r="K7" t="str">
        <f t="shared" si="1"/>
        <v/>
      </c>
      <c r="L7" t="str">
        <f>IF(C7&lt;&gt;"ST1","",IF(K7="","",K7*(1+参数设置!$B$6)))</f>
        <v/>
      </c>
      <c r="M7" t="str">
        <f>IF(A7="","",参数设置!$B$7)</f>
        <v/>
      </c>
      <c r="N7" t="str">
        <f t="shared" si="2"/>
        <v/>
      </c>
    </row>
    <row r="8" spans="1:15" x14ac:dyDescent="0.25">
      <c r="A8">
        <v>2</v>
      </c>
      <c r="C8" t="s">
        <v>29</v>
      </c>
      <c r="J8" t="str">
        <f t="shared" si="0"/>
        <v/>
      </c>
      <c r="K8">
        <f t="shared" si="1"/>
        <v>0</v>
      </c>
      <c r="L8">
        <f>IF(C8&lt;&gt;"ST1","",IF(K8="","",K8*(1+参数设置!$B$6)))</f>
        <v>0</v>
      </c>
      <c r="M8" t="str">
        <f>IF(A8="","",参数设置!$B$7)</f>
        <v/>
      </c>
      <c r="N8" t="str">
        <f t="shared" si="2"/>
        <v/>
      </c>
    </row>
    <row r="9" spans="1:15" x14ac:dyDescent="0.25">
      <c r="A9">
        <v>2</v>
      </c>
      <c r="C9" t="s">
        <v>30</v>
      </c>
      <c r="J9" t="str">
        <f t="shared" si="0"/>
        <v/>
      </c>
      <c r="K9" t="str">
        <f t="shared" si="1"/>
        <v/>
      </c>
      <c r="L9" t="str">
        <f>IF(C9&lt;&gt;"ST1","",IF(K9="","",K9*(1+参数设置!$B$6)))</f>
        <v/>
      </c>
      <c r="M9" t="str">
        <f>IF(A9="","",参数设置!$B$7)</f>
        <v/>
      </c>
      <c r="N9" t="str">
        <f t="shared" si="2"/>
        <v/>
      </c>
    </row>
    <row r="10" spans="1:15" x14ac:dyDescent="0.25">
      <c r="A10">
        <v>2</v>
      </c>
      <c r="C10" t="s">
        <v>31</v>
      </c>
      <c r="J10" t="str">
        <f t="shared" si="0"/>
        <v/>
      </c>
      <c r="K10" t="str">
        <f t="shared" si="1"/>
        <v/>
      </c>
      <c r="L10" t="str">
        <f>IF(C10&lt;&gt;"ST1","",IF(K10="","",K10*(1+参数设置!$B$6)))</f>
        <v/>
      </c>
      <c r="M10" t="str">
        <f>IF(A10="","",参数设置!$B$7)</f>
        <v/>
      </c>
      <c r="N10" t="str">
        <f t="shared" si="2"/>
        <v/>
      </c>
    </row>
    <row r="11" spans="1:15" x14ac:dyDescent="0.25">
      <c r="A11">
        <v>2</v>
      </c>
      <c r="C11" t="s">
        <v>32</v>
      </c>
      <c r="J11" t="str">
        <f t="shared" si="0"/>
        <v/>
      </c>
      <c r="K11" t="str">
        <f t="shared" si="1"/>
        <v/>
      </c>
      <c r="L11" t="str">
        <f>IF(C11&lt;&gt;"ST1","",IF(K11="","",K11*(1+参数设置!$B$6)))</f>
        <v/>
      </c>
      <c r="M11" t="str">
        <f>IF(A11="","",参数设置!$B$7)</f>
        <v/>
      </c>
      <c r="N11" t="str">
        <f t="shared" si="2"/>
        <v/>
      </c>
    </row>
    <row r="12" spans="1:15" x14ac:dyDescent="0.25">
      <c r="A12">
        <v>2</v>
      </c>
      <c r="C12" t="s">
        <v>33</v>
      </c>
      <c r="J12" t="str">
        <f t="shared" si="0"/>
        <v/>
      </c>
      <c r="K12" t="str">
        <f t="shared" si="1"/>
        <v/>
      </c>
      <c r="L12" t="str">
        <f>IF(C12&lt;&gt;"ST1","",IF(K12="","",K12*(1+参数设置!$B$6)))</f>
        <v/>
      </c>
      <c r="M12" t="str">
        <f>IF(A12="","",参数设置!$B$7)</f>
        <v/>
      </c>
      <c r="N12" t="str">
        <f t="shared" si="2"/>
        <v/>
      </c>
    </row>
    <row r="13" spans="1:15" x14ac:dyDescent="0.25">
      <c r="A13">
        <v>3</v>
      </c>
      <c r="C13" t="s">
        <v>29</v>
      </c>
      <c r="J13" t="str">
        <f t="shared" si="0"/>
        <v/>
      </c>
      <c r="K13">
        <f t="shared" si="1"/>
        <v>0</v>
      </c>
      <c r="L13">
        <f>IF(C13&lt;&gt;"ST1","",IF(K13="","",K13*(1+参数设置!$B$6)))</f>
        <v>0</v>
      </c>
      <c r="M13" t="str">
        <f>IF(A13="","",参数设置!$B$7)</f>
        <v/>
      </c>
      <c r="N13" t="str">
        <f t="shared" si="2"/>
        <v/>
      </c>
    </row>
    <row r="14" spans="1:15" x14ac:dyDescent="0.25">
      <c r="A14">
        <v>3</v>
      </c>
      <c r="C14" t="s">
        <v>30</v>
      </c>
      <c r="J14" t="str">
        <f t="shared" si="0"/>
        <v/>
      </c>
      <c r="K14" t="str">
        <f t="shared" si="1"/>
        <v/>
      </c>
      <c r="L14" t="str">
        <f>IF(C14&lt;&gt;"ST1","",IF(K14="","",K14*(1+参数设置!$B$6)))</f>
        <v/>
      </c>
      <c r="M14" t="str">
        <f>IF(A14="","",参数设置!$B$7)</f>
        <v/>
      </c>
      <c r="N14" t="str">
        <f t="shared" si="2"/>
        <v/>
      </c>
    </row>
    <row r="15" spans="1:15" x14ac:dyDescent="0.25">
      <c r="A15">
        <v>3</v>
      </c>
      <c r="C15" t="s">
        <v>31</v>
      </c>
      <c r="J15" t="str">
        <f t="shared" si="0"/>
        <v/>
      </c>
      <c r="K15" t="str">
        <f t="shared" si="1"/>
        <v/>
      </c>
      <c r="L15" t="str">
        <f>IF(C15&lt;&gt;"ST1","",IF(K15="","",K15*(1+参数设置!$B$6)))</f>
        <v/>
      </c>
      <c r="M15" t="str">
        <f>IF(A15="","",参数设置!$B$7)</f>
        <v/>
      </c>
      <c r="N15" t="str">
        <f t="shared" si="2"/>
        <v/>
      </c>
    </row>
    <row r="16" spans="1:15" x14ac:dyDescent="0.25">
      <c r="A16">
        <v>3</v>
      </c>
      <c r="C16" t="s">
        <v>32</v>
      </c>
      <c r="J16" t="str">
        <f t="shared" si="0"/>
        <v/>
      </c>
      <c r="K16" t="str">
        <f t="shared" si="1"/>
        <v/>
      </c>
      <c r="L16" t="str">
        <f>IF(C16&lt;&gt;"ST1","",IF(K16="","",K16*(1+参数设置!$B$6)))</f>
        <v/>
      </c>
      <c r="M16" t="str">
        <f>IF(A16="","",参数设置!$B$7)</f>
        <v/>
      </c>
      <c r="N16" t="str">
        <f t="shared" si="2"/>
        <v/>
      </c>
    </row>
    <row r="17" spans="1:14" x14ac:dyDescent="0.25">
      <c r="A17">
        <v>3</v>
      </c>
      <c r="C17" t="s">
        <v>33</v>
      </c>
      <c r="J17" t="str">
        <f t="shared" si="0"/>
        <v/>
      </c>
      <c r="K17" t="str">
        <f t="shared" si="1"/>
        <v/>
      </c>
      <c r="L17" t="str">
        <f>IF(C17&lt;&gt;"ST1","",IF(K17="","",K17*(1+参数设置!$B$6)))</f>
        <v/>
      </c>
      <c r="M17" t="str">
        <f>IF(A17="","",参数设置!$B$7)</f>
        <v/>
      </c>
      <c r="N17" t="str">
        <f t="shared" si="2"/>
        <v/>
      </c>
    </row>
    <row r="18" spans="1:14" x14ac:dyDescent="0.25">
      <c r="A18">
        <v>4</v>
      </c>
      <c r="C18" t="s">
        <v>29</v>
      </c>
      <c r="J18" t="str">
        <f t="shared" si="0"/>
        <v/>
      </c>
      <c r="K18">
        <f t="shared" si="1"/>
        <v>0</v>
      </c>
      <c r="L18">
        <f>IF(C18&lt;&gt;"ST1","",IF(K18="","",K18*(1+参数设置!$B$6)))</f>
        <v>0</v>
      </c>
      <c r="M18" t="str">
        <f>IF(A18="","",参数设置!$B$7)</f>
        <v/>
      </c>
      <c r="N18" t="str">
        <f t="shared" si="2"/>
        <v/>
      </c>
    </row>
    <row r="19" spans="1:14" x14ac:dyDescent="0.25">
      <c r="A19">
        <v>4</v>
      </c>
      <c r="C19" t="s">
        <v>30</v>
      </c>
      <c r="J19" t="str">
        <f t="shared" si="0"/>
        <v/>
      </c>
      <c r="K19" t="str">
        <f t="shared" si="1"/>
        <v/>
      </c>
      <c r="L19" t="str">
        <f>IF(C19&lt;&gt;"ST1","",IF(K19="","",K19*(1+参数设置!$B$6)))</f>
        <v/>
      </c>
      <c r="M19" t="str">
        <f>IF(A19="","",参数设置!$B$7)</f>
        <v/>
      </c>
      <c r="N19" t="str">
        <f t="shared" si="2"/>
        <v/>
      </c>
    </row>
    <row r="20" spans="1:14" x14ac:dyDescent="0.25">
      <c r="A20">
        <v>4</v>
      </c>
      <c r="C20" t="s">
        <v>31</v>
      </c>
      <c r="J20" t="str">
        <f t="shared" si="0"/>
        <v/>
      </c>
      <c r="K20" t="str">
        <f t="shared" si="1"/>
        <v/>
      </c>
      <c r="L20" t="str">
        <f>IF(C20&lt;&gt;"ST1","",IF(K20="","",K20*(1+参数设置!$B$6)))</f>
        <v/>
      </c>
      <c r="M20" t="str">
        <f>IF(A20="","",参数设置!$B$7)</f>
        <v/>
      </c>
      <c r="N20" t="str">
        <f t="shared" si="2"/>
        <v/>
      </c>
    </row>
    <row r="21" spans="1:14" x14ac:dyDescent="0.25">
      <c r="A21">
        <v>4</v>
      </c>
      <c r="C21" t="s">
        <v>32</v>
      </c>
      <c r="J21" t="str">
        <f t="shared" si="0"/>
        <v/>
      </c>
      <c r="K21" t="str">
        <f t="shared" si="1"/>
        <v/>
      </c>
      <c r="L21" t="str">
        <f>IF(C21&lt;&gt;"ST1","",IF(K21="","",K21*(1+参数设置!$B$6)))</f>
        <v/>
      </c>
      <c r="M21" t="str">
        <f>IF(A21="","",参数设置!$B$7)</f>
        <v/>
      </c>
      <c r="N21" t="str">
        <f t="shared" si="2"/>
        <v/>
      </c>
    </row>
    <row r="22" spans="1:14" x14ac:dyDescent="0.25">
      <c r="A22">
        <v>4</v>
      </c>
      <c r="C22" t="s">
        <v>33</v>
      </c>
      <c r="J22" t="str">
        <f t="shared" si="0"/>
        <v/>
      </c>
      <c r="K22" t="str">
        <f t="shared" si="1"/>
        <v/>
      </c>
      <c r="L22" t="str">
        <f>IF(C22&lt;&gt;"ST1","",IF(K22="","",K22*(1+参数设置!$B$6)))</f>
        <v/>
      </c>
      <c r="M22" t="str">
        <f>IF(A22="","",参数设置!$B$7)</f>
        <v/>
      </c>
      <c r="N22" t="str">
        <f t="shared" si="2"/>
        <v/>
      </c>
    </row>
    <row r="23" spans="1:14" x14ac:dyDescent="0.25">
      <c r="A23">
        <v>5</v>
      </c>
      <c r="C23" t="s">
        <v>29</v>
      </c>
      <c r="J23" t="str">
        <f t="shared" si="0"/>
        <v/>
      </c>
      <c r="K23">
        <f t="shared" si="1"/>
        <v>0</v>
      </c>
      <c r="L23">
        <f>IF(C23&lt;&gt;"ST1","",IF(K23="","",K23*(1+参数设置!$B$6)))</f>
        <v>0</v>
      </c>
      <c r="M23" t="str">
        <f>IF(A23="","",参数设置!$B$7)</f>
        <v/>
      </c>
      <c r="N23" t="str">
        <f t="shared" si="2"/>
        <v/>
      </c>
    </row>
    <row r="24" spans="1:14" x14ac:dyDescent="0.25">
      <c r="A24">
        <v>5</v>
      </c>
      <c r="C24" t="s">
        <v>30</v>
      </c>
      <c r="J24" t="str">
        <f t="shared" si="0"/>
        <v/>
      </c>
      <c r="K24" t="str">
        <f t="shared" si="1"/>
        <v/>
      </c>
      <c r="L24" t="str">
        <f>IF(C24&lt;&gt;"ST1","",IF(K24="","",K24*(1+参数设置!$B$6)))</f>
        <v/>
      </c>
      <c r="M24" t="str">
        <f>IF(A24="","",参数设置!$B$7)</f>
        <v/>
      </c>
      <c r="N24" t="str">
        <f t="shared" si="2"/>
        <v/>
      </c>
    </row>
    <row r="25" spans="1:14" x14ac:dyDescent="0.25">
      <c r="A25">
        <v>5</v>
      </c>
      <c r="C25" t="s">
        <v>31</v>
      </c>
      <c r="J25" t="str">
        <f t="shared" si="0"/>
        <v/>
      </c>
      <c r="K25" t="str">
        <f t="shared" si="1"/>
        <v/>
      </c>
      <c r="L25" t="str">
        <f>IF(C25&lt;&gt;"ST1","",IF(K25="","",K25*(1+参数设置!$B$6)))</f>
        <v/>
      </c>
      <c r="M25" t="str">
        <f>IF(A25="","",参数设置!$B$7)</f>
        <v/>
      </c>
      <c r="N25" t="str">
        <f t="shared" si="2"/>
        <v/>
      </c>
    </row>
    <row r="26" spans="1:14" x14ac:dyDescent="0.25">
      <c r="A26">
        <v>5</v>
      </c>
      <c r="C26" t="s">
        <v>32</v>
      </c>
      <c r="J26" t="str">
        <f t="shared" si="0"/>
        <v/>
      </c>
      <c r="K26" t="str">
        <f t="shared" si="1"/>
        <v/>
      </c>
      <c r="L26" t="str">
        <f>IF(C26&lt;&gt;"ST1","",IF(K26="","",K26*(1+参数设置!$B$6)))</f>
        <v/>
      </c>
      <c r="M26" t="str">
        <f>IF(A26="","",参数设置!$B$7)</f>
        <v/>
      </c>
      <c r="N26" t="str">
        <f t="shared" si="2"/>
        <v/>
      </c>
    </row>
    <row r="27" spans="1:14" x14ac:dyDescent="0.25">
      <c r="A27">
        <v>5</v>
      </c>
      <c r="C27" t="s">
        <v>33</v>
      </c>
      <c r="J27" t="str">
        <f t="shared" si="0"/>
        <v/>
      </c>
      <c r="K27" t="str">
        <f t="shared" si="1"/>
        <v/>
      </c>
      <c r="L27" t="str">
        <f>IF(C27&lt;&gt;"ST1","",IF(K27="","",K27*(1+参数设置!$B$6)))</f>
        <v/>
      </c>
      <c r="M27" t="str">
        <f>IF(A27="","",参数设置!$B$7)</f>
        <v/>
      </c>
      <c r="N27" t="str">
        <f t="shared" si="2"/>
        <v/>
      </c>
    </row>
    <row r="28" spans="1:14" x14ac:dyDescent="0.25">
      <c r="A28">
        <v>6</v>
      </c>
      <c r="C28" t="s">
        <v>29</v>
      </c>
      <c r="J28" t="str">
        <f t="shared" si="0"/>
        <v/>
      </c>
      <c r="K28">
        <f t="shared" si="1"/>
        <v>0</v>
      </c>
      <c r="L28">
        <f>IF(C28&lt;&gt;"ST1","",IF(K28="","",K28*(1+参数设置!$B$6)))</f>
        <v>0</v>
      </c>
      <c r="M28" t="str">
        <f>IF(A28="","",参数设置!$B$7)</f>
        <v/>
      </c>
      <c r="N28" t="str">
        <f t="shared" si="2"/>
        <v/>
      </c>
    </row>
    <row r="29" spans="1:14" x14ac:dyDescent="0.25">
      <c r="A29">
        <v>6</v>
      </c>
      <c r="C29" t="s">
        <v>30</v>
      </c>
      <c r="J29" t="str">
        <f t="shared" si="0"/>
        <v/>
      </c>
      <c r="K29" t="str">
        <f t="shared" si="1"/>
        <v/>
      </c>
      <c r="L29" t="str">
        <f>IF(C29&lt;&gt;"ST1","",IF(K29="","",K29*(1+参数设置!$B$6)))</f>
        <v/>
      </c>
      <c r="M29" t="str">
        <f>IF(A29="","",参数设置!$B$7)</f>
        <v/>
      </c>
      <c r="N29" t="str">
        <f t="shared" si="2"/>
        <v/>
      </c>
    </row>
    <row r="30" spans="1:14" x14ac:dyDescent="0.25">
      <c r="A30">
        <v>6</v>
      </c>
      <c r="C30" t="s">
        <v>31</v>
      </c>
      <c r="J30" t="str">
        <f t="shared" si="0"/>
        <v/>
      </c>
      <c r="K30" t="str">
        <f t="shared" si="1"/>
        <v/>
      </c>
      <c r="L30" t="str">
        <f>IF(C30&lt;&gt;"ST1","",IF(K30="","",K30*(1+参数设置!$B$6)))</f>
        <v/>
      </c>
      <c r="M30" t="str">
        <f>IF(A30="","",参数设置!$B$7)</f>
        <v/>
      </c>
      <c r="N30" t="str">
        <f t="shared" si="2"/>
        <v/>
      </c>
    </row>
    <row r="31" spans="1:14" x14ac:dyDescent="0.25">
      <c r="A31">
        <v>6</v>
      </c>
      <c r="C31" t="s">
        <v>32</v>
      </c>
      <c r="J31" t="str">
        <f t="shared" si="0"/>
        <v/>
      </c>
      <c r="K31" t="str">
        <f t="shared" si="1"/>
        <v/>
      </c>
      <c r="L31" t="str">
        <f>IF(C31&lt;&gt;"ST1","",IF(K31="","",K31*(1+参数设置!$B$6)))</f>
        <v/>
      </c>
      <c r="M31" t="str">
        <f>IF(A31="","",参数设置!$B$7)</f>
        <v/>
      </c>
      <c r="N31" t="str">
        <f t="shared" si="2"/>
        <v/>
      </c>
    </row>
    <row r="32" spans="1:14" x14ac:dyDescent="0.25">
      <c r="A32">
        <v>6</v>
      </c>
      <c r="C32" t="s">
        <v>33</v>
      </c>
      <c r="J32" t="str">
        <f t="shared" si="0"/>
        <v/>
      </c>
      <c r="K32" t="str">
        <f t="shared" si="1"/>
        <v/>
      </c>
      <c r="L32" t="str">
        <f>IF(C32&lt;&gt;"ST1","",IF(K32="","",K32*(1+参数设置!$B$6)))</f>
        <v/>
      </c>
      <c r="M32" t="str">
        <f>IF(A32="","",参数设置!$B$7)</f>
        <v/>
      </c>
      <c r="N32" t="str">
        <f t="shared" si="2"/>
        <v/>
      </c>
    </row>
    <row r="33" spans="1:14" x14ac:dyDescent="0.25">
      <c r="A33">
        <v>7</v>
      </c>
      <c r="C33" t="s">
        <v>29</v>
      </c>
      <c r="J33" t="str">
        <f t="shared" si="0"/>
        <v/>
      </c>
      <c r="K33">
        <f t="shared" si="1"/>
        <v>0</v>
      </c>
      <c r="L33">
        <f>IF(C33&lt;&gt;"ST1","",IF(K33="","",K33*(1+参数设置!$B$6)))</f>
        <v>0</v>
      </c>
      <c r="M33" t="str">
        <f>IF(A33="","",参数设置!$B$7)</f>
        <v/>
      </c>
      <c r="N33" t="str">
        <f t="shared" si="2"/>
        <v/>
      </c>
    </row>
    <row r="34" spans="1:14" x14ac:dyDescent="0.25">
      <c r="A34">
        <v>7</v>
      </c>
      <c r="C34" t="s">
        <v>30</v>
      </c>
      <c r="J34" t="str">
        <f t="shared" si="0"/>
        <v/>
      </c>
      <c r="K34" t="str">
        <f t="shared" si="1"/>
        <v/>
      </c>
      <c r="L34" t="str">
        <f>IF(C34&lt;&gt;"ST1","",IF(K34="","",K34*(1+参数设置!$B$6)))</f>
        <v/>
      </c>
      <c r="M34" t="str">
        <f>IF(A34="","",参数设置!$B$7)</f>
        <v/>
      </c>
      <c r="N34" t="str">
        <f t="shared" si="2"/>
        <v/>
      </c>
    </row>
    <row r="35" spans="1:14" x14ac:dyDescent="0.25">
      <c r="A35">
        <v>7</v>
      </c>
      <c r="C35" t="s">
        <v>31</v>
      </c>
      <c r="J35" t="str">
        <f t="shared" si="0"/>
        <v/>
      </c>
      <c r="K35" t="str">
        <f t="shared" si="1"/>
        <v/>
      </c>
      <c r="L35" t="str">
        <f>IF(C35&lt;&gt;"ST1","",IF(K35="","",K35*(1+参数设置!$B$6)))</f>
        <v/>
      </c>
      <c r="M35" t="str">
        <f>IF(A35="","",参数设置!$B$7)</f>
        <v/>
      </c>
      <c r="N35" t="str">
        <f t="shared" si="2"/>
        <v/>
      </c>
    </row>
    <row r="36" spans="1:14" x14ac:dyDescent="0.25">
      <c r="A36">
        <v>7</v>
      </c>
      <c r="C36" t="s">
        <v>32</v>
      </c>
      <c r="J36" t="str">
        <f t="shared" si="0"/>
        <v/>
      </c>
      <c r="K36" t="str">
        <f t="shared" si="1"/>
        <v/>
      </c>
      <c r="L36" t="str">
        <f>IF(C36&lt;&gt;"ST1","",IF(K36="","",K36*(1+参数设置!$B$6)))</f>
        <v/>
      </c>
      <c r="M36" t="str">
        <f>IF(A36="","",参数设置!$B$7)</f>
        <v/>
      </c>
      <c r="N36" t="str">
        <f t="shared" si="2"/>
        <v/>
      </c>
    </row>
    <row r="37" spans="1:14" x14ac:dyDescent="0.25">
      <c r="A37">
        <v>7</v>
      </c>
      <c r="C37" t="s">
        <v>33</v>
      </c>
      <c r="J37" t="str">
        <f t="shared" si="0"/>
        <v/>
      </c>
      <c r="K37" t="str">
        <f t="shared" si="1"/>
        <v/>
      </c>
      <c r="L37" t="str">
        <f>IF(C37&lt;&gt;"ST1","",IF(K37="","",K37*(1+参数设置!$B$6)))</f>
        <v/>
      </c>
      <c r="M37" t="str">
        <f>IF(A37="","",参数设置!$B$7)</f>
        <v/>
      </c>
      <c r="N37" t="str">
        <f t="shared" si="2"/>
        <v/>
      </c>
    </row>
    <row r="38" spans="1:14" x14ac:dyDescent="0.25">
      <c r="A38">
        <v>8</v>
      </c>
      <c r="C38" t="s">
        <v>29</v>
      </c>
      <c r="J38" t="str">
        <f t="shared" si="0"/>
        <v/>
      </c>
      <c r="K38">
        <f t="shared" si="1"/>
        <v>0</v>
      </c>
      <c r="L38">
        <f>IF(C38&lt;&gt;"ST1","",IF(K38="","",K38*(1+参数设置!$B$6)))</f>
        <v>0</v>
      </c>
      <c r="M38" t="str">
        <f>IF(A38="","",参数设置!$B$7)</f>
        <v/>
      </c>
      <c r="N38" t="str">
        <f t="shared" si="2"/>
        <v/>
      </c>
    </row>
    <row r="39" spans="1:14" x14ac:dyDescent="0.25">
      <c r="A39">
        <v>8</v>
      </c>
      <c r="C39" t="s">
        <v>30</v>
      </c>
      <c r="J39" t="str">
        <f t="shared" si="0"/>
        <v/>
      </c>
      <c r="K39" t="str">
        <f t="shared" si="1"/>
        <v/>
      </c>
      <c r="L39" t="str">
        <f>IF(C39&lt;&gt;"ST1","",IF(K39="","",K39*(1+参数设置!$B$6)))</f>
        <v/>
      </c>
      <c r="M39" t="str">
        <f>IF(A39="","",参数设置!$B$7)</f>
        <v/>
      </c>
      <c r="N39" t="str">
        <f t="shared" si="2"/>
        <v/>
      </c>
    </row>
    <row r="40" spans="1:14" x14ac:dyDescent="0.25">
      <c r="A40">
        <v>8</v>
      </c>
      <c r="C40" t="s">
        <v>31</v>
      </c>
      <c r="J40" t="str">
        <f t="shared" si="0"/>
        <v/>
      </c>
      <c r="K40" t="str">
        <f t="shared" si="1"/>
        <v/>
      </c>
      <c r="L40" t="str">
        <f>IF(C40&lt;&gt;"ST1","",IF(K40="","",K40*(1+参数设置!$B$6)))</f>
        <v/>
      </c>
      <c r="M40" t="str">
        <f>IF(A40="","",参数设置!$B$7)</f>
        <v/>
      </c>
      <c r="N40" t="str">
        <f t="shared" si="2"/>
        <v/>
      </c>
    </row>
    <row r="41" spans="1:14" x14ac:dyDescent="0.25">
      <c r="A41">
        <v>8</v>
      </c>
      <c r="C41" t="s">
        <v>32</v>
      </c>
      <c r="J41" t="str">
        <f t="shared" si="0"/>
        <v/>
      </c>
      <c r="K41" t="str">
        <f t="shared" si="1"/>
        <v/>
      </c>
      <c r="L41" t="str">
        <f>IF(C41&lt;&gt;"ST1","",IF(K41="","",K41*(1+参数设置!$B$6)))</f>
        <v/>
      </c>
      <c r="M41" t="str">
        <f>IF(A41="","",参数设置!$B$7)</f>
        <v/>
      </c>
      <c r="N41" t="str">
        <f t="shared" si="2"/>
        <v/>
      </c>
    </row>
    <row r="42" spans="1:14" x14ac:dyDescent="0.25">
      <c r="A42">
        <v>8</v>
      </c>
      <c r="C42" t="s">
        <v>33</v>
      </c>
      <c r="J42" t="str">
        <f t="shared" si="0"/>
        <v/>
      </c>
      <c r="K42" t="str">
        <f t="shared" si="1"/>
        <v/>
      </c>
      <c r="L42" t="str">
        <f>IF(C42&lt;&gt;"ST1","",IF(K42="","",K42*(1+参数设置!$B$6)))</f>
        <v/>
      </c>
      <c r="M42" t="str">
        <f>IF(A42="","",参数设置!$B$7)</f>
        <v/>
      </c>
      <c r="N42" t="str">
        <f t="shared" si="2"/>
        <v/>
      </c>
    </row>
    <row r="43" spans="1:14" x14ac:dyDescent="0.25">
      <c r="A43">
        <v>9</v>
      </c>
      <c r="C43" t="s">
        <v>29</v>
      </c>
      <c r="J43" t="str">
        <f t="shared" si="0"/>
        <v/>
      </c>
      <c r="K43">
        <f t="shared" si="1"/>
        <v>0</v>
      </c>
      <c r="L43">
        <f>IF(C43&lt;&gt;"ST1","",IF(K43="","",K43*(1+参数设置!$B$6)))</f>
        <v>0</v>
      </c>
      <c r="M43" t="str">
        <f>IF(A43="","",参数设置!$B$7)</f>
        <v/>
      </c>
      <c r="N43" t="str">
        <f t="shared" si="2"/>
        <v/>
      </c>
    </row>
    <row r="44" spans="1:14" x14ac:dyDescent="0.25">
      <c r="A44">
        <v>9</v>
      </c>
      <c r="C44" t="s">
        <v>30</v>
      </c>
      <c r="J44" t="str">
        <f t="shared" si="0"/>
        <v/>
      </c>
      <c r="K44" t="str">
        <f t="shared" si="1"/>
        <v/>
      </c>
      <c r="L44" t="str">
        <f>IF(C44&lt;&gt;"ST1","",IF(K44="","",K44*(1+参数设置!$B$6)))</f>
        <v/>
      </c>
      <c r="M44" t="str">
        <f>IF(A44="","",参数设置!$B$7)</f>
        <v/>
      </c>
      <c r="N44" t="str">
        <f t="shared" si="2"/>
        <v/>
      </c>
    </row>
    <row r="45" spans="1:14" x14ac:dyDescent="0.25">
      <c r="A45">
        <v>9</v>
      </c>
      <c r="C45" t="s">
        <v>31</v>
      </c>
      <c r="J45" t="str">
        <f t="shared" si="0"/>
        <v/>
      </c>
      <c r="K45" t="str">
        <f t="shared" si="1"/>
        <v/>
      </c>
      <c r="L45" t="str">
        <f>IF(C45&lt;&gt;"ST1","",IF(K45="","",K45*(1+参数设置!$B$6)))</f>
        <v/>
      </c>
      <c r="M45" t="str">
        <f>IF(A45="","",参数设置!$B$7)</f>
        <v/>
      </c>
      <c r="N45" t="str">
        <f t="shared" si="2"/>
        <v/>
      </c>
    </row>
    <row r="46" spans="1:14" x14ac:dyDescent="0.25">
      <c r="A46">
        <v>9</v>
      </c>
      <c r="C46" t="s">
        <v>32</v>
      </c>
      <c r="J46" t="str">
        <f t="shared" si="0"/>
        <v/>
      </c>
      <c r="K46" t="str">
        <f t="shared" si="1"/>
        <v/>
      </c>
      <c r="L46" t="str">
        <f>IF(C46&lt;&gt;"ST1","",IF(K46="","",K46*(1+参数设置!$B$6)))</f>
        <v/>
      </c>
      <c r="M46" t="str">
        <f>IF(A46="","",参数设置!$B$7)</f>
        <v/>
      </c>
      <c r="N46" t="str">
        <f t="shared" si="2"/>
        <v/>
      </c>
    </row>
    <row r="47" spans="1:14" x14ac:dyDescent="0.25">
      <c r="A47">
        <v>9</v>
      </c>
      <c r="C47" t="s">
        <v>33</v>
      </c>
      <c r="J47" t="str">
        <f t="shared" si="0"/>
        <v/>
      </c>
      <c r="K47" t="str">
        <f t="shared" si="1"/>
        <v/>
      </c>
      <c r="L47" t="str">
        <f>IF(C47&lt;&gt;"ST1","",IF(K47="","",K47*(1+参数设置!$B$6)))</f>
        <v/>
      </c>
      <c r="M47" t="str">
        <f>IF(A47="","",参数设置!$B$7)</f>
        <v/>
      </c>
      <c r="N47" t="str">
        <f t="shared" si="2"/>
        <v/>
      </c>
    </row>
    <row r="48" spans="1:14" x14ac:dyDescent="0.25">
      <c r="A48">
        <v>10</v>
      </c>
      <c r="C48" t="s">
        <v>29</v>
      </c>
      <c r="J48" t="str">
        <f t="shared" si="0"/>
        <v/>
      </c>
      <c r="K48">
        <f t="shared" si="1"/>
        <v>0</v>
      </c>
      <c r="L48">
        <f>IF(C48&lt;&gt;"ST1","",IF(K48="","",K48*(1+参数设置!$B$6)))</f>
        <v>0</v>
      </c>
      <c r="M48" t="str">
        <f>IF(A48="","",参数设置!$B$7)</f>
        <v/>
      </c>
      <c r="N48" t="str">
        <f t="shared" si="2"/>
        <v/>
      </c>
    </row>
    <row r="49" spans="1:14" x14ac:dyDescent="0.25">
      <c r="A49">
        <v>10</v>
      </c>
      <c r="C49" t="s">
        <v>30</v>
      </c>
      <c r="J49" t="str">
        <f t="shared" si="0"/>
        <v/>
      </c>
      <c r="K49" t="str">
        <f t="shared" si="1"/>
        <v/>
      </c>
      <c r="L49" t="str">
        <f>IF(C49&lt;&gt;"ST1","",IF(K49="","",K49*(1+参数设置!$B$6)))</f>
        <v/>
      </c>
      <c r="M49" t="str">
        <f>IF(A49="","",参数设置!$B$7)</f>
        <v/>
      </c>
      <c r="N49" t="str">
        <f t="shared" si="2"/>
        <v/>
      </c>
    </row>
    <row r="50" spans="1:14" x14ac:dyDescent="0.25">
      <c r="A50">
        <v>10</v>
      </c>
      <c r="C50" t="s">
        <v>31</v>
      </c>
      <c r="J50" t="str">
        <f t="shared" si="0"/>
        <v/>
      </c>
      <c r="K50" t="str">
        <f t="shared" si="1"/>
        <v/>
      </c>
      <c r="L50" t="str">
        <f>IF(C50&lt;&gt;"ST1","",IF(K50="","",K50*(1+参数设置!$B$6)))</f>
        <v/>
      </c>
      <c r="M50" t="str">
        <f>IF(A50="","",参数设置!$B$7)</f>
        <v/>
      </c>
      <c r="N50" t="str">
        <f t="shared" si="2"/>
        <v/>
      </c>
    </row>
    <row r="51" spans="1:14" x14ac:dyDescent="0.25">
      <c r="A51">
        <v>10</v>
      </c>
      <c r="C51" t="s">
        <v>32</v>
      </c>
      <c r="J51" t="str">
        <f t="shared" si="0"/>
        <v/>
      </c>
      <c r="K51" t="str">
        <f t="shared" si="1"/>
        <v/>
      </c>
      <c r="L51" t="str">
        <f>IF(C51&lt;&gt;"ST1","",IF(K51="","",K51*(1+参数设置!$B$6)))</f>
        <v/>
      </c>
      <c r="M51" t="str">
        <f>IF(A51="","",参数设置!$B$7)</f>
        <v/>
      </c>
      <c r="N51" t="str">
        <f t="shared" si="2"/>
        <v/>
      </c>
    </row>
    <row r="52" spans="1:14" x14ac:dyDescent="0.25">
      <c r="A52">
        <v>10</v>
      </c>
      <c r="C52" t="s">
        <v>33</v>
      </c>
      <c r="J52" t="str">
        <f t="shared" si="0"/>
        <v/>
      </c>
      <c r="K52" t="str">
        <f t="shared" si="1"/>
        <v/>
      </c>
      <c r="L52" t="str">
        <f>IF(C52&lt;&gt;"ST1","",IF(K52="","",K52*(1+参数设置!$B$6)))</f>
        <v/>
      </c>
      <c r="M52" t="str">
        <f>IF(A52="","",参数设置!$B$7)</f>
        <v/>
      </c>
      <c r="N52" t="str">
        <f t="shared" si="2"/>
        <v/>
      </c>
    </row>
    <row r="53" spans="1:14" x14ac:dyDescent="0.25">
      <c r="A53">
        <v>11</v>
      </c>
      <c r="C53" t="s">
        <v>29</v>
      </c>
      <c r="J53" t="str">
        <f t="shared" si="0"/>
        <v/>
      </c>
      <c r="K53">
        <f t="shared" si="1"/>
        <v>0</v>
      </c>
      <c r="L53">
        <f>IF(C53&lt;&gt;"ST1","",IF(K53="","",K53*(1+参数设置!$B$6)))</f>
        <v>0</v>
      </c>
      <c r="M53" t="str">
        <f>IF(A53="","",参数设置!$B$7)</f>
        <v/>
      </c>
      <c r="N53" t="str">
        <f t="shared" si="2"/>
        <v/>
      </c>
    </row>
    <row r="54" spans="1:14" x14ac:dyDescent="0.25">
      <c r="A54">
        <v>11</v>
      </c>
      <c r="C54" t="s">
        <v>30</v>
      </c>
      <c r="J54" t="str">
        <f t="shared" si="0"/>
        <v/>
      </c>
      <c r="K54" t="str">
        <f t="shared" si="1"/>
        <v/>
      </c>
      <c r="L54" t="str">
        <f>IF(C54&lt;&gt;"ST1","",IF(K54="","",K54*(1+参数设置!$B$6)))</f>
        <v/>
      </c>
      <c r="M54" t="str">
        <f>IF(A54="","",参数设置!$B$7)</f>
        <v/>
      </c>
      <c r="N54" t="str">
        <f t="shared" si="2"/>
        <v/>
      </c>
    </row>
    <row r="55" spans="1:14" x14ac:dyDescent="0.25">
      <c r="A55">
        <v>11</v>
      </c>
      <c r="C55" t="s">
        <v>31</v>
      </c>
      <c r="J55" t="str">
        <f t="shared" si="0"/>
        <v/>
      </c>
      <c r="K55" t="str">
        <f t="shared" si="1"/>
        <v/>
      </c>
      <c r="L55" t="str">
        <f>IF(C55&lt;&gt;"ST1","",IF(K55="","",K55*(1+参数设置!$B$6)))</f>
        <v/>
      </c>
      <c r="M55" t="str">
        <f>IF(A55="","",参数设置!$B$7)</f>
        <v/>
      </c>
      <c r="N55" t="str">
        <f t="shared" si="2"/>
        <v/>
      </c>
    </row>
    <row r="56" spans="1:14" x14ac:dyDescent="0.25">
      <c r="A56">
        <v>11</v>
      </c>
      <c r="C56" t="s">
        <v>32</v>
      </c>
      <c r="J56" t="str">
        <f t="shared" si="0"/>
        <v/>
      </c>
      <c r="K56" t="str">
        <f t="shared" si="1"/>
        <v/>
      </c>
      <c r="L56" t="str">
        <f>IF(C56&lt;&gt;"ST1","",IF(K56="","",K56*(1+参数设置!$B$6)))</f>
        <v/>
      </c>
      <c r="M56" t="str">
        <f>IF(A56="","",参数设置!$B$7)</f>
        <v/>
      </c>
      <c r="N56" t="str">
        <f t="shared" si="2"/>
        <v/>
      </c>
    </row>
    <row r="57" spans="1:14" x14ac:dyDescent="0.25">
      <c r="A57">
        <v>11</v>
      </c>
      <c r="C57" t="s">
        <v>33</v>
      </c>
      <c r="J57" t="str">
        <f t="shared" si="0"/>
        <v/>
      </c>
      <c r="K57" t="str">
        <f t="shared" si="1"/>
        <v/>
      </c>
      <c r="L57" t="str">
        <f>IF(C57&lt;&gt;"ST1","",IF(K57="","",K57*(1+参数设置!$B$6)))</f>
        <v/>
      </c>
      <c r="M57" t="str">
        <f>IF(A57="","",参数设置!$B$7)</f>
        <v/>
      </c>
      <c r="N57" t="str">
        <f t="shared" si="2"/>
        <v/>
      </c>
    </row>
    <row r="58" spans="1:14" x14ac:dyDescent="0.25">
      <c r="A58">
        <v>12</v>
      </c>
      <c r="C58" t="s">
        <v>29</v>
      </c>
      <c r="J58" t="str">
        <f t="shared" si="0"/>
        <v/>
      </c>
      <c r="K58">
        <f t="shared" si="1"/>
        <v>0</v>
      </c>
      <c r="L58">
        <f>IF(C58&lt;&gt;"ST1","",IF(K58="","",K58*(1+参数设置!$B$6)))</f>
        <v>0</v>
      </c>
      <c r="M58" t="str">
        <f>IF(A58="","",参数设置!$B$7)</f>
        <v/>
      </c>
      <c r="N58" t="str">
        <f t="shared" si="2"/>
        <v/>
      </c>
    </row>
    <row r="59" spans="1:14" x14ac:dyDescent="0.25">
      <c r="A59">
        <v>12</v>
      </c>
      <c r="C59" t="s">
        <v>30</v>
      </c>
      <c r="J59" t="str">
        <f t="shared" si="0"/>
        <v/>
      </c>
      <c r="K59" t="str">
        <f t="shared" si="1"/>
        <v/>
      </c>
      <c r="L59" t="str">
        <f>IF(C59&lt;&gt;"ST1","",IF(K59="","",K59*(1+参数设置!$B$6)))</f>
        <v/>
      </c>
      <c r="M59" t="str">
        <f>IF(A59="","",参数设置!$B$7)</f>
        <v/>
      </c>
      <c r="N59" t="str">
        <f t="shared" si="2"/>
        <v/>
      </c>
    </row>
    <row r="60" spans="1:14" x14ac:dyDescent="0.25">
      <c r="A60">
        <v>12</v>
      </c>
      <c r="C60" t="s">
        <v>31</v>
      </c>
      <c r="J60" t="str">
        <f t="shared" si="0"/>
        <v/>
      </c>
      <c r="K60" t="str">
        <f t="shared" si="1"/>
        <v/>
      </c>
      <c r="L60" t="str">
        <f>IF(C60&lt;&gt;"ST1","",IF(K60="","",K60*(1+参数设置!$B$6)))</f>
        <v/>
      </c>
      <c r="M60" t="str">
        <f>IF(A60="","",参数设置!$B$7)</f>
        <v/>
      </c>
      <c r="N60" t="str">
        <f t="shared" si="2"/>
        <v/>
      </c>
    </row>
    <row r="61" spans="1:14" x14ac:dyDescent="0.25">
      <c r="A61">
        <v>12</v>
      </c>
      <c r="C61" t="s">
        <v>32</v>
      </c>
      <c r="J61" t="str">
        <f t="shared" si="0"/>
        <v/>
      </c>
      <c r="K61" t="str">
        <f t="shared" si="1"/>
        <v/>
      </c>
      <c r="L61" t="str">
        <f>IF(C61&lt;&gt;"ST1","",IF(K61="","",K61*(1+参数设置!$B$6)))</f>
        <v/>
      </c>
      <c r="M61" t="str">
        <f>IF(A61="","",参数设置!$B$7)</f>
        <v/>
      </c>
      <c r="N61" t="str">
        <f t="shared" si="2"/>
        <v/>
      </c>
    </row>
    <row r="62" spans="1:14" x14ac:dyDescent="0.25">
      <c r="A62">
        <v>12</v>
      </c>
      <c r="C62" t="s">
        <v>33</v>
      </c>
      <c r="J62" t="str">
        <f t="shared" si="0"/>
        <v/>
      </c>
      <c r="K62" t="str">
        <f t="shared" si="1"/>
        <v/>
      </c>
      <c r="L62" t="str">
        <f>IF(C62&lt;&gt;"ST1","",IF(K62="","",K62*(1+参数设置!$B$6)))</f>
        <v/>
      </c>
      <c r="M62" t="str">
        <f>IF(A62="","",参数设置!$B$7)</f>
        <v/>
      </c>
      <c r="N62" t="str">
        <f t="shared" si="2"/>
        <v/>
      </c>
    </row>
    <row r="63" spans="1:14" x14ac:dyDescent="0.25">
      <c r="A63">
        <v>13</v>
      </c>
      <c r="C63" t="s">
        <v>29</v>
      </c>
      <c r="J63" t="str">
        <f t="shared" si="0"/>
        <v/>
      </c>
      <c r="K63">
        <f t="shared" si="1"/>
        <v>0</v>
      </c>
      <c r="L63">
        <f>IF(C63&lt;&gt;"ST1","",IF(K63="","",K63*(1+参数设置!$B$6)))</f>
        <v>0</v>
      </c>
      <c r="M63" t="str">
        <f>IF(A63="","",参数设置!$B$7)</f>
        <v/>
      </c>
      <c r="N63" t="str">
        <f t="shared" si="2"/>
        <v/>
      </c>
    </row>
    <row r="64" spans="1:14" x14ac:dyDescent="0.25">
      <c r="A64">
        <v>13</v>
      </c>
      <c r="C64" t="s">
        <v>30</v>
      </c>
      <c r="J64" t="str">
        <f t="shared" si="0"/>
        <v/>
      </c>
      <c r="K64" t="str">
        <f t="shared" si="1"/>
        <v/>
      </c>
      <c r="L64" t="str">
        <f>IF(C64&lt;&gt;"ST1","",IF(K64="","",K64*(1+参数设置!$B$6)))</f>
        <v/>
      </c>
      <c r="M64" t="str">
        <f>IF(A64="","",参数设置!$B$7)</f>
        <v/>
      </c>
      <c r="N64" t="str">
        <f t="shared" si="2"/>
        <v/>
      </c>
    </row>
    <row r="65" spans="1:14" x14ac:dyDescent="0.25">
      <c r="A65">
        <v>13</v>
      </c>
      <c r="C65" t="s">
        <v>31</v>
      </c>
      <c r="J65" t="str">
        <f t="shared" si="0"/>
        <v/>
      </c>
      <c r="K65" t="str">
        <f t="shared" si="1"/>
        <v/>
      </c>
      <c r="L65" t="str">
        <f>IF(C65&lt;&gt;"ST1","",IF(K65="","",K65*(1+参数设置!$B$6)))</f>
        <v/>
      </c>
      <c r="M65" t="str">
        <f>IF(A65="","",参数设置!$B$7)</f>
        <v/>
      </c>
      <c r="N65" t="str">
        <f t="shared" si="2"/>
        <v/>
      </c>
    </row>
    <row r="66" spans="1:14" x14ac:dyDescent="0.25">
      <c r="A66">
        <v>13</v>
      </c>
      <c r="C66" t="s">
        <v>32</v>
      </c>
      <c r="J66" t="str">
        <f t="shared" si="0"/>
        <v/>
      </c>
      <c r="K66" t="str">
        <f t="shared" si="1"/>
        <v/>
      </c>
      <c r="L66" t="str">
        <f>IF(C66&lt;&gt;"ST1","",IF(K66="","",K66*(1+参数设置!$B$6)))</f>
        <v/>
      </c>
      <c r="M66" t="str">
        <f>IF(A66="","",参数设置!$B$7)</f>
        <v/>
      </c>
      <c r="N66" t="str">
        <f t="shared" si="2"/>
        <v/>
      </c>
    </row>
    <row r="67" spans="1:14" x14ac:dyDescent="0.25">
      <c r="A67">
        <v>13</v>
      </c>
      <c r="C67" t="s">
        <v>33</v>
      </c>
      <c r="J67" t="str">
        <f t="shared" ref="J67:J130" si="3">IF(COUNT(E67:I67)=0,"",AVERAGE(E67:I67))</f>
        <v/>
      </c>
      <c r="K67" t="str">
        <f t="shared" ref="K67:K130" si="4">IF(C67&lt;&gt;"ST1","",IF(COUNTIFS($A:$A,A67,$J:$J,"&lt;&gt;")=0,"",SUMIFS($J:$J,$A:$A,A67)))</f>
        <v/>
      </c>
      <c r="L67" t="str">
        <f>IF(C67&lt;&gt;"ST1","",IF(K67="","",K67*(1+参数设置!$B$6)))</f>
        <v/>
      </c>
      <c r="M67" t="str">
        <f>IF(A67="","",参数设置!$B$7)</f>
        <v/>
      </c>
      <c r="N67" t="str">
        <f t="shared" ref="N67:N130" si="5">IF(K67="","",IF(M67="","",IF(K67&gt;M67,"超节拍",IF(K67&gt;=M67*0.9,"接近上限","正常"))))</f>
        <v/>
      </c>
    </row>
    <row r="68" spans="1:14" x14ac:dyDescent="0.25">
      <c r="A68">
        <v>14</v>
      </c>
      <c r="C68" t="s">
        <v>29</v>
      </c>
      <c r="J68" t="str">
        <f t="shared" si="3"/>
        <v/>
      </c>
      <c r="K68">
        <f t="shared" si="4"/>
        <v>0</v>
      </c>
      <c r="L68">
        <f>IF(C68&lt;&gt;"ST1","",IF(K68="","",K68*(1+参数设置!$B$6)))</f>
        <v>0</v>
      </c>
      <c r="M68" t="str">
        <f>IF(A68="","",参数设置!$B$7)</f>
        <v/>
      </c>
      <c r="N68" t="str">
        <f t="shared" si="5"/>
        <v/>
      </c>
    </row>
    <row r="69" spans="1:14" x14ac:dyDescent="0.25">
      <c r="A69">
        <v>14</v>
      </c>
      <c r="C69" t="s">
        <v>30</v>
      </c>
      <c r="J69" t="str">
        <f t="shared" si="3"/>
        <v/>
      </c>
      <c r="K69" t="str">
        <f t="shared" si="4"/>
        <v/>
      </c>
      <c r="L69" t="str">
        <f>IF(C69&lt;&gt;"ST1","",IF(K69="","",K69*(1+参数设置!$B$6)))</f>
        <v/>
      </c>
      <c r="M69" t="str">
        <f>IF(A69="","",参数设置!$B$7)</f>
        <v/>
      </c>
      <c r="N69" t="str">
        <f t="shared" si="5"/>
        <v/>
      </c>
    </row>
    <row r="70" spans="1:14" x14ac:dyDescent="0.25">
      <c r="A70">
        <v>14</v>
      </c>
      <c r="C70" t="s">
        <v>31</v>
      </c>
      <c r="J70" t="str">
        <f t="shared" si="3"/>
        <v/>
      </c>
      <c r="K70" t="str">
        <f t="shared" si="4"/>
        <v/>
      </c>
      <c r="L70" t="str">
        <f>IF(C70&lt;&gt;"ST1","",IF(K70="","",K70*(1+参数设置!$B$6)))</f>
        <v/>
      </c>
      <c r="M70" t="str">
        <f>IF(A70="","",参数设置!$B$7)</f>
        <v/>
      </c>
      <c r="N70" t="str">
        <f t="shared" si="5"/>
        <v/>
      </c>
    </row>
    <row r="71" spans="1:14" x14ac:dyDescent="0.25">
      <c r="A71">
        <v>14</v>
      </c>
      <c r="C71" t="s">
        <v>32</v>
      </c>
      <c r="J71" t="str">
        <f t="shared" si="3"/>
        <v/>
      </c>
      <c r="K71" t="str">
        <f t="shared" si="4"/>
        <v/>
      </c>
      <c r="L71" t="str">
        <f>IF(C71&lt;&gt;"ST1","",IF(K71="","",K71*(1+参数设置!$B$6)))</f>
        <v/>
      </c>
      <c r="M71" t="str">
        <f>IF(A71="","",参数设置!$B$7)</f>
        <v/>
      </c>
      <c r="N71" t="str">
        <f t="shared" si="5"/>
        <v/>
      </c>
    </row>
    <row r="72" spans="1:14" x14ac:dyDescent="0.25">
      <c r="A72">
        <v>14</v>
      </c>
      <c r="C72" t="s">
        <v>33</v>
      </c>
      <c r="J72" t="str">
        <f t="shared" si="3"/>
        <v/>
      </c>
      <c r="K72" t="str">
        <f t="shared" si="4"/>
        <v/>
      </c>
      <c r="L72" t="str">
        <f>IF(C72&lt;&gt;"ST1","",IF(K72="","",K72*(1+参数设置!$B$6)))</f>
        <v/>
      </c>
      <c r="M72" t="str">
        <f>IF(A72="","",参数设置!$B$7)</f>
        <v/>
      </c>
      <c r="N72" t="str">
        <f t="shared" si="5"/>
        <v/>
      </c>
    </row>
    <row r="73" spans="1:14" x14ac:dyDescent="0.25">
      <c r="A73">
        <v>15</v>
      </c>
      <c r="C73" t="s">
        <v>29</v>
      </c>
      <c r="J73" t="str">
        <f t="shared" si="3"/>
        <v/>
      </c>
      <c r="K73">
        <f t="shared" si="4"/>
        <v>0</v>
      </c>
      <c r="L73">
        <f>IF(C73&lt;&gt;"ST1","",IF(K73="","",K73*(1+参数设置!$B$6)))</f>
        <v>0</v>
      </c>
      <c r="M73" t="str">
        <f>IF(A73="","",参数设置!$B$7)</f>
        <v/>
      </c>
      <c r="N73" t="str">
        <f t="shared" si="5"/>
        <v/>
      </c>
    </row>
    <row r="74" spans="1:14" x14ac:dyDescent="0.25">
      <c r="A74">
        <v>15</v>
      </c>
      <c r="C74" t="s">
        <v>30</v>
      </c>
      <c r="J74" t="str">
        <f t="shared" si="3"/>
        <v/>
      </c>
      <c r="K74" t="str">
        <f t="shared" si="4"/>
        <v/>
      </c>
      <c r="L74" t="str">
        <f>IF(C74&lt;&gt;"ST1","",IF(K74="","",K74*(1+参数设置!$B$6)))</f>
        <v/>
      </c>
      <c r="M74" t="str">
        <f>IF(A74="","",参数设置!$B$7)</f>
        <v/>
      </c>
      <c r="N74" t="str">
        <f t="shared" si="5"/>
        <v/>
      </c>
    </row>
    <row r="75" spans="1:14" x14ac:dyDescent="0.25">
      <c r="A75">
        <v>15</v>
      </c>
      <c r="C75" t="s">
        <v>31</v>
      </c>
      <c r="J75" t="str">
        <f t="shared" si="3"/>
        <v/>
      </c>
      <c r="K75" t="str">
        <f t="shared" si="4"/>
        <v/>
      </c>
      <c r="L75" t="str">
        <f>IF(C75&lt;&gt;"ST1","",IF(K75="","",K75*(1+参数设置!$B$6)))</f>
        <v/>
      </c>
      <c r="M75" t="str">
        <f>IF(A75="","",参数设置!$B$7)</f>
        <v/>
      </c>
      <c r="N75" t="str">
        <f t="shared" si="5"/>
        <v/>
      </c>
    </row>
    <row r="76" spans="1:14" x14ac:dyDescent="0.25">
      <c r="A76">
        <v>15</v>
      </c>
      <c r="C76" t="s">
        <v>32</v>
      </c>
      <c r="J76" t="str">
        <f t="shared" si="3"/>
        <v/>
      </c>
      <c r="K76" t="str">
        <f t="shared" si="4"/>
        <v/>
      </c>
      <c r="L76" t="str">
        <f>IF(C76&lt;&gt;"ST1","",IF(K76="","",K76*(1+参数设置!$B$6)))</f>
        <v/>
      </c>
      <c r="M76" t="str">
        <f>IF(A76="","",参数设置!$B$7)</f>
        <v/>
      </c>
      <c r="N76" t="str">
        <f t="shared" si="5"/>
        <v/>
      </c>
    </row>
    <row r="77" spans="1:14" x14ac:dyDescent="0.25">
      <c r="A77">
        <v>15</v>
      </c>
      <c r="C77" t="s">
        <v>33</v>
      </c>
      <c r="J77" t="str">
        <f t="shared" si="3"/>
        <v/>
      </c>
      <c r="K77" t="str">
        <f t="shared" si="4"/>
        <v/>
      </c>
      <c r="L77" t="str">
        <f>IF(C77&lt;&gt;"ST1","",IF(K77="","",K77*(1+参数设置!$B$6)))</f>
        <v/>
      </c>
      <c r="M77" t="str">
        <f>IF(A77="","",参数设置!$B$7)</f>
        <v/>
      </c>
      <c r="N77" t="str">
        <f t="shared" si="5"/>
        <v/>
      </c>
    </row>
    <row r="78" spans="1:14" x14ac:dyDescent="0.25">
      <c r="A78">
        <v>16</v>
      </c>
      <c r="C78" t="s">
        <v>29</v>
      </c>
      <c r="J78" t="str">
        <f t="shared" si="3"/>
        <v/>
      </c>
      <c r="K78">
        <f t="shared" si="4"/>
        <v>0</v>
      </c>
      <c r="L78">
        <f>IF(C78&lt;&gt;"ST1","",IF(K78="","",K78*(1+参数设置!$B$6)))</f>
        <v>0</v>
      </c>
      <c r="M78" t="str">
        <f>IF(A78="","",参数设置!$B$7)</f>
        <v/>
      </c>
      <c r="N78" t="str">
        <f t="shared" si="5"/>
        <v/>
      </c>
    </row>
    <row r="79" spans="1:14" x14ac:dyDescent="0.25">
      <c r="A79">
        <v>16</v>
      </c>
      <c r="C79" t="s">
        <v>30</v>
      </c>
      <c r="J79" t="str">
        <f t="shared" si="3"/>
        <v/>
      </c>
      <c r="K79" t="str">
        <f t="shared" si="4"/>
        <v/>
      </c>
      <c r="L79" t="str">
        <f>IF(C79&lt;&gt;"ST1","",IF(K79="","",K79*(1+参数设置!$B$6)))</f>
        <v/>
      </c>
      <c r="M79" t="str">
        <f>IF(A79="","",参数设置!$B$7)</f>
        <v/>
      </c>
      <c r="N79" t="str">
        <f t="shared" si="5"/>
        <v/>
      </c>
    </row>
    <row r="80" spans="1:14" x14ac:dyDescent="0.25">
      <c r="A80">
        <v>16</v>
      </c>
      <c r="C80" t="s">
        <v>31</v>
      </c>
      <c r="J80" t="str">
        <f t="shared" si="3"/>
        <v/>
      </c>
      <c r="K80" t="str">
        <f t="shared" si="4"/>
        <v/>
      </c>
      <c r="L80" t="str">
        <f>IF(C80&lt;&gt;"ST1","",IF(K80="","",K80*(1+参数设置!$B$6)))</f>
        <v/>
      </c>
      <c r="M80" t="str">
        <f>IF(A80="","",参数设置!$B$7)</f>
        <v/>
      </c>
      <c r="N80" t="str">
        <f t="shared" si="5"/>
        <v/>
      </c>
    </row>
    <row r="81" spans="1:14" x14ac:dyDescent="0.25">
      <c r="A81">
        <v>16</v>
      </c>
      <c r="C81" t="s">
        <v>32</v>
      </c>
      <c r="J81" t="str">
        <f t="shared" si="3"/>
        <v/>
      </c>
      <c r="K81" t="str">
        <f t="shared" si="4"/>
        <v/>
      </c>
      <c r="L81" t="str">
        <f>IF(C81&lt;&gt;"ST1","",IF(K81="","",K81*(1+参数设置!$B$6)))</f>
        <v/>
      </c>
      <c r="M81" t="str">
        <f>IF(A81="","",参数设置!$B$7)</f>
        <v/>
      </c>
      <c r="N81" t="str">
        <f t="shared" si="5"/>
        <v/>
      </c>
    </row>
    <row r="82" spans="1:14" x14ac:dyDescent="0.25">
      <c r="A82">
        <v>16</v>
      </c>
      <c r="C82" t="s">
        <v>33</v>
      </c>
      <c r="J82" t="str">
        <f t="shared" si="3"/>
        <v/>
      </c>
      <c r="K82" t="str">
        <f t="shared" si="4"/>
        <v/>
      </c>
      <c r="L82" t="str">
        <f>IF(C82&lt;&gt;"ST1","",IF(K82="","",K82*(1+参数设置!$B$6)))</f>
        <v/>
      </c>
      <c r="M82" t="str">
        <f>IF(A82="","",参数设置!$B$7)</f>
        <v/>
      </c>
      <c r="N82" t="str">
        <f t="shared" si="5"/>
        <v/>
      </c>
    </row>
    <row r="83" spans="1:14" x14ac:dyDescent="0.25">
      <c r="A83">
        <v>17</v>
      </c>
      <c r="C83" t="s">
        <v>29</v>
      </c>
      <c r="J83" t="str">
        <f t="shared" si="3"/>
        <v/>
      </c>
      <c r="K83">
        <f t="shared" si="4"/>
        <v>0</v>
      </c>
      <c r="L83">
        <f>IF(C83&lt;&gt;"ST1","",IF(K83="","",K83*(1+参数设置!$B$6)))</f>
        <v>0</v>
      </c>
      <c r="M83" t="str">
        <f>IF(A83="","",参数设置!$B$7)</f>
        <v/>
      </c>
      <c r="N83" t="str">
        <f t="shared" si="5"/>
        <v/>
      </c>
    </row>
    <row r="84" spans="1:14" x14ac:dyDescent="0.25">
      <c r="A84">
        <v>17</v>
      </c>
      <c r="C84" t="s">
        <v>30</v>
      </c>
      <c r="J84" t="str">
        <f t="shared" si="3"/>
        <v/>
      </c>
      <c r="K84" t="str">
        <f t="shared" si="4"/>
        <v/>
      </c>
      <c r="L84" t="str">
        <f>IF(C84&lt;&gt;"ST1","",IF(K84="","",K84*(1+参数设置!$B$6)))</f>
        <v/>
      </c>
      <c r="M84" t="str">
        <f>IF(A84="","",参数设置!$B$7)</f>
        <v/>
      </c>
      <c r="N84" t="str">
        <f t="shared" si="5"/>
        <v/>
      </c>
    </row>
    <row r="85" spans="1:14" x14ac:dyDescent="0.25">
      <c r="A85">
        <v>17</v>
      </c>
      <c r="C85" t="s">
        <v>31</v>
      </c>
      <c r="J85" t="str">
        <f t="shared" si="3"/>
        <v/>
      </c>
      <c r="K85" t="str">
        <f t="shared" si="4"/>
        <v/>
      </c>
      <c r="L85" t="str">
        <f>IF(C85&lt;&gt;"ST1","",IF(K85="","",K85*(1+参数设置!$B$6)))</f>
        <v/>
      </c>
      <c r="M85" t="str">
        <f>IF(A85="","",参数设置!$B$7)</f>
        <v/>
      </c>
      <c r="N85" t="str">
        <f t="shared" si="5"/>
        <v/>
      </c>
    </row>
    <row r="86" spans="1:14" x14ac:dyDescent="0.25">
      <c r="A86">
        <v>17</v>
      </c>
      <c r="C86" t="s">
        <v>32</v>
      </c>
      <c r="J86" t="str">
        <f t="shared" si="3"/>
        <v/>
      </c>
      <c r="K86" t="str">
        <f t="shared" si="4"/>
        <v/>
      </c>
      <c r="L86" t="str">
        <f>IF(C86&lt;&gt;"ST1","",IF(K86="","",K86*(1+参数设置!$B$6)))</f>
        <v/>
      </c>
      <c r="M86" t="str">
        <f>IF(A86="","",参数设置!$B$7)</f>
        <v/>
      </c>
      <c r="N86" t="str">
        <f t="shared" si="5"/>
        <v/>
      </c>
    </row>
    <row r="87" spans="1:14" x14ac:dyDescent="0.25">
      <c r="A87">
        <v>17</v>
      </c>
      <c r="C87" t="s">
        <v>33</v>
      </c>
      <c r="J87" t="str">
        <f t="shared" si="3"/>
        <v/>
      </c>
      <c r="K87" t="str">
        <f t="shared" si="4"/>
        <v/>
      </c>
      <c r="L87" t="str">
        <f>IF(C87&lt;&gt;"ST1","",IF(K87="","",K87*(1+参数设置!$B$6)))</f>
        <v/>
      </c>
      <c r="M87" t="str">
        <f>IF(A87="","",参数设置!$B$7)</f>
        <v/>
      </c>
      <c r="N87" t="str">
        <f t="shared" si="5"/>
        <v/>
      </c>
    </row>
    <row r="88" spans="1:14" x14ac:dyDescent="0.25">
      <c r="A88">
        <v>18</v>
      </c>
      <c r="C88" t="s">
        <v>29</v>
      </c>
      <c r="J88" t="str">
        <f t="shared" si="3"/>
        <v/>
      </c>
      <c r="K88">
        <f t="shared" si="4"/>
        <v>0</v>
      </c>
      <c r="L88">
        <f>IF(C88&lt;&gt;"ST1","",IF(K88="","",K88*(1+参数设置!$B$6)))</f>
        <v>0</v>
      </c>
      <c r="M88" t="str">
        <f>IF(A88="","",参数设置!$B$7)</f>
        <v/>
      </c>
      <c r="N88" t="str">
        <f t="shared" si="5"/>
        <v/>
      </c>
    </row>
    <row r="89" spans="1:14" x14ac:dyDescent="0.25">
      <c r="A89">
        <v>18</v>
      </c>
      <c r="C89" t="s">
        <v>30</v>
      </c>
      <c r="J89" t="str">
        <f t="shared" si="3"/>
        <v/>
      </c>
      <c r="K89" t="str">
        <f t="shared" si="4"/>
        <v/>
      </c>
      <c r="L89" t="str">
        <f>IF(C89&lt;&gt;"ST1","",IF(K89="","",K89*(1+参数设置!$B$6)))</f>
        <v/>
      </c>
      <c r="M89" t="str">
        <f>IF(A89="","",参数设置!$B$7)</f>
        <v/>
      </c>
      <c r="N89" t="str">
        <f t="shared" si="5"/>
        <v/>
      </c>
    </row>
    <row r="90" spans="1:14" x14ac:dyDescent="0.25">
      <c r="A90">
        <v>18</v>
      </c>
      <c r="C90" t="s">
        <v>31</v>
      </c>
      <c r="J90" t="str">
        <f t="shared" si="3"/>
        <v/>
      </c>
      <c r="K90" t="str">
        <f t="shared" si="4"/>
        <v/>
      </c>
      <c r="L90" t="str">
        <f>IF(C90&lt;&gt;"ST1","",IF(K90="","",K90*(1+参数设置!$B$6)))</f>
        <v/>
      </c>
      <c r="M90" t="str">
        <f>IF(A90="","",参数设置!$B$7)</f>
        <v/>
      </c>
      <c r="N90" t="str">
        <f t="shared" si="5"/>
        <v/>
      </c>
    </row>
    <row r="91" spans="1:14" x14ac:dyDescent="0.25">
      <c r="A91">
        <v>18</v>
      </c>
      <c r="C91" t="s">
        <v>32</v>
      </c>
      <c r="J91" t="str">
        <f t="shared" si="3"/>
        <v/>
      </c>
      <c r="K91" t="str">
        <f t="shared" si="4"/>
        <v/>
      </c>
      <c r="L91" t="str">
        <f>IF(C91&lt;&gt;"ST1","",IF(K91="","",K91*(1+参数设置!$B$6)))</f>
        <v/>
      </c>
      <c r="M91" t="str">
        <f>IF(A91="","",参数设置!$B$7)</f>
        <v/>
      </c>
      <c r="N91" t="str">
        <f t="shared" si="5"/>
        <v/>
      </c>
    </row>
    <row r="92" spans="1:14" x14ac:dyDescent="0.25">
      <c r="A92">
        <v>18</v>
      </c>
      <c r="C92" t="s">
        <v>33</v>
      </c>
      <c r="J92" t="str">
        <f t="shared" si="3"/>
        <v/>
      </c>
      <c r="K92" t="str">
        <f t="shared" si="4"/>
        <v/>
      </c>
      <c r="L92" t="str">
        <f>IF(C92&lt;&gt;"ST1","",IF(K92="","",K92*(1+参数设置!$B$6)))</f>
        <v/>
      </c>
      <c r="M92" t="str">
        <f>IF(A92="","",参数设置!$B$7)</f>
        <v/>
      </c>
      <c r="N92" t="str">
        <f t="shared" si="5"/>
        <v/>
      </c>
    </row>
    <row r="93" spans="1:14" x14ac:dyDescent="0.25">
      <c r="A93">
        <v>19</v>
      </c>
      <c r="C93" t="s">
        <v>29</v>
      </c>
      <c r="J93" t="str">
        <f t="shared" si="3"/>
        <v/>
      </c>
      <c r="K93">
        <f t="shared" si="4"/>
        <v>0</v>
      </c>
      <c r="L93">
        <f>IF(C93&lt;&gt;"ST1","",IF(K93="","",K93*(1+参数设置!$B$6)))</f>
        <v>0</v>
      </c>
      <c r="M93" t="str">
        <f>IF(A93="","",参数设置!$B$7)</f>
        <v/>
      </c>
      <c r="N93" t="str">
        <f t="shared" si="5"/>
        <v/>
      </c>
    </row>
    <row r="94" spans="1:14" x14ac:dyDescent="0.25">
      <c r="A94">
        <v>19</v>
      </c>
      <c r="C94" t="s">
        <v>30</v>
      </c>
      <c r="J94" t="str">
        <f t="shared" si="3"/>
        <v/>
      </c>
      <c r="K94" t="str">
        <f t="shared" si="4"/>
        <v/>
      </c>
      <c r="L94" t="str">
        <f>IF(C94&lt;&gt;"ST1","",IF(K94="","",K94*(1+参数设置!$B$6)))</f>
        <v/>
      </c>
      <c r="M94" t="str">
        <f>IF(A94="","",参数设置!$B$7)</f>
        <v/>
      </c>
      <c r="N94" t="str">
        <f t="shared" si="5"/>
        <v/>
      </c>
    </row>
    <row r="95" spans="1:14" x14ac:dyDescent="0.25">
      <c r="A95">
        <v>19</v>
      </c>
      <c r="C95" t="s">
        <v>31</v>
      </c>
      <c r="J95" t="str">
        <f t="shared" si="3"/>
        <v/>
      </c>
      <c r="K95" t="str">
        <f t="shared" si="4"/>
        <v/>
      </c>
      <c r="L95" t="str">
        <f>IF(C95&lt;&gt;"ST1","",IF(K95="","",K95*(1+参数设置!$B$6)))</f>
        <v/>
      </c>
      <c r="M95" t="str">
        <f>IF(A95="","",参数设置!$B$7)</f>
        <v/>
      </c>
      <c r="N95" t="str">
        <f t="shared" si="5"/>
        <v/>
      </c>
    </row>
    <row r="96" spans="1:14" x14ac:dyDescent="0.25">
      <c r="A96">
        <v>19</v>
      </c>
      <c r="C96" t="s">
        <v>32</v>
      </c>
      <c r="J96" t="str">
        <f t="shared" si="3"/>
        <v/>
      </c>
      <c r="K96" t="str">
        <f t="shared" si="4"/>
        <v/>
      </c>
      <c r="L96" t="str">
        <f>IF(C96&lt;&gt;"ST1","",IF(K96="","",K96*(1+参数设置!$B$6)))</f>
        <v/>
      </c>
      <c r="M96" t="str">
        <f>IF(A96="","",参数设置!$B$7)</f>
        <v/>
      </c>
      <c r="N96" t="str">
        <f t="shared" si="5"/>
        <v/>
      </c>
    </row>
    <row r="97" spans="1:14" x14ac:dyDescent="0.25">
      <c r="A97">
        <v>19</v>
      </c>
      <c r="C97" t="s">
        <v>33</v>
      </c>
      <c r="J97" t="str">
        <f t="shared" si="3"/>
        <v/>
      </c>
      <c r="K97" t="str">
        <f t="shared" si="4"/>
        <v/>
      </c>
      <c r="L97" t="str">
        <f>IF(C97&lt;&gt;"ST1","",IF(K97="","",K97*(1+参数设置!$B$6)))</f>
        <v/>
      </c>
      <c r="M97" t="str">
        <f>IF(A97="","",参数设置!$B$7)</f>
        <v/>
      </c>
      <c r="N97" t="str">
        <f t="shared" si="5"/>
        <v/>
      </c>
    </row>
    <row r="98" spans="1:14" x14ac:dyDescent="0.25">
      <c r="A98">
        <v>20</v>
      </c>
      <c r="C98" t="s">
        <v>29</v>
      </c>
      <c r="J98" t="str">
        <f t="shared" si="3"/>
        <v/>
      </c>
      <c r="K98">
        <f t="shared" si="4"/>
        <v>0</v>
      </c>
      <c r="L98">
        <f>IF(C98&lt;&gt;"ST1","",IF(K98="","",K98*(1+参数设置!$B$6)))</f>
        <v>0</v>
      </c>
      <c r="M98" t="str">
        <f>IF(A98="","",参数设置!$B$7)</f>
        <v/>
      </c>
      <c r="N98" t="str">
        <f t="shared" si="5"/>
        <v/>
      </c>
    </row>
    <row r="99" spans="1:14" x14ac:dyDescent="0.25">
      <c r="A99">
        <v>20</v>
      </c>
      <c r="C99" t="s">
        <v>30</v>
      </c>
      <c r="J99" t="str">
        <f t="shared" si="3"/>
        <v/>
      </c>
      <c r="K99" t="str">
        <f t="shared" si="4"/>
        <v/>
      </c>
      <c r="L99" t="str">
        <f>IF(C99&lt;&gt;"ST1","",IF(K99="","",K99*(1+参数设置!$B$6)))</f>
        <v/>
      </c>
      <c r="M99" t="str">
        <f>IF(A99="","",参数设置!$B$7)</f>
        <v/>
      </c>
      <c r="N99" t="str">
        <f t="shared" si="5"/>
        <v/>
      </c>
    </row>
    <row r="100" spans="1:14" x14ac:dyDescent="0.25">
      <c r="A100">
        <v>20</v>
      </c>
      <c r="C100" t="s">
        <v>31</v>
      </c>
      <c r="J100" t="str">
        <f t="shared" si="3"/>
        <v/>
      </c>
      <c r="K100" t="str">
        <f t="shared" si="4"/>
        <v/>
      </c>
      <c r="L100" t="str">
        <f>IF(C100&lt;&gt;"ST1","",IF(K100="","",K100*(1+参数设置!$B$6)))</f>
        <v/>
      </c>
      <c r="M100" t="str">
        <f>IF(A100="","",参数设置!$B$7)</f>
        <v/>
      </c>
      <c r="N100" t="str">
        <f t="shared" si="5"/>
        <v/>
      </c>
    </row>
    <row r="101" spans="1:14" x14ac:dyDescent="0.25">
      <c r="A101">
        <v>20</v>
      </c>
      <c r="C101" t="s">
        <v>32</v>
      </c>
      <c r="J101" t="str">
        <f t="shared" si="3"/>
        <v/>
      </c>
      <c r="K101" t="str">
        <f t="shared" si="4"/>
        <v/>
      </c>
      <c r="L101" t="str">
        <f>IF(C101&lt;&gt;"ST1","",IF(K101="","",K101*(1+参数设置!$B$6)))</f>
        <v/>
      </c>
      <c r="M101" t="str">
        <f>IF(A101="","",参数设置!$B$7)</f>
        <v/>
      </c>
      <c r="N101" t="str">
        <f t="shared" si="5"/>
        <v/>
      </c>
    </row>
    <row r="102" spans="1:14" x14ac:dyDescent="0.25">
      <c r="A102">
        <v>20</v>
      </c>
      <c r="C102" t="s">
        <v>33</v>
      </c>
      <c r="J102" t="str">
        <f t="shared" si="3"/>
        <v/>
      </c>
      <c r="K102" t="str">
        <f t="shared" si="4"/>
        <v/>
      </c>
      <c r="L102" t="str">
        <f>IF(C102&lt;&gt;"ST1","",IF(K102="","",K102*(1+参数设置!$B$6)))</f>
        <v/>
      </c>
      <c r="M102" t="str">
        <f>IF(A102="","",参数设置!$B$7)</f>
        <v/>
      </c>
      <c r="N102" t="str">
        <f t="shared" si="5"/>
        <v/>
      </c>
    </row>
    <row r="103" spans="1:14" x14ac:dyDescent="0.25">
      <c r="A103">
        <v>21</v>
      </c>
      <c r="C103" t="s">
        <v>29</v>
      </c>
      <c r="J103" t="str">
        <f t="shared" si="3"/>
        <v/>
      </c>
      <c r="K103">
        <f t="shared" si="4"/>
        <v>0</v>
      </c>
      <c r="L103">
        <f>IF(C103&lt;&gt;"ST1","",IF(K103="","",K103*(1+参数设置!$B$6)))</f>
        <v>0</v>
      </c>
      <c r="M103" t="str">
        <f>IF(A103="","",参数设置!$B$7)</f>
        <v/>
      </c>
      <c r="N103" t="str">
        <f t="shared" si="5"/>
        <v/>
      </c>
    </row>
    <row r="104" spans="1:14" x14ac:dyDescent="0.25">
      <c r="A104">
        <v>21</v>
      </c>
      <c r="C104" t="s">
        <v>30</v>
      </c>
      <c r="J104" t="str">
        <f t="shared" si="3"/>
        <v/>
      </c>
      <c r="K104" t="str">
        <f t="shared" si="4"/>
        <v/>
      </c>
      <c r="L104" t="str">
        <f>IF(C104&lt;&gt;"ST1","",IF(K104="","",K104*(1+参数设置!$B$6)))</f>
        <v/>
      </c>
      <c r="M104" t="str">
        <f>IF(A104="","",参数设置!$B$7)</f>
        <v/>
      </c>
      <c r="N104" t="str">
        <f t="shared" si="5"/>
        <v/>
      </c>
    </row>
    <row r="105" spans="1:14" x14ac:dyDescent="0.25">
      <c r="A105">
        <v>21</v>
      </c>
      <c r="C105" t="s">
        <v>31</v>
      </c>
      <c r="J105" t="str">
        <f t="shared" si="3"/>
        <v/>
      </c>
      <c r="K105" t="str">
        <f t="shared" si="4"/>
        <v/>
      </c>
      <c r="L105" t="str">
        <f>IF(C105&lt;&gt;"ST1","",IF(K105="","",K105*(1+参数设置!$B$6)))</f>
        <v/>
      </c>
      <c r="M105" t="str">
        <f>IF(A105="","",参数设置!$B$7)</f>
        <v/>
      </c>
      <c r="N105" t="str">
        <f t="shared" si="5"/>
        <v/>
      </c>
    </row>
    <row r="106" spans="1:14" x14ac:dyDescent="0.25">
      <c r="A106">
        <v>21</v>
      </c>
      <c r="C106" t="s">
        <v>32</v>
      </c>
      <c r="J106" t="str">
        <f t="shared" si="3"/>
        <v/>
      </c>
      <c r="K106" t="str">
        <f t="shared" si="4"/>
        <v/>
      </c>
      <c r="L106" t="str">
        <f>IF(C106&lt;&gt;"ST1","",IF(K106="","",K106*(1+参数设置!$B$6)))</f>
        <v/>
      </c>
      <c r="M106" t="str">
        <f>IF(A106="","",参数设置!$B$7)</f>
        <v/>
      </c>
      <c r="N106" t="str">
        <f t="shared" si="5"/>
        <v/>
      </c>
    </row>
    <row r="107" spans="1:14" x14ac:dyDescent="0.25">
      <c r="A107">
        <v>21</v>
      </c>
      <c r="C107" t="s">
        <v>33</v>
      </c>
      <c r="J107" t="str">
        <f t="shared" si="3"/>
        <v/>
      </c>
      <c r="K107" t="str">
        <f t="shared" si="4"/>
        <v/>
      </c>
      <c r="L107" t="str">
        <f>IF(C107&lt;&gt;"ST1","",IF(K107="","",K107*(1+参数设置!$B$6)))</f>
        <v/>
      </c>
      <c r="M107" t="str">
        <f>IF(A107="","",参数设置!$B$7)</f>
        <v/>
      </c>
      <c r="N107" t="str">
        <f t="shared" si="5"/>
        <v/>
      </c>
    </row>
    <row r="108" spans="1:14" x14ac:dyDescent="0.25">
      <c r="A108">
        <v>22</v>
      </c>
      <c r="C108" t="s">
        <v>29</v>
      </c>
      <c r="J108" t="str">
        <f t="shared" si="3"/>
        <v/>
      </c>
      <c r="K108">
        <f t="shared" si="4"/>
        <v>0</v>
      </c>
      <c r="L108">
        <f>IF(C108&lt;&gt;"ST1","",IF(K108="","",K108*(1+参数设置!$B$6)))</f>
        <v>0</v>
      </c>
      <c r="M108" t="str">
        <f>IF(A108="","",参数设置!$B$7)</f>
        <v/>
      </c>
      <c r="N108" t="str">
        <f t="shared" si="5"/>
        <v/>
      </c>
    </row>
    <row r="109" spans="1:14" x14ac:dyDescent="0.25">
      <c r="A109">
        <v>22</v>
      </c>
      <c r="C109" t="s">
        <v>30</v>
      </c>
      <c r="J109" t="str">
        <f t="shared" si="3"/>
        <v/>
      </c>
      <c r="K109" t="str">
        <f t="shared" si="4"/>
        <v/>
      </c>
      <c r="L109" t="str">
        <f>IF(C109&lt;&gt;"ST1","",IF(K109="","",K109*(1+参数设置!$B$6)))</f>
        <v/>
      </c>
      <c r="M109" t="str">
        <f>IF(A109="","",参数设置!$B$7)</f>
        <v/>
      </c>
      <c r="N109" t="str">
        <f t="shared" si="5"/>
        <v/>
      </c>
    </row>
    <row r="110" spans="1:14" x14ac:dyDescent="0.25">
      <c r="A110">
        <v>22</v>
      </c>
      <c r="C110" t="s">
        <v>31</v>
      </c>
      <c r="J110" t="str">
        <f t="shared" si="3"/>
        <v/>
      </c>
      <c r="K110" t="str">
        <f t="shared" si="4"/>
        <v/>
      </c>
      <c r="L110" t="str">
        <f>IF(C110&lt;&gt;"ST1","",IF(K110="","",K110*(1+参数设置!$B$6)))</f>
        <v/>
      </c>
      <c r="M110" t="str">
        <f>IF(A110="","",参数设置!$B$7)</f>
        <v/>
      </c>
      <c r="N110" t="str">
        <f t="shared" si="5"/>
        <v/>
      </c>
    </row>
    <row r="111" spans="1:14" x14ac:dyDescent="0.25">
      <c r="A111">
        <v>22</v>
      </c>
      <c r="C111" t="s">
        <v>32</v>
      </c>
      <c r="J111" t="str">
        <f t="shared" si="3"/>
        <v/>
      </c>
      <c r="K111" t="str">
        <f t="shared" si="4"/>
        <v/>
      </c>
      <c r="L111" t="str">
        <f>IF(C111&lt;&gt;"ST1","",IF(K111="","",K111*(1+参数设置!$B$6)))</f>
        <v/>
      </c>
      <c r="M111" t="str">
        <f>IF(A111="","",参数设置!$B$7)</f>
        <v/>
      </c>
      <c r="N111" t="str">
        <f t="shared" si="5"/>
        <v/>
      </c>
    </row>
    <row r="112" spans="1:14" x14ac:dyDescent="0.25">
      <c r="A112">
        <v>22</v>
      </c>
      <c r="C112" t="s">
        <v>33</v>
      </c>
      <c r="J112" t="str">
        <f t="shared" si="3"/>
        <v/>
      </c>
      <c r="K112" t="str">
        <f t="shared" si="4"/>
        <v/>
      </c>
      <c r="L112" t="str">
        <f>IF(C112&lt;&gt;"ST1","",IF(K112="","",K112*(1+参数设置!$B$6)))</f>
        <v/>
      </c>
      <c r="M112" t="str">
        <f>IF(A112="","",参数设置!$B$7)</f>
        <v/>
      </c>
      <c r="N112" t="str">
        <f t="shared" si="5"/>
        <v/>
      </c>
    </row>
    <row r="113" spans="1:14" x14ac:dyDescent="0.25">
      <c r="A113">
        <v>23</v>
      </c>
      <c r="C113" t="s">
        <v>29</v>
      </c>
      <c r="J113" t="str">
        <f t="shared" si="3"/>
        <v/>
      </c>
      <c r="K113">
        <f t="shared" si="4"/>
        <v>0</v>
      </c>
      <c r="L113">
        <f>IF(C113&lt;&gt;"ST1","",IF(K113="","",K113*(1+参数设置!$B$6)))</f>
        <v>0</v>
      </c>
      <c r="M113" t="str">
        <f>IF(A113="","",参数设置!$B$7)</f>
        <v/>
      </c>
      <c r="N113" t="str">
        <f t="shared" si="5"/>
        <v/>
      </c>
    </row>
    <row r="114" spans="1:14" x14ac:dyDescent="0.25">
      <c r="A114">
        <v>23</v>
      </c>
      <c r="C114" t="s">
        <v>30</v>
      </c>
      <c r="J114" t="str">
        <f t="shared" si="3"/>
        <v/>
      </c>
      <c r="K114" t="str">
        <f t="shared" si="4"/>
        <v/>
      </c>
      <c r="L114" t="str">
        <f>IF(C114&lt;&gt;"ST1","",IF(K114="","",K114*(1+参数设置!$B$6)))</f>
        <v/>
      </c>
      <c r="M114" t="str">
        <f>IF(A114="","",参数设置!$B$7)</f>
        <v/>
      </c>
      <c r="N114" t="str">
        <f t="shared" si="5"/>
        <v/>
      </c>
    </row>
    <row r="115" spans="1:14" x14ac:dyDescent="0.25">
      <c r="A115">
        <v>23</v>
      </c>
      <c r="C115" t="s">
        <v>31</v>
      </c>
      <c r="J115" t="str">
        <f t="shared" si="3"/>
        <v/>
      </c>
      <c r="K115" t="str">
        <f t="shared" si="4"/>
        <v/>
      </c>
      <c r="L115" t="str">
        <f>IF(C115&lt;&gt;"ST1","",IF(K115="","",K115*(1+参数设置!$B$6)))</f>
        <v/>
      </c>
      <c r="M115" t="str">
        <f>IF(A115="","",参数设置!$B$7)</f>
        <v/>
      </c>
      <c r="N115" t="str">
        <f t="shared" si="5"/>
        <v/>
      </c>
    </row>
    <row r="116" spans="1:14" x14ac:dyDescent="0.25">
      <c r="A116">
        <v>23</v>
      </c>
      <c r="C116" t="s">
        <v>32</v>
      </c>
      <c r="J116" t="str">
        <f t="shared" si="3"/>
        <v/>
      </c>
      <c r="K116" t="str">
        <f t="shared" si="4"/>
        <v/>
      </c>
      <c r="L116" t="str">
        <f>IF(C116&lt;&gt;"ST1","",IF(K116="","",K116*(1+参数设置!$B$6)))</f>
        <v/>
      </c>
      <c r="M116" t="str">
        <f>IF(A116="","",参数设置!$B$7)</f>
        <v/>
      </c>
      <c r="N116" t="str">
        <f t="shared" si="5"/>
        <v/>
      </c>
    </row>
    <row r="117" spans="1:14" x14ac:dyDescent="0.25">
      <c r="A117">
        <v>23</v>
      </c>
      <c r="C117" t="s">
        <v>33</v>
      </c>
      <c r="J117" t="str">
        <f t="shared" si="3"/>
        <v/>
      </c>
      <c r="K117" t="str">
        <f t="shared" si="4"/>
        <v/>
      </c>
      <c r="L117" t="str">
        <f>IF(C117&lt;&gt;"ST1","",IF(K117="","",K117*(1+参数设置!$B$6)))</f>
        <v/>
      </c>
      <c r="M117" t="str">
        <f>IF(A117="","",参数设置!$B$7)</f>
        <v/>
      </c>
      <c r="N117" t="str">
        <f t="shared" si="5"/>
        <v/>
      </c>
    </row>
    <row r="118" spans="1:14" x14ac:dyDescent="0.25">
      <c r="A118">
        <v>24</v>
      </c>
      <c r="C118" t="s">
        <v>29</v>
      </c>
      <c r="J118" t="str">
        <f t="shared" si="3"/>
        <v/>
      </c>
      <c r="K118">
        <f t="shared" si="4"/>
        <v>0</v>
      </c>
      <c r="L118">
        <f>IF(C118&lt;&gt;"ST1","",IF(K118="","",K118*(1+参数设置!$B$6)))</f>
        <v>0</v>
      </c>
      <c r="M118" t="str">
        <f>IF(A118="","",参数设置!$B$7)</f>
        <v/>
      </c>
      <c r="N118" t="str">
        <f t="shared" si="5"/>
        <v/>
      </c>
    </row>
    <row r="119" spans="1:14" x14ac:dyDescent="0.25">
      <c r="A119">
        <v>24</v>
      </c>
      <c r="C119" t="s">
        <v>30</v>
      </c>
      <c r="J119" t="str">
        <f t="shared" si="3"/>
        <v/>
      </c>
      <c r="K119" t="str">
        <f t="shared" si="4"/>
        <v/>
      </c>
      <c r="L119" t="str">
        <f>IF(C119&lt;&gt;"ST1","",IF(K119="","",K119*(1+参数设置!$B$6)))</f>
        <v/>
      </c>
      <c r="M119" t="str">
        <f>IF(A119="","",参数设置!$B$7)</f>
        <v/>
      </c>
      <c r="N119" t="str">
        <f t="shared" si="5"/>
        <v/>
      </c>
    </row>
    <row r="120" spans="1:14" x14ac:dyDescent="0.25">
      <c r="A120">
        <v>24</v>
      </c>
      <c r="C120" t="s">
        <v>31</v>
      </c>
      <c r="J120" t="str">
        <f t="shared" si="3"/>
        <v/>
      </c>
      <c r="K120" t="str">
        <f t="shared" si="4"/>
        <v/>
      </c>
      <c r="L120" t="str">
        <f>IF(C120&lt;&gt;"ST1","",IF(K120="","",K120*(1+参数设置!$B$6)))</f>
        <v/>
      </c>
      <c r="M120" t="str">
        <f>IF(A120="","",参数设置!$B$7)</f>
        <v/>
      </c>
      <c r="N120" t="str">
        <f t="shared" si="5"/>
        <v/>
      </c>
    </row>
    <row r="121" spans="1:14" x14ac:dyDescent="0.25">
      <c r="A121">
        <v>24</v>
      </c>
      <c r="C121" t="s">
        <v>32</v>
      </c>
      <c r="J121" t="str">
        <f t="shared" si="3"/>
        <v/>
      </c>
      <c r="K121" t="str">
        <f t="shared" si="4"/>
        <v/>
      </c>
      <c r="L121" t="str">
        <f>IF(C121&lt;&gt;"ST1","",IF(K121="","",K121*(1+参数设置!$B$6)))</f>
        <v/>
      </c>
      <c r="M121" t="str">
        <f>IF(A121="","",参数设置!$B$7)</f>
        <v/>
      </c>
      <c r="N121" t="str">
        <f t="shared" si="5"/>
        <v/>
      </c>
    </row>
    <row r="122" spans="1:14" x14ac:dyDescent="0.25">
      <c r="A122">
        <v>24</v>
      </c>
      <c r="C122" t="s">
        <v>33</v>
      </c>
      <c r="J122" t="str">
        <f t="shared" si="3"/>
        <v/>
      </c>
      <c r="K122" t="str">
        <f t="shared" si="4"/>
        <v/>
      </c>
      <c r="L122" t="str">
        <f>IF(C122&lt;&gt;"ST1","",IF(K122="","",K122*(1+参数设置!$B$6)))</f>
        <v/>
      </c>
      <c r="M122" t="str">
        <f>IF(A122="","",参数设置!$B$7)</f>
        <v/>
      </c>
      <c r="N122" t="str">
        <f t="shared" si="5"/>
        <v/>
      </c>
    </row>
    <row r="123" spans="1:14" x14ac:dyDescent="0.25">
      <c r="A123">
        <v>25</v>
      </c>
      <c r="C123" t="s">
        <v>29</v>
      </c>
      <c r="J123" t="str">
        <f t="shared" si="3"/>
        <v/>
      </c>
      <c r="K123">
        <f t="shared" si="4"/>
        <v>0</v>
      </c>
      <c r="L123">
        <f>IF(C123&lt;&gt;"ST1","",IF(K123="","",K123*(1+参数设置!$B$6)))</f>
        <v>0</v>
      </c>
      <c r="M123" t="str">
        <f>IF(A123="","",参数设置!$B$7)</f>
        <v/>
      </c>
      <c r="N123" t="str">
        <f t="shared" si="5"/>
        <v/>
      </c>
    </row>
    <row r="124" spans="1:14" x14ac:dyDescent="0.25">
      <c r="A124">
        <v>25</v>
      </c>
      <c r="C124" t="s">
        <v>30</v>
      </c>
      <c r="J124" t="str">
        <f t="shared" si="3"/>
        <v/>
      </c>
      <c r="K124" t="str">
        <f t="shared" si="4"/>
        <v/>
      </c>
      <c r="L124" t="str">
        <f>IF(C124&lt;&gt;"ST1","",IF(K124="","",K124*(1+参数设置!$B$6)))</f>
        <v/>
      </c>
      <c r="M124" t="str">
        <f>IF(A124="","",参数设置!$B$7)</f>
        <v/>
      </c>
      <c r="N124" t="str">
        <f t="shared" si="5"/>
        <v/>
      </c>
    </row>
    <row r="125" spans="1:14" x14ac:dyDescent="0.25">
      <c r="A125">
        <v>25</v>
      </c>
      <c r="C125" t="s">
        <v>31</v>
      </c>
      <c r="J125" t="str">
        <f t="shared" si="3"/>
        <v/>
      </c>
      <c r="K125" t="str">
        <f t="shared" si="4"/>
        <v/>
      </c>
      <c r="L125" t="str">
        <f>IF(C125&lt;&gt;"ST1","",IF(K125="","",K125*(1+参数设置!$B$6)))</f>
        <v/>
      </c>
      <c r="M125" t="str">
        <f>IF(A125="","",参数设置!$B$7)</f>
        <v/>
      </c>
      <c r="N125" t="str">
        <f t="shared" si="5"/>
        <v/>
      </c>
    </row>
    <row r="126" spans="1:14" x14ac:dyDescent="0.25">
      <c r="A126">
        <v>25</v>
      </c>
      <c r="C126" t="s">
        <v>32</v>
      </c>
      <c r="J126" t="str">
        <f t="shared" si="3"/>
        <v/>
      </c>
      <c r="K126" t="str">
        <f t="shared" si="4"/>
        <v/>
      </c>
      <c r="L126" t="str">
        <f>IF(C126&lt;&gt;"ST1","",IF(K126="","",K126*(1+参数设置!$B$6)))</f>
        <v/>
      </c>
      <c r="M126" t="str">
        <f>IF(A126="","",参数设置!$B$7)</f>
        <v/>
      </c>
      <c r="N126" t="str">
        <f t="shared" si="5"/>
        <v/>
      </c>
    </row>
    <row r="127" spans="1:14" x14ac:dyDescent="0.25">
      <c r="A127">
        <v>25</v>
      </c>
      <c r="C127" t="s">
        <v>33</v>
      </c>
      <c r="J127" t="str">
        <f t="shared" si="3"/>
        <v/>
      </c>
      <c r="K127" t="str">
        <f t="shared" si="4"/>
        <v/>
      </c>
      <c r="L127" t="str">
        <f>IF(C127&lt;&gt;"ST1","",IF(K127="","",K127*(1+参数设置!$B$6)))</f>
        <v/>
      </c>
      <c r="M127" t="str">
        <f>IF(A127="","",参数设置!$B$7)</f>
        <v/>
      </c>
      <c r="N127" t="str">
        <f t="shared" si="5"/>
        <v/>
      </c>
    </row>
    <row r="128" spans="1:14" x14ac:dyDescent="0.25">
      <c r="A128">
        <v>26</v>
      </c>
      <c r="C128" t="s">
        <v>29</v>
      </c>
      <c r="J128" t="str">
        <f t="shared" si="3"/>
        <v/>
      </c>
      <c r="K128">
        <f t="shared" si="4"/>
        <v>0</v>
      </c>
      <c r="L128">
        <f>IF(C128&lt;&gt;"ST1","",IF(K128="","",K128*(1+参数设置!$B$6)))</f>
        <v>0</v>
      </c>
      <c r="M128" t="str">
        <f>IF(A128="","",参数设置!$B$7)</f>
        <v/>
      </c>
      <c r="N128" t="str">
        <f t="shared" si="5"/>
        <v/>
      </c>
    </row>
    <row r="129" spans="1:14" x14ac:dyDescent="0.25">
      <c r="A129">
        <v>26</v>
      </c>
      <c r="C129" t="s">
        <v>30</v>
      </c>
      <c r="J129" t="str">
        <f t="shared" si="3"/>
        <v/>
      </c>
      <c r="K129" t="str">
        <f t="shared" si="4"/>
        <v/>
      </c>
      <c r="L129" t="str">
        <f>IF(C129&lt;&gt;"ST1","",IF(K129="","",K129*(1+参数设置!$B$6)))</f>
        <v/>
      </c>
      <c r="M129" t="str">
        <f>IF(A129="","",参数设置!$B$7)</f>
        <v/>
      </c>
      <c r="N129" t="str">
        <f t="shared" si="5"/>
        <v/>
      </c>
    </row>
    <row r="130" spans="1:14" x14ac:dyDescent="0.25">
      <c r="A130">
        <v>26</v>
      </c>
      <c r="C130" t="s">
        <v>31</v>
      </c>
      <c r="J130" t="str">
        <f t="shared" si="3"/>
        <v/>
      </c>
      <c r="K130" t="str">
        <f t="shared" si="4"/>
        <v/>
      </c>
      <c r="L130" t="str">
        <f>IF(C130&lt;&gt;"ST1","",IF(K130="","",K130*(1+参数设置!$B$6)))</f>
        <v/>
      </c>
      <c r="M130" t="str">
        <f>IF(A130="","",参数设置!$B$7)</f>
        <v/>
      </c>
      <c r="N130" t="str">
        <f t="shared" si="5"/>
        <v/>
      </c>
    </row>
    <row r="131" spans="1:14" x14ac:dyDescent="0.25">
      <c r="A131">
        <v>26</v>
      </c>
      <c r="C131" t="s">
        <v>32</v>
      </c>
      <c r="J131" t="str">
        <f t="shared" ref="J131:J194" si="6">IF(COUNT(E131:I131)=0,"",AVERAGE(E131:I131))</f>
        <v/>
      </c>
      <c r="K131" t="str">
        <f t="shared" ref="K131:K194" si="7">IF(C131&lt;&gt;"ST1","",IF(COUNTIFS($A:$A,A131,$J:$J,"&lt;&gt;")=0,"",SUMIFS($J:$J,$A:$A,A131)))</f>
        <v/>
      </c>
      <c r="L131" t="str">
        <f>IF(C131&lt;&gt;"ST1","",IF(K131="","",K131*(1+参数设置!$B$6)))</f>
        <v/>
      </c>
      <c r="M131" t="str">
        <f>IF(A131="","",参数设置!$B$7)</f>
        <v/>
      </c>
      <c r="N131" t="str">
        <f t="shared" ref="N131:N194" si="8">IF(K131="","",IF(M131="","",IF(K131&gt;M131,"超节拍",IF(K131&gt;=M131*0.9,"接近上限","正常"))))</f>
        <v/>
      </c>
    </row>
    <row r="132" spans="1:14" x14ac:dyDescent="0.25">
      <c r="A132">
        <v>26</v>
      </c>
      <c r="C132" t="s">
        <v>33</v>
      </c>
      <c r="J132" t="str">
        <f t="shared" si="6"/>
        <v/>
      </c>
      <c r="K132" t="str">
        <f t="shared" si="7"/>
        <v/>
      </c>
      <c r="L132" t="str">
        <f>IF(C132&lt;&gt;"ST1","",IF(K132="","",K132*(1+参数设置!$B$6)))</f>
        <v/>
      </c>
      <c r="M132" t="str">
        <f>IF(A132="","",参数设置!$B$7)</f>
        <v/>
      </c>
      <c r="N132" t="str">
        <f t="shared" si="8"/>
        <v/>
      </c>
    </row>
    <row r="133" spans="1:14" x14ac:dyDescent="0.25">
      <c r="A133">
        <v>27</v>
      </c>
      <c r="C133" t="s">
        <v>29</v>
      </c>
      <c r="J133" t="str">
        <f t="shared" si="6"/>
        <v/>
      </c>
      <c r="K133">
        <f t="shared" si="7"/>
        <v>0</v>
      </c>
      <c r="L133">
        <f>IF(C133&lt;&gt;"ST1","",IF(K133="","",K133*(1+参数设置!$B$6)))</f>
        <v>0</v>
      </c>
      <c r="M133" t="str">
        <f>IF(A133="","",参数设置!$B$7)</f>
        <v/>
      </c>
      <c r="N133" t="str">
        <f t="shared" si="8"/>
        <v/>
      </c>
    </row>
    <row r="134" spans="1:14" x14ac:dyDescent="0.25">
      <c r="A134">
        <v>27</v>
      </c>
      <c r="C134" t="s">
        <v>30</v>
      </c>
      <c r="J134" t="str">
        <f t="shared" si="6"/>
        <v/>
      </c>
      <c r="K134" t="str">
        <f t="shared" si="7"/>
        <v/>
      </c>
      <c r="L134" t="str">
        <f>IF(C134&lt;&gt;"ST1","",IF(K134="","",K134*(1+参数设置!$B$6)))</f>
        <v/>
      </c>
      <c r="M134" t="str">
        <f>IF(A134="","",参数设置!$B$7)</f>
        <v/>
      </c>
      <c r="N134" t="str">
        <f t="shared" si="8"/>
        <v/>
      </c>
    </row>
    <row r="135" spans="1:14" x14ac:dyDescent="0.25">
      <c r="A135">
        <v>27</v>
      </c>
      <c r="C135" t="s">
        <v>31</v>
      </c>
      <c r="J135" t="str">
        <f t="shared" si="6"/>
        <v/>
      </c>
      <c r="K135" t="str">
        <f t="shared" si="7"/>
        <v/>
      </c>
      <c r="L135" t="str">
        <f>IF(C135&lt;&gt;"ST1","",IF(K135="","",K135*(1+参数设置!$B$6)))</f>
        <v/>
      </c>
      <c r="M135" t="str">
        <f>IF(A135="","",参数设置!$B$7)</f>
        <v/>
      </c>
      <c r="N135" t="str">
        <f t="shared" si="8"/>
        <v/>
      </c>
    </row>
    <row r="136" spans="1:14" x14ac:dyDescent="0.25">
      <c r="A136">
        <v>27</v>
      </c>
      <c r="C136" t="s">
        <v>32</v>
      </c>
      <c r="J136" t="str">
        <f t="shared" si="6"/>
        <v/>
      </c>
      <c r="K136" t="str">
        <f t="shared" si="7"/>
        <v/>
      </c>
      <c r="L136" t="str">
        <f>IF(C136&lt;&gt;"ST1","",IF(K136="","",K136*(1+参数设置!$B$6)))</f>
        <v/>
      </c>
      <c r="M136" t="str">
        <f>IF(A136="","",参数设置!$B$7)</f>
        <v/>
      </c>
      <c r="N136" t="str">
        <f t="shared" si="8"/>
        <v/>
      </c>
    </row>
    <row r="137" spans="1:14" x14ac:dyDescent="0.25">
      <c r="A137">
        <v>27</v>
      </c>
      <c r="C137" t="s">
        <v>33</v>
      </c>
      <c r="J137" t="str">
        <f t="shared" si="6"/>
        <v/>
      </c>
      <c r="K137" t="str">
        <f t="shared" si="7"/>
        <v/>
      </c>
      <c r="L137" t="str">
        <f>IF(C137&lt;&gt;"ST1","",IF(K137="","",K137*(1+参数设置!$B$6)))</f>
        <v/>
      </c>
      <c r="M137" t="str">
        <f>IF(A137="","",参数设置!$B$7)</f>
        <v/>
      </c>
      <c r="N137" t="str">
        <f t="shared" si="8"/>
        <v/>
      </c>
    </row>
    <row r="138" spans="1:14" x14ac:dyDescent="0.25">
      <c r="A138">
        <v>28</v>
      </c>
      <c r="C138" t="s">
        <v>29</v>
      </c>
      <c r="J138" t="str">
        <f t="shared" si="6"/>
        <v/>
      </c>
      <c r="K138">
        <f t="shared" si="7"/>
        <v>0</v>
      </c>
      <c r="L138">
        <f>IF(C138&lt;&gt;"ST1","",IF(K138="","",K138*(1+参数设置!$B$6)))</f>
        <v>0</v>
      </c>
      <c r="M138" t="str">
        <f>IF(A138="","",参数设置!$B$7)</f>
        <v/>
      </c>
      <c r="N138" t="str">
        <f t="shared" si="8"/>
        <v/>
      </c>
    </row>
    <row r="139" spans="1:14" x14ac:dyDescent="0.25">
      <c r="A139">
        <v>28</v>
      </c>
      <c r="C139" t="s">
        <v>30</v>
      </c>
      <c r="J139" t="str">
        <f t="shared" si="6"/>
        <v/>
      </c>
      <c r="K139" t="str">
        <f t="shared" si="7"/>
        <v/>
      </c>
      <c r="L139" t="str">
        <f>IF(C139&lt;&gt;"ST1","",IF(K139="","",K139*(1+参数设置!$B$6)))</f>
        <v/>
      </c>
      <c r="M139" t="str">
        <f>IF(A139="","",参数设置!$B$7)</f>
        <v/>
      </c>
      <c r="N139" t="str">
        <f t="shared" si="8"/>
        <v/>
      </c>
    </row>
    <row r="140" spans="1:14" x14ac:dyDescent="0.25">
      <c r="A140">
        <v>28</v>
      </c>
      <c r="C140" t="s">
        <v>31</v>
      </c>
      <c r="J140" t="str">
        <f t="shared" si="6"/>
        <v/>
      </c>
      <c r="K140" t="str">
        <f t="shared" si="7"/>
        <v/>
      </c>
      <c r="L140" t="str">
        <f>IF(C140&lt;&gt;"ST1","",IF(K140="","",K140*(1+参数设置!$B$6)))</f>
        <v/>
      </c>
      <c r="M140" t="str">
        <f>IF(A140="","",参数设置!$B$7)</f>
        <v/>
      </c>
      <c r="N140" t="str">
        <f t="shared" si="8"/>
        <v/>
      </c>
    </row>
    <row r="141" spans="1:14" x14ac:dyDescent="0.25">
      <c r="A141">
        <v>28</v>
      </c>
      <c r="C141" t="s">
        <v>32</v>
      </c>
      <c r="J141" t="str">
        <f t="shared" si="6"/>
        <v/>
      </c>
      <c r="K141" t="str">
        <f t="shared" si="7"/>
        <v/>
      </c>
      <c r="L141" t="str">
        <f>IF(C141&lt;&gt;"ST1","",IF(K141="","",K141*(1+参数设置!$B$6)))</f>
        <v/>
      </c>
      <c r="M141" t="str">
        <f>IF(A141="","",参数设置!$B$7)</f>
        <v/>
      </c>
      <c r="N141" t="str">
        <f t="shared" si="8"/>
        <v/>
      </c>
    </row>
    <row r="142" spans="1:14" x14ac:dyDescent="0.25">
      <c r="A142">
        <v>28</v>
      </c>
      <c r="C142" t="s">
        <v>33</v>
      </c>
      <c r="J142" t="str">
        <f t="shared" si="6"/>
        <v/>
      </c>
      <c r="K142" t="str">
        <f t="shared" si="7"/>
        <v/>
      </c>
      <c r="L142" t="str">
        <f>IF(C142&lt;&gt;"ST1","",IF(K142="","",K142*(1+参数设置!$B$6)))</f>
        <v/>
      </c>
      <c r="M142" t="str">
        <f>IF(A142="","",参数设置!$B$7)</f>
        <v/>
      </c>
      <c r="N142" t="str">
        <f t="shared" si="8"/>
        <v/>
      </c>
    </row>
    <row r="143" spans="1:14" x14ac:dyDescent="0.25">
      <c r="A143">
        <v>29</v>
      </c>
      <c r="C143" t="s">
        <v>29</v>
      </c>
      <c r="J143" t="str">
        <f t="shared" si="6"/>
        <v/>
      </c>
      <c r="K143">
        <f t="shared" si="7"/>
        <v>0</v>
      </c>
      <c r="L143">
        <f>IF(C143&lt;&gt;"ST1","",IF(K143="","",K143*(1+参数设置!$B$6)))</f>
        <v>0</v>
      </c>
      <c r="M143" t="str">
        <f>IF(A143="","",参数设置!$B$7)</f>
        <v/>
      </c>
      <c r="N143" t="str">
        <f t="shared" si="8"/>
        <v/>
      </c>
    </row>
    <row r="144" spans="1:14" x14ac:dyDescent="0.25">
      <c r="A144">
        <v>29</v>
      </c>
      <c r="C144" t="s">
        <v>30</v>
      </c>
      <c r="J144" t="str">
        <f t="shared" si="6"/>
        <v/>
      </c>
      <c r="K144" t="str">
        <f t="shared" si="7"/>
        <v/>
      </c>
      <c r="L144" t="str">
        <f>IF(C144&lt;&gt;"ST1","",IF(K144="","",K144*(1+参数设置!$B$6)))</f>
        <v/>
      </c>
      <c r="M144" t="str">
        <f>IF(A144="","",参数设置!$B$7)</f>
        <v/>
      </c>
      <c r="N144" t="str">
        <f t="shared" si="8"/>
        <v/>
      </c>
    </row>
    <row r="145" spans="1:14" x14ac:dyDescent="0.25">
      <c r="A145">
        <v>29</v>
      </c>
      <c r="C145" t="s">
        <v>31</v>
      </c>
      <c r="J145" t="str">
        <f t="shared" si="6"/>
        <v/>
      </c>
      <c r="K145" t="str">
        <f t="shared" si="7"/>
        <v/>
      </c>
      <c r="L145" t="str">
        <f>IF(C145&lt;&gt;"ST1","",IF(K145="","",K145*(1+参数设置!$B$6)))</f>
        <v/>
      </c>
      <c r="M145" t="str">
        <f>IF(A145="","",参数设置!$B$7)</f>
        <v/>
      </c>
      <c r="N145" t="str">
        <f t="shared" si="8"/>
        <v/>
      </c>
    </row>
    <row r="146" spans="1:14" x14ac:dyDescent="0.25">
      <c r="A146">
        <v>29</v>
      </c>
      <c r="C146" t="s">
        <v>32</v>
      </c>
      <c r="J146" t="str">
        <f t="shared" si="6"/>
        <v/>
      </c>
      <c r="K146" t="str">
        <f t="shared" si="7"/>
        <v/>
      </c>
      <c r="L146" t="str">
        <f>IF(C146&lt;&gt;"ST1","",IF(K146="","",K146*(1+参数设置!$B$6)))</f>
        <v/>
      </c>
      <c r="M146" t="str">
        <f>IF(A146="","",参数设置!$B$7)</f>
        <v/>
      </c>
      <c r="N146" t="str">
        <f t="shared" si="8"/>
        <v/>
      </c>
    </row>
    <row r="147" spans="1:14" x14ac:dyDescent="0.25">
      <c r="A147">
        <v>29</v>
      </c>
      <c r="C147" t="s">
        <v>33</v>
      </c>
      <c r="J147" t="str">
        <f t="shared" si="6"/>
        <v/>
      </c>
      <c r="K147" t="str">
        <f t="shared" si="7"/>
        <v/>
      </c>
      <c r="L147" t="str">
        <f>IF(C147&lt;&gt;"ST1","",IF(K147="","",K147*(1+参数设置!$B$6)))</f>
        <v/>
      </c>
      <c r="M147" t="str">
        <f>IF(A147="","",参数设置!$B$7)</f>
        <v/>
      </c>
      <c r="N147" t="str">
        <f t="shared" si="8"/>
        <v/>
      </c>
    </row>
    <row r="148" spans="1:14" x14ac:dyDescent="0.25">
      <c r="A148">
        <v>30</v>
      </c>
      <c r="C148" t="s">
        <v>29</v>
      </c>
      <c r="J148" t="str">
        <f t="shared" si="6"/>
        <v/>
      </c>
      <c r="K148">
        <f t="shared" si="7"/>
        <v>0</v>
      </c>
      <c r="L148">
        <f>IF(C148&lt;&gt;"ST1","",IF(K148="","",K148*(1+参数设置!$B$6)))</f>
        <v>0</v>
      </c>
      <c r="M148" t="str">
        <f>IF(A148="","",参数设置!$B$7)</f>
        <v/>
      </c>
      <c r="N148" t="str">
        <f t="shared" si="8"/>
        <v/>
      </c>
    </row>
    <row r="149" spans="1:14" x14ac:dyDescent="0.25">
      <c r="A149">
        <v>30</v>
      </c>
      <c r="C149" t="s">
        <v>30</v>
      </c>
      <c r="J149" t="str">
        <f t="shared" si="6"/>
        <v/>
      </c>
      <c r="K149" t="str">
        <f t="shared" si="7"/>
        <v/>
      </c>
      <c r="L149" t="str">
        <f>IF(C149&lt;&gt;"ST1","",IF(K149="","",K149*(1+参数设置!$B$6)))</f>
        <v/>
      </c>
      <c r="M149" t="str">
        <f>IF(A149="","",参数设置!$B$7)</f>
        <v/>
      </c>
      <c r="N149" t="str">
        <f t="shared" si="8"/>
        <v/>
      </c>
    </row>
    <row r="150" spans="1:14" x14ac:dyDescent="0.25">
      <c r="A150">
        <v>30</v>
      </c>
      <c r="C150" t="s">
        <v>31</v>
      </c>
      <c r="J150" t="str">
        <f t="shared" si="6"/>
        <v/>
      </c>
      <c r="K150" t="str">
        <f t="shared" si="7"/>
        <v/>
      </c>
      <c r="L150" t="str">
        <f>IF(C150&lt;&gt;"ST1","",IF(K150="","",K150*(1+参数设置!$B$6)))</f>
        <v/>
      </c>
      <c r="M150" t="str">
        <f>IF(A150="","",参数设置!$B$7)</f>
        <v/>
      </c>
      <c r="N150" t="str">
        <f t="shared" si="8"/>
        <v/>
      </c>
    </row>
    <row r="151" spans="1:14" x14ac:dyDescent="0.25">
      <c r="A151">
        <v>30</v>
      </c>
      <c r="C151" t="s">
        <v>32</v>
      </c>
      <c r="J151" t="str">
        <f t="shared" si="6"/>
        <v/>
      </c>
      <c r="K151" t="str">
        <f t="shared" si="7"/>
        <v/>
      </c>
      <c r="L151" t="str">
        <f>IF(C151&lt;&gt;"ST1","",IF(K151="","",K151*(1+参数设置!$B$6)))</f>
        <v/>
      </c>
      <c r="M151" t="str">
        <f>IF(A151="","",参数设置!$B$7)</f>
        <v/>
      </c>
      <c r="N151" t="str">
        <f t="shared" si="8"/>
        <v/>
      </c>
    </row>
    <row r="152" spans="1:14" x14ac:dyDescent="0.25">
      <c r="A152">
        <v>30</v>
      </c>
      <c r="C152" t="s">
        <v>33</v>
      </c>
      <c r="J152" t="str">
        <f t="shared" si="6"/>
        <v/>
      </c>
      <c r="K152" t="str">
        <f t="shared" si="7"/>
        <v/>
      </c>
      <c r="L152" t="str">
        <f>IF(C152&lt;&gt;"ST1","",IF(K152="","",K152*(1+参数设置!$B$6)))</f>
        <v/>
      </c>
      <c r="M152" t="str">
        <f>IF(A152="","",参数设置!$B$7)</f>
        <v/>
      </c>
      <c r="N152" t="str">
        <f t="shared" si="8"/>
        <v/>
      </c>
    </row>
    <row r="153" spans="1:14" x14ac:dyDescent="0.25">
      <c r="A153">
        <v>31</v>
      </c>
      <c r="C153" t="s">
        <v>29</v>
      </c>
      <c r="J153" t="str">
        <f t="shared" si="6"/>
        <v/>
      </c>
      <c r="K153">
        <f t="shared" si="7"/>
        <v>0</v>
      </c>
      <c r="L153">
        <f>IF(C153&lt;&gt;"ST1","",IF(K153="","",K153*(1+参数设置!$B$6)))</f>
        <v>0</v>
      </c>
      <c r="M153" t="str">
        <f>IF(A153="","",参数设置!$B$7)</f>
        <v/>
      </c>
      <c r="N153" t="str">
        <f t="shared" si="8"/>
        <v/>
      </c>
    </row>
    <row r="154" spans="1:14" x14ac:dyDescent="0.25">
      <c r="A154">
        <v>31</v>
      </c>
      <c r="C154" t="s">
        <v>30</v>
      </c>
      <c r="J154" t="str">
        <f t="shared" si="6"/>
        <v/>
      </c>
      <c r="K154" t="str">
        <f t="shared" si="7"/>
        <v/>
      </c>
      <c r="L154" t="str">
        <f>IF(C154&lt;&gt;"ST1","",IF(K154="","",K154*(1+参数设置!$B$6)))</f>
        <v/>
      </c>
      <c r="M154" t="str">
        <f>IF(A154="","",参数设置!$B$7)</f>
        <v/>
      </c>
      <c r="N154" t="str">
        <f t="shared" si="8"/>
        <v/>
      </c>
    </row>
    <row r="155" spans="1:14" x14ac:dyDescent="0.25">
      <c r="A155">
        <v>31</v>
      </c>
      <c r="C155" t="s">
        <v>31</v>
      </c>
      <c r="J155" t="str">
        <f t="shared" si="6"/>
        <v/>
      </c>
      <c r="K155" t="str">
        <f t="shared" si="7"/>
        <v/>
      </c>
      <c r="L155" t="str">
        <f>IF(C155&lt;&gt;"ST1","",IF(K155="","",K155*(1+参数设置!$B$6)))</f>
        <v/>
      </c>
      <c r="M155" t="str">
        <f>IF(A155="","",参数设置!$B$7)</f>
        <v/>
      </c>
      <c r="N155" t="str">
        <f t="shared" si="8"/>
        <v/>
      </c>
    </row>
    <row r="156" spans="1:14" x14ac:dyDescent="0.25">
      <c r="A156">
        <v>31</v>
      </c>
      <c r="C156" t="s">
        <v>32</v>
      </c>
      <c r="J156" t="str">
        <f t="shared" si="6"/>
        <v/>
      </c>
      <c r="K156" t="str">
        <f t="shared" si="7"/>
        <v/>
      </c>
      <c r="L156" t="str">
        <f>IF(C156&lt;&gt;"ST1","",IF(K156="","",K156*(1+参数设置!$B$6)))</f>
        <v/>
      </c>
      <c r="M156" t="str">
        <f>IF(A156="","",参数设置!$B$7)</f>
        <v/>
      </c>
      <c r="N156" t="str">
        <f t="shared" si="8"/>
        <v/>
      </c>
    </row>
    <row r="157" spans="1:14" x14ac:dyDescent="0.25">
      <c r="A157">
        <v>31</v>
      </c>
      <c r="C157" t="s">
        <v>33</v>
      </c>
      <c r="J157" t="str">
        <f t="shared" si="6"/>
        <v/>
      </c>
      <c r="K157" t="str">
        <f t="shared" si="7"/>
        <v/>
      </c>
      <c r="L157" t="str">
        <f>IF(C157&lt;&gt;"ST1","",IF(K157="","",K157*(1+参数设置!$B$6)))</f>
        <v/>
      </c>
      <c r="M157" t="str">
        <f>IF(A157="","",参数设置!$B$7)</f>
        <v/>
      </c>
      <c r="N157" t="str">
        <f t="shared" si="8"/>
        <v/>
      </c>
    </row>
    <row r="158" spans="1:14" x14ac:dyDescent="0.25">
      <c r="A158">
        <v>32</v>
      </c>
      <c r="C158" t="s">
        <v>29</v>
      </c>
      <c r="J158" t="str">
        <f t="shared" si="6"/>
        <v/>
      </c>
      <c r="K158">
        <f t="shared" si="7"/>
        <v>0</v>
      </c>
      <c r="L158">
        <f>IF(C158&lt;&gt;"ST1","",IF(K158="","",K158*(1+参数设置!$B$6)))</f>
        <v>0</v>
      </c>
      <c r="M158" t="str">
        <f>IF(A158="","",参数设置!$B$7)</f>
        <v/>
      </c>
      <c r="N158" t="str">
        <f t="shared" si="8"/>
        <v/>
      </c>
    </row>
    <row r="159" spans="1:14" x14ac:dyDescent="0.25">
      <c r="A159">
        <v>32</v>
      </c>
      <c r="C159" t="s">
        <v>30</v>
      </c>
      <c r="J159" t="str">
        <f t="shared" si="6"/>
        <v/>
      </c>
      <c r="K159" t="str">
        <f t="shared" si="7"/>
        <v/>
      </c>
      <c r="L159" t="str">
        <f>IF(C159&lt;&gt;"ST1","",IF(K159="","",K159*(1+参数设置!$B$6)))</f>
        <v/>
      </c>
      <c r="M159" t="str">
        <f>IF(A159="","",参数设置!$B$7)</f>
        <v/>
      </c>
      <c r="N159" t="str">
        <f t="shared" si="8"/>
        <v/>
      </c>
    </row>
    <row r="160" spans="1:14" x14ac:dyDescent="0.25">
      <c r="A160">
        <v>32</v>
      </c>
      <c r="C160" t="s">
        <v>31</v>
      </c>
      <c r="J160" t="str">
        <f t="shared" si="6"/>
        <v/>
      </c>
      <c r="K160" t="str">
        <f t="shared" si="7"/>
        <v/>
      </c>
      <c r="L160" t="str">
        <f>IF(C160&lt;&gt;"ST1","",IF(K160="","",K160*(1+参数设置!$B$6)))</f>
        <v/>
      </c>
      <c r="M160" t="str">
        <f>IF(A160="","",参数设置!$B$7)</f>
        <v/>
      </c>
      <c r="N160" t="str">
        <f t="shared" si="8"/>
        <v/>
      </c>
    </row>
    <row r="161" spans="1:14" x14ac:dyDescent="0.25">
      <c r="A161">
        <v>32</v>
      </c>
      <c r="C161" t="s">
        <v>32</v>
      </c>
      <c r="J161" t="str">
        <f t="shared" si="6"/>
        <v/>
      </c>
      <c r="K161" t="str">
        <f t="shared" si="7"/>
        <v/>
      </c>
      <c r="L161" t="str">
        <f>IF(C161&lt;&gt;"ST1","",IF(K161="","",K161*(1+参数设置!$B$6)))</f>
        <v/>
      </c>
      <c r="M161" t="str">
        <f>IF(A161="","",参数设置!$B$7)</f>
        <v/>
      </c>
      <c r="N161" t="str">
        <f t="shared" si="8"/>
        <v/>
      </c>
    </row>
    <row r="162" spans="1:14" x14ac:dyDescent="0.25">
      <c r="A162">
        <v>32</v>
      </c>
      <c r="C162" t="s">
        <v>33</v>
      </c>
      <c r="J162" t="str">
        <f t="shared" si="6"/>
        <v/>
      </c>
      <c r="K162" t="str">
        <f t="shared" si="7"/>
        <v/>
      </c>
      <c r="L162" t="str">
        <f>IF(C162&lt;&gt;"ST1","",IF(K162="","",K162*(1+参数设置!$B$6)))</f>
        <v/>
      </c>
      <c r="M162" t="str">
        <f>IF(A162="","",参数设置!$B$7)</f>
        <v/>
      </c>
      <c r="N162" t="str">
        <f t="shared" si="8"/>
        <v/>
      </c>
    </row>
    <row r="163" spans="1:14" x14ac:dyDescent="0.25">
      <c r="A163">
        <v>33</v>
      </c>
      <c r="C163" t="s">
        <v>29</v>
      </c>
      <c r="J163" t="str">
        <f t="shared" si="6"/>
        <v/>
      </c>
      <c r="K163">
        <f t="shared" si="7"/>
        <v>0</v>
      </c>
      <c r="L163">
        <f>IF(C163&lt;&gt;"ST1","",IF(K163="","",K163*(1+参数设置!$B$6)))</f>
        <v>0</v>
      </c>
      <c r="M163" t="str">
        <f>IF(A163="","",参数设置!$B$7)</f>
        <v/>
      </c>
      <c r="N163" t="str">
        <f t="shared" si="8"/>
        <v/>
      </c>
    </row>
    <row r="164" spans="1:14" x14ac:dyDescent="0.25">
      <c r="A164">
        <v>33</v>
      </c>
      <c r="C164" t="s">
        <v>30</v>
      </c>
      <c r="J164" t="str">
        <f t="shared" si="6"/>
        <v/>
      </c>
      <c r="K164" t="str">
        <f t="shared" si="7"/>
        <v/>
      </c>
      <c r="L164" t="str">
        <f>IF(C164&lt;&gt;"ST1","",IF(K164="","",K164*(1+参数设置!$B$6)))</f>
        <v/>
      </c>
      <c r="M164" t="str">
        <f>IF(A164="","",参数设置!$B$7)</f>
        <v/>
      </c>
      <c r="N164" t="str">
        <f t="shared" si="8"/>
        <v/>
      </c>
    </row>
    <row r="165" spans="1:14" x14ac:dyDescent="0.25">
      <c r="A165">
        <v>33</v>
      </c>
      <c r="C165" t="s">
        <v>31</v>
      </c>
      <c r="J165" t="str">
        <f t="shared" si="6"/>
        <v/>
      </c>
      <c r="K165" t="str">
        <f t="shared" si="7"/>
        <v/>
      </c>
      <c r="L165" t="str">
        <f>IF(C165&lt;&gt;"ST1","",IF(K165="","",K165*(1+参数设置!$B$6)))</f>
        <v/>
      </c>
      <c r="M165" t="str">
        <f>IF(A165="","",参数设置!$B$7)</f>
        <v/>
      </c>
      <c r="N165" t="str">
        <f t="shared" si="8"/>
        <v/>
      </c>
    </row>
    <row r="166" spans="1:14" x14ac:dyDescent="0.25">
      <c r="A166">
        <v>33</v>
      </c>
      <c r="C166" t="s">
        <v>32</v>
      </c>
      <c r="J166" t="str">
        <f t="shared" si="6"/>
        <v/>
      </c>
      <c r="K166" t="str">
        <f t="shared" si="7"/>
        <v/>
      </c>
      <c r="L166" t="str">
        <f>IF(C166&lt;&gt;"ST1","",IF(K166="","",K166*(1+参数设置!$B$6)))</f>
        <v/>
      </c>
      <c r="M166" t="str">
        <f>IF(A166="","",参数设置!$B$7)</f>
        <v/>
      </c>
      <c r="N166" t="str">
        <f t="shared" si="8"/>
        <v/>
      </c>
    </row>
    <row r="167" spans="1:14" x14ac:dyDescent="0.25">
      <c r="A167">
        <v>33</v>
      </c>
      <c r="C167" t="s">
        <v>33</v>
      </c>
      <c r="J167" t="str">
        <f t="shared" si="6"/>
        <v/>
      </c>
      <c r="K167" t="str">
        <f t="shared" si="7"/>
        <v/>
      </c>
      <c r="L167" t="str">
        <f>IF(C167&lt;&gt;"ST1","",IF(K167="","",K167*(1+参数设置!$B$6)))</f>
        <v/>
      </c>
      <c r="M167" t="str">
        <f>IF(A167="","",参数设置!$B$7)</f>
        <v/>
      </c>
      <c r="N167" t="str">
        <f t="shared" si="8"/>
        <v/>
      </c>
    </row>
    <row r="168" spans="1:14" x14ac:dyDescent="0.25">
      <c r="A168">
        <v>34</v>
      </c>
      <c r="C168" t="s">
        <v>29</v>
      </c>
      <c r="J168" t="str">
        <f t="shared" si="6"/>
        <v/>
      </c>
      <c r="K168">
        <f t="shared" si="7"/>
        <v>0</v>
      </c>
      <c r="L168">
        <f>IF(C168&lt;&gt;"ST1","",IF(K168="","",K168*(1+参数设置!$B$6)))</f>
        <v>0</v>
      </c>
      <c r="M168" t="str">
        <f>IF(A168="","",参数设置!$B$7)</f>
        <v/>
      </c>
      <c r="N168" t="str">
        <f t="shared" si="8"/>
        <v/>
      </c>
    </row>
    <row r="169" spans="1:14" x14ac:dyDescent="0.25">
      <c r="A169">
        <v>34</v>
      </c>
      <c r="C169" t="s">
        <v>30</v>
      </c>
      <c r="J169" t="str">
        <f t="shared" si="6"/>
        <v/>
      </c>
      <c r="K169" t="str">
        <f t="shared" si="7"/>
        <v/>
      </c>
      <c r="L169" t="str">
        <f>IF(C169&lt;&gt;"ST1","",IF(K169="","",K169*(1+参数设置!$B$6)))</f>
        <v/>
      </c>
      <c r="M169" t="str">
        <f>IF(A169="","",参数设置!$B$7)</f>
        <v/>
      </c>
      <c r="N169" t="str">
        <f t="shared" si="8"/>
        <v/>
      </c>
    </row>
    <row r="170" spans="1:14" x14ac:dyDescent="0.25">
      <c r="A170">
        <v>34</v>
      </c>
      <c r="C170" t="s">
        <v>31</v>
      </c>
      <c r="J170" t="str">
        <f t="shared" si="6"/>
        <v/>
      </c>
      <c r="K170" t="str">
        <f t="shared" si="7"/>
        <v/>
      </c>
      <c r="L170" t="str">
        <f>IF(C170&lt;&gt;"ST1","",IF(K170="","",K170*(1+参数设置!$B$6)))</f>
        <v/>
      </c>
      <c r="M170" t="str">
        <f>IF(A170="","",参数设置!$B$7)</f>
        <v/>
      </c>
      <c r="N170" t="str">
        <f t="shared" si="8"/>
        <v/>
      </c>
    </row>
    <row r="171" spans="1:14" x14ac:dyDescent="0.25">
      <c r="A171">
        <v>34</v>
      </c>
      <c r="C171" t="s">
        <v>32</v>
      </c>
      <c r="J171" t="str">
        <f t="shared" si="6"/>
        <v/>
      </c>
      <c r="K171" t="str">
        <f t="shared" si="7"/>
        <v/>
      </c>
      <c r="L171" t="str">
        <f>IF(C171&lt;&gt;"ST1","",IF(K171="","",K171*(1+参数设置!$B$6)))</f>
        <v/>
      </c>
      <c r="M171" t="str">
        <f>IF(A171="","",参数设置!$B$7)</f>
        <v/>
      </c>
      <c r="N171" t="str">
        <f t="shared" si="8"/>
        <v/>
      </c>
    </row>
    <row r="172" spans="1:14" x14ac:dyDescent="0.25">
      <c r="A172">
        <v>34</v>
      </c>
      <c r="C172" t="s">
        <v>33</v>
      </c>
      <c r="J172" t="str">
        <f t="shared" si="6"/>
        <v/>
      </c>
      <c r="K172" t="str">
        <f t="shared" si="7"/>
        <v/>
      </c>
      <c r="L172" t="str">
        <f>IF(C172&lt;&gt;"ST1","",IF(K172="","",K172*(1+参数设置!$B$6)))</f>
        <v/>
      </c>
      <c r="M172" t="str">
        <f>IF(A172="","",参数设置!$B$7)</f>
        <v/>
      </c>
      <c r="N172" t="str">
        <f t="shared" si="8"/>
        <v/>
      </c>
    </row>
    <row r="173" spans="1:14" x14ac:dyDescent="0.25">
      <c r="A173">
        <v>35</v>
      </c>
      <c r="C173" t="s">
        <v>29</v>
      </c>
      <c r="J173" t="str">
        <f t="shared" si="6"/>
        <v/>
      </c>
      <c r="K173">
        <f t="shared" si="7"/>
        <v>0</v>
      </c>
      <c r="L173">
        <f>IF(C173&lt;&gt;"ST1","",IF(K173="","",K173*(1+参数设置!$B$6)))</f>
        <v>0</v>
      </c>
      <c r="M173" t="str">
        <f>IF(A173="","",参数设置!$B$7)</f>
        <v/>
      </c>
      <c r="N173" t="str">
        <f t="shared" si="8"/>
        <v/>
      </c>
    </row>
    <row r="174" spans="1:14" x14ac:dyDescent="0.25">
      <c r="A174">
        <v>35</v>
      </c>
      <c r="C174" t="s">
        <v>30</v>
      </c>
      <c r="J174" t="str">
        <f t="shared" si="6"/>
        <v/>
      </c>
      <c r="K174" t="str">
        <f t="shared" si="7"/>
        <v/>
      </c>
      <c r="L174" t="str">
        <f>IF(C174&lt;&gt;"ST1","",IF(K174="","",K174*(1+参数设置!$B$6)))</f>
        <v/>
      </c>
      <c r="M174" t="str">
        <f>IF(A174="","",参数设置!$B$7)</f>
        <v/>
      </c>
      <c r="N174" t="str">
        <f t="shared" si="8"/>
        <v/>
      </c>
    </row>
    <row r="175" spans="1:14" x14ac:dyDescent="0.25">
      <c r="A175">
        <v>35</v>
      </c>
      <c r="C175" t="s">
        <v>31</v>
      </c>
      <c r="J175" t="str">
        <f t="shared" si="6"/>
        <v/>
      </c>
      <c r="K175" t="str">
        <f t="shared" si="7"/>
        <v/>
      </c>
      <c r="L175" t="str">
        <f>IF(C175&lt;&gt;"ST1","",IF(K175="","",K175*(1+参数设置!$B$6)))</f>
        <v/>
      </c>
      <c r="M175" t="str">
        <f>IF(A175="","",参数设置!$B$7)</f>
        <v/>
      </c>
      <c r="N175" t="str">
        <f t="shared" si="8"/>
        <v/>
      </c>
    </row>
    <row r="176" spans="1:14" x14ac:dyDescent="0.25">
      <c r="A176">
        <v>35</v>
      </c>
      <c r="C176" t="s">
        <v>32</v>
      </c>
      <c r="J176" t="str">
        <f t="shared" si="6"/>
        <v/>
      </c>
      <c r="K176" t="str">
        <f t="shared" si="7"/>
        <v/>
      </c>
      <c r="L176" t="str">
        <f>IF(C176&lt;&gt;"ST1","",IF(K176="","",K176*(1+参数设置!$B$6)))</f>
        <v/>
      </c>
      <c r="M176" t="str">
        <f>IF(A176="","",参数设置!$B$7)</f>
        <v/>
      </c>
      <c r="N176" t="str">
        <f t="shared" si="8"/>
        <v/>
      </c>
    </row>
    <row r="177" spans="1:14" x14ac:dyDescent="0.25">
      <c r="A177">
        <v>35</v>
      </c>
      <c r="C177" t="s">
        <v>33</v>
      </c>
      <c r="J177" t="str">
        <f t="shared" si="6"/>
        <v/>
      </c>
      <c r="K177" t="str">
        <f t="shared" si="7"/>
        <v/>
      </c>
      <c r="L177" t="str">
        <f>IF(C177&lt;&gt;"ST1","",IF(K177="","",K177*(1+参数设置!$B$6)))</f>
        <v/>
      </c>
      <c r="M177" t="str">
        <f>IF(A177="","",参数设置!$B$7)</f>
        <v/>
      </c>
      <c r="N177" t="str">
        <f t="shared" si="8"/>
        <v/>
      </c>
    </row>
    <row r="178" spans="1:14" x14ac:dyDescent="0.25">
      <c r="A178">
        <v>36</v>
      </c>
      <c r="C178" t="s">
        <v>29</v>
      </c>
      <c r="J178" t="str">
        <f t="shared" si="6"/>
        <v/>
      </c>
      <c r="K178">
        <f t="shared" si="7"/>
        <v>0</v>
      </c>
      <c r="L178">
        <f>IF(C178&lt;&gt;"ST1","",IF(K178="","",K178*(1+参数设置!$B$6)))</f>
        <v>0</v>
      </c>
      <c r="M178" t="str">
        <f>IF(A178="","",参数设置!$B$7)</f>
        <v/>
      </c>
      <c r="N178" t="str">
        <f t="shared" si="8"/>
        <v/>
      </c>
    </row>
    <row r="179" spans="1:14" x14ac:dyDescent="0.25">
      <c r="A179">
        <v>36</v>
      </c>
      <c r="C179" t="s">
        <v>30</v>
      </c>
      <c r="J179" t="str">
        <f t="shared" si="6"/>
        <v/>
      </c>
      <c r="K179" t="str">
        <f t="shared" si="7"/>
        <v/>
      </c>
      <c r="L179" t="str">
        <f>IF(C179&lt;&gt;"ST1","",IF(K179="","",K179*(1+参数设置!$B$6)))</f>
        <v/>
      </c>
      <c r="M179" t="str">
        <f>IF(A179="","",参数设置!$B$7)</f>
        <v/>
      </c>
      <c r="N179" t="str">
        <f t="shared" si="8"/>
        <v/>
      </c>
    </row>
    <row r="180" spans="1:14" x14ac:dyDescent="0.25">
      <c r="A180">
        <v>36</v>
      </c>
      <c r="C180" t="s">
        <v>31</v>
      </c>
      <c r="J180" t="str">
        <f t="shared" si="6"/>
        <v/>
      </c>
      <c r="K180" t="str">
        <f t="shared" si="7"/>
        <v/>
      </c>
      <c r="L180" t="str">
        <f>IF(C180&lt;&gt;"ST1","",IF(K180="","",K180*(1+参数设置!$B$6)))</f>
        <v/>
      </c>
      <c r="M180" t="str">
        <f>IF(A180="","",参数设置!$B$7)</f>
        <v/>
      </c>
      <c r="N180" t="str">
        <f t="shared" si="8"/>
        <v/>
      </c>
    </row>
    <row r="181" spans="1:14" x14ac:dyDescent="0.25">
      <c r="A181">
        <v>36</v>
      </c>
      <c r="C181" t="s">
        <v>32</v>
      </c>
      <c r="J181" t="str">
        <f t="shared" si="6"/>
        <v/>
      </c>
      <c r="K181" t="str">
        <f t="shared" si="7"/>
        <v/>
      </c>
      <c r="L181" t="str">
        <f>IF(C181&lt;&gt;"ST1","",IF(K181="","",K181*(1+参数设置!$B$6)))</f>
        <v/>
      </c>
      <c r="M181" t="str">
        <f>IF(A181="","",参数设置!$B$7)</f>
        <v/>
      </c>
      <c r="N181" t="str">
        <f t="shared" si="8"/>
        <v/>
      </c>
    </row>
    <row r="182" spans="1:14" x14ac:dyDescent="0.25">
      <c r="A182">
        <v>36</v>
      </c>
      <c r="C182" t="s">
        <v>33</v>
      </c>
      <c r="J182" t="str">
        <f t="shared" si="6"/>
        <v/>
      </c>
      <c r="K182" t="str">
        <f t="shared" si="7"/>
        <v/>
      </c>
      <c r="L182" t="str">
        <f>IF(C182&lt;&gt;"ST1","",IF(K182="","",K182*(1+参数设置!$B$6)))</f>
        <v/>
      </c>
      <c r="M182" t="str">
        <f>IF(A182="","",参数设置!$B$7)</f>
        <v/>
      </c>
      <c r="N182" t="str">
        <f t="shared" si="8"/>
        <v/>
      </c>
    </row>
    <row r="183" spans="1:14" x14ac:dyDescent="0.25">
      <c r="A183">
        <v>37</v>
      </c>
      <c r="C183" t="s">
        <v>29</v>
      </c>
      <c r="J183" t="str">
        <f t="shared" si="6"/>
        <v/>
      </c>
      <c r="K183">
        <f t="shared" si="7"/>
        <v>0</v>
      </c>
      <c r="L183">
        <f>IF(C183&lt;&gt;"ST1","",IF(K183="","",K183*(1+参数设置!$B$6)))</f>
        <v>0</v>
      </c>
      <c r="M183" t="str">
        <f>IF(A183="","",参数设置!$B$7)</f>
        <v/>
      </c>
      <c r="N183" t="str">
        <f t="shared" si="8"/>
        <v/>
      </c>
    </row>
    <row r="184" spans="1:14" x14ac:dyDescent="0.25">
      <c r="A184">
        <v>37</v>
      </c>
      <c r="C184" t="s">
        <v>30</v>
      </c>
      <c r="J184" t="str">
        <f t="shared" si="6"/>
        <v/>
      </c>
      <c r="K184" t="str">
        <f t="shared" si="7"/>
        <v/>
      </c>
      <c r="L184" t="str">
        <f>IF(C184&lt;&gt;"ST1","",IF(K184="","",K184*(1+参数设置!$B$6)))</f>
        <v/>
      </c>
      <c r="M184" t="str">
        <f>IF(A184="","",参数设置!$B$7)</f>
        <v/>
      </c>
      <c r="N184" t="str">
        <f t="shared" si="8"/>
        <v/>
      </c>
    </row>
    <row r="185" spans="1:14" x14ac:dyDescent="0.25">
      <c r="A185">
        <v>37</v>
      </c>
      <c r="C185" t="s">
        <v>31</v>
      </c>
      <c r="J185" t="str">
        <f t="shared" si="6"/>
        <v/>
      </c>
      <c r="K185" t="str">
        <f t="shared" si="7"/>
        <v/>
      </c>
      <c r="L185" t="str">
        <f>IF(C185&lt;&gt;"ST1","",IF(K185="","",K185*(1+参数设置!$B$6)))</f>
        <v/>
      </c>
      <c r="M185" t="str">
        <f>IF(A185="","",参数设置!$B$7)</f>
        <v/>
      </c>
      <c r="N185" t="str">
        <f t="shared" si="8"/>
        <v/>
      </c>
    </row>
    <row r="186" spans="1:14" x14ac:dyDescent="0.25">
      <c r="A186">
        <v>37</v>
      </c>
      <c r="C186" t="s">
        <v>32</v>
      </c>
      <c r="J186" t="str">
        <f t="shared" si="6"/>
        <v/>
      </c>
      <c r="K186" t="str">
        <f t="shared" si="7"/>
        <v/>
      </c>
      <c r="L186" t="str">
        <f>IF(C186&lt;&gt;"ST1","",IF(K186="","",K186*(1+参数设置!$B$6)))</f>
        <v/>
      </c>
      <c r="M186" t="str">
        <f>IF(A186="","",参数设置!$B$7)</f>
        <v/>
      </c>
      <c r="N186" t="str">
        <f t="shared" si="8"/>
        <v/>
      </c>
    </row>
    <row r="187" spans="1:14" x14ac:dyDescent="0.25">
      <c r="A187">
        <v>37</v>
      </c>
      <c r="C187" t="s">
        <v>33</v>
      </c>
      <c r="J187" t="str">
        <f t="shared" si="6"/>
        <v/>
      </c>
      <c r="K187" t="str">
        <f t="shared" si="7"/>
        <v/>
      </c>
      <c r="L187" t="str">
        <f>IF(C187&lt;&gt;"ST1","",IF(K187="","",K187*(1+参数设置!$B$6)))</f>
        <v/>
      </c>
      <c r="M187" t="str">
        <f>IF(A187="","",参数设置!$B$7)</f>
        <v/>
      </c>
      <c r="N187" t="str">
        <f t="shared" si="8"/>
        <v/>
      </c>
    </row>
    <row r="188" spans="1:14" x14ac:dyDescent="0.25">
      <c r="A188">
        <v>38</v>
      </c>
      <c r="C188" t="s">
        <v>29</v>
      </c>
      <c r="J188" t="str">
        <f t="shared" si="6"/>
        <v/>
      </c>
      <c r="K188">
        <f t="shared" si="7"/>
        <v>0</v>
      </c>
      <c r="L188">
        <f>IF(C188&lt;&gt;"ST1","",IF(K188="","",K188*(1+参数设置!$B$6)))</f>
        <v>0</v>
      </c>
      <c r="M188" t="str">
        <f>IF(A188="","",参数设置!$B$7)</f>
        <v/>
      </c>
      <c r="N188" t="str">
        <f t="shared" si="8"/>
        <v/>
      </c>
    </row>
    <row r="189" spans="1:14" x14ac:dyDescent="0.25">
      <c r="A189">
        <v>38</v>
      </c>
      <c r="C189" t="s">
        <v>30</v>
      </c>
      <c r="J189" t="str">
        <f t="shared" si="6"/>
        <v/>
      </c>
      <c r="K189" t="str">
        <f t="shared" si="7"/>
        <v/>
      </c>
      <c r="L189" t="str">
        <f>IF(C189&lt;&gt;"ST1","",IF(K189="","",K189*(1+参数设置!$B$6)))</f>
        <v/>
      </c>
      <c r="M189" t="str">
        <f>IF(A189="","",参数设置!$B$7)</f>
        <v/>
      </c>
      <c r="N189" t="str">
        <f t="shared" si="8"/>
        <v/>
      </c>
    </row>
    <row r="190" spans="1:14" x14ac:dyDescent="0.25">
      <c r="A190">
        <v>38</v>
      </c>
      <c r="C190" t="s">
        <v>31</v>
      </c>
      <c r="J190" t="str">
        <f t="shared" si="6"/>
        <v/>
      </c>
      <c r="K190" t="str">
        <f t="shared" si="7"/>
        <v/>
      </c>
      <c r="L190" t="str">
        <f>IF(C190&lt;&gt;"ST1","",IF(K190="","",K190*(1+参数设置!$B$6)))</f>
        <v/>
      </c>
      <c r="M190" t="str">
        <f>IF(A190="","",参数设置!$B$7)</f>
        <v/>
      </c>
      <c r="N190" t="str">
        <f t="shared" si="8"/>
        <v/>
      </c>
    </row>
    <row r="191" spans="1:14" x14ac:dyDescent="0.25">
      <c r="A191">
        <v>38</v>
      </c>
      <c r="C191" t="s">
        <v>32</v>
      </c>
      <c r="J191" t="str">
        <f t="shared" si="6"/>
        <v/>
      </c>
      <c r="K191" t="str">
        <f t="shared" si="7"/>
        <v/>
      </c>
      <c r="L191" t="str">
        <f>IF(C191&lt;&gt;"ST1","",IF(K191="","",K191*(1+参数设置!$B$6)))</f>
        <v/>
      </c>
      <c r="M191" t="str">
        <f>IF(A191="","",参数设置!$B$7)</f>
        <v/>
      </c>
      <c r="N191" t="str">
        <f t="shared" si="8"/>
        <v/>
      </c>
    </row>
    <row r="192" spans="1:14" x14ac:dyDescent="0.25">
      <c r="A192">
        <v>38</v>
      </c>
      <c r="C192" t="s">
        <v>33</v>
      </c>
      <c r="J192" t="str">
        <f t="shared" si="6"/>
        <v/>
      </c>
      <c r="K192" t="str">
        <f t="shared" si="7"/>
        <v/>
      </c>
      <c r="L192" t="str">
        <f>IF(C192&lt;&gt;"ST1","",IF(K192="","",K192*(1+参数设置!$B$6)))</f>
        <v/>
      </c>
      <c r="M192" t="str">
        <f>IF(A192="","",参数设置!$B$7)</f>
        <v/>
      </c>
      <c r="N192" t="str">
        <f t="shared" si="8"/>
        <v/>
      </c>
    </row>
    <row r="193" spans="1:14" x14ac:dyDescent="0.25">
      <c r="A193">
        <v>39</v>
      </c>
      <c r="C193" t="s">
        <v>29</v>
      </c>
      <c r="J193" t="str">
        <f t="shared" si="6"/>
        <v/>
      </c>
      <c r="K193">
        <f t="shared" si="7"/>
        <v>0</v>
      </c>
      <c r="L193">
        <f>IF(C193&lt;&gt;"ST1","",IF(K193="","",K193*(1+参数设置!$B$6)))</f>
        <v>0</v>
      </c>
      <c r="M193" t="str">
        <f>IF(A193="","",参数设置!$B$7)</f>
        <v/>
      </c>
      <c r="N193" t="str">
        <f t="shared" si="8"/>
        <v/>
      </c>
    </row>
    <row r="194" spans="1:14" x14ac:dyDescent="0.25">
      <c r="A194">
        <v>39</v>
      </c>
      <c r="C194" t="s">
        <v>30</v>
      </c>
      <c r="J194" t="str">
        <f t="shared" si="6"/>
        <v/>
      </c>
      <c r="K194" t="str">
        <f t="shared" si="7"/>
        <v/>
      </c>
      <c r="L194" t="str">
        <f>IF(C194&lt;&gt;"ST1","",IF(K194="","",K194*(1+参数设置!$B$6)))</f>
        <v/>
      </c>
      <c r="M194" t="str">
        <f>IF(A194="","",参数设置!$B$7)</f>
        <v/>
      </c>
      <c r="N194" t="str">
        <f t="shared" si="8"/>
        <v/>
      </c>
    </row>
    <row r="195" spans="1:14" x14ac:dyDescent="0.25">
      <c r="A195">
        <v>39</v>
      </c>
      <c r="C195" t="s">
        <v>31</v>
      </c>
      <c r="J195" t="str">
        <f t="shared" ref="J195:J258" si="9">IF(COUNT(E195:I195)=0,"",AVERAGE(E195:I195))</f>
        <v/>
      </c>
      <c r="K195" t="str">
        <f t="shared" ref="K195:K258" si="10">IF(C195&lt;&gt;"ST1","",IF(COUNTIFS($A:$A,A195,$J:$J,"&lt;&gt;")=0,"",SUMIFS($J:$J,$A:$A,A195)))</f>
        <v/>
      </c>
      <c r="L195" t="str">
        <f>IF(C195&lt;&gt;"ST1","",IF(K195="","",K195*(1+参数设置!$B$6)))</f>
        <v/>
      </c>
      <c r="M195" t="str">
        <f>IF(A195="","",参数设置!$B$7)</f>
        <v/>
      </c>
      <c r="N195" t="str">
        <f t="shared" ref="N195:N258" si="11">IF(K195="","",IF(M195="","",IF(K195&gt;M195,"超节拍",IF(K195&gt;=M195*0.9,"接近上限","正常"))))</f>
        <v/>
      </c>
    </row>
    <row r="196" spans="1:14" x14ac:dyDescent="0.25">
      <c r="A196">
        <v>39</v>
      </c>
      <c r="C196" t="s">
        <v>32</v>
      </c>
      <c r="J196" t="str">
        <f t="shared" si="9"/>
        <v/>
      </c>
      <c r="K196" t="str">
        <f t="shared" si="10"/>
        <v/>
      </c>
      <c r="L196" t="str">
        <f>IF(C196&lt;&gt;"ST1","",IF(K196="","",K196*(1+参数设置!$B$6)))</f>
        <v/>
      </c>
      <c r="M196" t="str">
        <f>IF(A196="","",参数设置!$B$7)</f>
        <v/>
      </c>
      <c r="N196" t="str">
        <f t="shared" si="11"/>
        <v/>
      </c>
    </row>
    <row r="197" spans="1:14" x14ac:dyDescent="0.25">
      <c r="A197">
        <v>39</v>
      </c>
      <c r="C197" t="s">
        <v>33</v>
      </c>
      <c r="J197" t="str">
        <f t="shared" si="9"/>
        <v/>
      </c>
      <c r="K197" t="str">
        <f t="shared" si="10"/>
        <v/>
      </c>
      <c r="L197" t="str">
        <f>IF(C197&lt;&gt;"ST1","",IF(K197="","",K197*(1+参数设置!$B$6)))</f>
        <v/>
      </c>
      <c r="M197" t="str">
        <f>IF(A197="","",参数设置!$B$7)</f>
        <v/>
      </c>
      <c r="N197" t="str">
        <f t="shared" si="11"/>
        <v/>
      </c>
    </row>
    <row r="198" spans="1:14" x14ac:dyDescent="0.25">
      <c r="A198">
        <v>40</v>
      </c>
      <c r="C198" t="s">
        <v>29</v>
      </c>
      <c r="J198" t="str">
        <f t="shared" si="9"/>
        <v/>
      </c>
      <c r="K198">
        <f t="shared" si="10"/>
        <v>0</v>
      </c>
      <c r="L198">
        <f>IF(C198&lt;&gt;"ST1","",IF(K198="","",K198*(1+参数设置!$B$6)))</f>
        <v>0</v>
      </c>
      <c r="M198" t="str">
        <f>IF(A198="","",参数设置!$B$7)</f>
        <v/>
      </c>
      <c r="N198" t="str">
        <f t="shared" si="11"/>
        <v/>
      </c>
    </row>
    <row r="199" spans="1:14" x14ac:dyDescent="0.25">
      <c r="A199">
        <v>40</v>
      </c>
      <c r="C199" t="s">
        <v>30</v>
      </c>
      <c r="J199" t="str">
        <f t="shared" si="9"/>
        <v/>
      </c>
      <c r="K199" t="str">
        <f t="shared" si="10"/>
        <v/>
      </c>
      <c r="L199" t="str">
        <f>IF(C199&lt;&gt;"ST1","",IF(K199="","",K199*(1+参数设置!$B$6)))</f>
        <v/>
      </c>
      <c r="M199" t="str">
        <f>IF(A199="","",参数设置!$B$7)</f>
        <v/>
      </c>
      <c r="N199" t="str">
        <f t="shared" si="11"/>
        <v/>
      </c>
    </row>
    <row r="200" spans="1:14" x14ac:dyDescent="0.25">
      <c r="A200">
        <v>40</v>
      </c>
      <c r="C200" t="s">
        <v>31</v>
      </c>
      <c r="J200" t="str">
        <f t="shared" si="9"/>
        <v/>
      </c>
      <c r="K200" t="str">
        <f t="shared" si="10"/>
        <v/>
      </c>
      <c r="L200" t="str">
        <f>IF(C200&lt;&gt;"ST1","",IF(K200="","",K200*(1+参数设置!$B$6)))</f>
        <v/>
      </c>
      <c r="M200" t="str">
        <f>IF(A200="","",参数设置!$B$7)</f>
        <v/>
      </c>
      <c r="N200" t="str">
        <f t="shared" si="11"/>
        <v/>
      </c>
    </row>
    <row r="201" spans="1:14" x14ac:dyDescent="0.25">
      <c r="A201">
        <v>40</v>
      </c>
      <c r="C201" t="s">
        <v>32</v>
      </c>
      <c r="J201" t="str">
        <f t="shared" si="9"/>
        <v/>
      </c>
      <c r="K201" t="str">
        <f t="shared" si="10"/>
        <v/>
      </c>
      <c r="L201" t="str">
        <f>IF(C201&lt;&gt;"ST1","",IF(K201="","",K201*(1+参数设置!$B$6)))</f>
        <v/>
      </c>
      <c r="M201" t="str">
        <f>IF(A201="","",参数设置!$B$7)</f>
        <v/>
      </c>
      <c r="N201" t="str">
        <f t="shared" si="11"/>
        <v/>
      </c>
    </row>
    <row r="202" spans="1:14" x14ac:dyDescent="0.25">
      <c r="A202">
        <v>40</v>
      </c>
      <c r="C202" t="s">
        <v>33</v>
      </c>
      <c r="J202" t="str">
        <f t="shared" si="9"/>
        <v/>
      </c>
      <c r="K202" t="str">
        <f t="shared" si="10"/>
        <v/>
      </c>
      <c r="L202" t="str">
        <f>IF(C202&lt;&gt;"ST1","",IF(K202="","",K202*(1+参数设置!$B$6)))</f>
        <v/>
      </c>
      <c r="M202" t="str">
        <f>IF(A202="","",参数设置!$B$7)</f>
        <v/>
      </c>
      <c r="N202" t="str">
        <f t="shared" si="11"/>
        <v/>
      </c>
    </row>
    <row r="203" spans="1:14" x14ac:dyDescent="0.25">
      <c r="A203">
        <v>41</v>
      </c>
      <c r="C203" t="s">
        <v>29</v>
      </c>
      <c r="J203" t="str">
        <f t="shared" si="9"/>
        <v/>
      </c>
      <c r="K203">
        <f t="shared" si="10"/>
        <v>0</v>
      </c>
      <c r="L203">
        <f>IF(C203&lt;&gt;"ST1","",IF(K203="","",K203*(1+参数设置!$B$6)))</f>
        <v>0</v>
      </c>
      <c r="M203" t="str">
        <f>IF(A203="","",参数设置!$B$7)</f>
        <v/>
      </c>
      <c r="N203" t="str">
        <f t="shared" si="11"/>
        <v/>
      </c>
    </row>
    <row r="204" spans="1:14" x14ac:dyDescent="0.25">
      <c r="A204">
        <v>41</v>
      </c>
      <c r="C204" t="s">
        <v>30</v>
      </c>
      <c r="J204" t="str">
        <f t="shared" si="9"/>
        <v/>
      </c>
      <c r="K204" t="str">
        <f t="shared" si="10"/>
        <v/>
      </c>
      <c r="L204" t="str">
        <f>IF(C204&lt;&gt;"ST1","",IF(K204="","",K204*(1+参数设置!$B$6)))</f>
        <v/>
      </c>
      <c r="M204" t="str">
        <f>IF(A204="","",参数设置!$B$7)</f>
        <v/>
      </c>
      <c r="N204" t="str">
        <f t="shared" si="11"/>
        <v/>
      </c>
    </row>
    <row r="205" spans="1:14" x14ac:dyDescent="0.25">
      <c r="A205">
        <v>41</v>
      </c>
      <c r="C205" t="s">
        <v>31</v>
      </c>
      <c r="J205" t="str">
        <f t="shared" si="9"/>
        <v/>
      </c>
      <c r="K205" t="str">
        <f t="shared" si="10"/>
        <v/>
      </c>
      <c r="L205" t="str">
        <f>IF(C205&lt;&gt;"ST1","",IF(K205="","",K205*(1+参数设置!$B$6)))</f>
        <v/>
      </c>
      <c r="M205" t="str">
        <f>IF(A205="","",参数设置!$B$7)</f>
        <v/>
      </c>
      <c r="N205" t="str">
        <f t="shared" si="11"/>
        <v/>
      </c>
    </row>
    <row r="206" spans="1:14" x14ac:dyDescent="0.25">
      <c r="A206">
        <v>41</v>
      </c>
      <c r="C206" t="s">
        <v>32</v>
      </c>
      <c r="J206" t="str">
        <f t="shared" si="9"/>
        <v/>
      </c>
      <c r="K206" t="str">
        <f t="shared" si="10"/>
        <v/>
      </c>
      <c r="L206" t="str">
        <f>IF(C206&lt;&gt;"ST1","",IF(K206="","",K206*(1+参数设置!$B$6)))</f>
        <v/>
      </c>
      <c r="M206" t="str">
        <f>IF(A206="","",参数设置!$B$7)</f>
        <v/>
      </c>
      <c r="N206" t="str">
        <f t="shared" si="11"/>
        <v/>
      </c>
    </row>
    <row r="207" spans="1:14" x14ac:dyDescent="0.25">
      <c r="A207">
        <v>41</v>
      </c>
      <c r="C207" t="s">
        <v>33</v>
      </c>
      <c r="J207" t="str">
        <f t="shared" si="9"/>
        <v/>
      </c>
      <c r="K207" t="str">
        <f t="shared" si="10"/>
        <v/>
      </c>
      <c r="L207" t="str">
        <f>IF(C207&lt;&gt;"ST1","",IF(K207="","",K207*(1+参数设置!$B$6)))</f>
        <v/>
      </c>
      <c r="M207" t="str">
        <f>IF(A207="","",参数设置!$B$7)</f>
        <v/>
      </c>
      <c r="N207" t="str">
        <f t="shared" si="11"/>
        <v/>
      </c>
    </row>
    <row r="208" spans="1:14" x14ac:dyDescent="0.25">
      <c r="A208">
        <v>42</v>
      </c>
      <c r="C208" t="s">
        <v>29</v>
      </c>
      <c r="J208" t="str">
        <f t="shared" si="9"/>
        <v/>
      </c>
      <c r="K208">
        <f t="shared" si="10"/>
        <v>0</v>
      </c>
      <c r="L208">
        <f>IF(C208&lt;&gt;"ST1","",IF(K208="","",K208*(1+参数设置!$B$6)))</f>
        <v>0</v>
      </c>
      <c r="M208" t="str">
        <f>IF(A208="","",参数设置!$B$7)</f>
        <v/>
      </c>
      <c r="N208" t="str">
        <f t="shared" si="11"/>
        <v/>
      </c>
    </row>
    <row r="209" spans="1:14" x14ac:dyDescent="0.25">
      <c r="A209">
        <v>42</v>
      </c>
      <c r="C209" t="s">
        <v>30</v>
      </c>
      <c r="J209" t="str">
        <f t="shared" si="9"/>
        <v/>
      </c>
      <c r="K209" t="str">
        <f t="shared" si="10"/>
        <v/>
      </c>
      <c r="L209" t="str">
        <f>IF(C209&lt;&gt;"ST1","",IF(K209="","",K209*(1+参数设置!$B$6)))</f>
        <v/>
      </c>
      <c r="M209" t="str">
        <f>IF(A209="","",参数设置!$B$7)</f>
        <v/>
      </c>
      <c r="N209" t="str">
        <f t="shared" si="11"/>
        <v/>
      </c>
    </row>
    <row r="210" spans="1:14" x14ac:dyDescent="0.25">
      <c r="A210">
        <v>42</v>
      </c>
      <c r="C210" t="s">
        <v>31</v>
      </c>
      <c r="J210" t="str">
        <f t="shared" si="9"/>
        <v/>
      </c>
      <c r="K210" t="str">
        <f t="shared" si="10"/>
        <v/>
      </c>
      <c r="L210" t="str">
        <f>IF(C210&lt;&gt;"ST1","",IF(K210="","",K210*(1+参数设置!$B$6)))</f>
        <v/>
      </c>
      <c r="M210" t="str">
        <f>IF(A210="","",参数设置!$B$7)</f>
        <v/>
      </c>
      <c r="N210" t="str">
        <f t="shared" si="11"/>
        <v/>
      </c>
    </row>
    <row r="211" spans="1:14" x14ac:dyDescent="0.25">
      <c r="A211">
        <v>42</v>
      </c>
      <c r="C211" t="s">
        <v>32</v>
      </c>
      <c r="J211" t="str">
        <f t="shared" si="9"/>
        <v/>
      </c>
      <c r="K211" t="str">
        <f t="shared" si="10"/>
        <v/>
      </c>
      <c r="L211" t="str">
        <f>IF(C211&lt;&gt;"ST1","",IF(K211="","",K211*(1+参数设置!$B$6)))</f>
        <v/>
      </c>
      <c r="M211" t="str">
        <f>IF(A211="","",参数设置!$B$7)</f>
        <v/>
      </c>
      <c r="N211" t="str">
        <f t="shared" si="11"/>
        <v/>
      </c>
    </row>
    <row r="212" spans="1:14" x14ac:dyDescent="0.25">
      <c r="A212">
        <v>42</v>
      </c>
      <c r="C212" t="s">
        <v>33</v>
      </c>
      <c r="J212" t="str">
        <f t="shared" si="9"/>
        <v/>
      </c>
      <c r="K212" t="str">
        <f t="shared" si="10"/>
        <v/>
      </c>
      <c r="L212" t="str">
        <f>IF(C212&lt;&gt;"ST1","",IF(K212="","",K212*(1+参数设置!$B$6)))</f>
        <v/>
      </c>
      <c r="M212" t="str">
        <f>IF(A212="","",参数设置!$B$7)</f>
        <v/>
      </c>
      <c r="N212" t="str">
        <f t="shared" si="11"/>
        <v/>
      </c>
    </row>
    <row r="213" spans="1:14" x14ac:dyDescent="0.25">
      <c r="A213">
        <v>43</v>
      </c>
      <c r="C213" t="s">
        <v>29</v>
      </c>
      <c r="J213" t="str">
        <f t="shared" si="9"/>
        <v/>
      </c>
      <c r="K213">
        <f t="shared" si="10"/>
        <v>0</v>
      </c>
      <c r="L213">
        <f>IF(C213&lt;&gt;"ST1","",IF(K213="","",K213*(1+参数设置!$B$6)))</f>
        <v>0</v>
      </c>
      <c r="M213" t="str">
        <f>IF(A213="","",参数设置!$B$7)</f>
        <v/>
      </c>
      <c r="N213" t="str">
        <f t="shared" si="11"/>
        <v/>
      </c>
    </row>
    <row r="214" spans="1:14" x14ac:dyDescent="0.25">
      <c r="A214">
        <v>43</v>
      </c>
      <c r="C214" t="s">
        <v>30</v>
      </c>
      <c r="J214" t="str">
        <f t="shared" si="9"/>
        <v/>
      </c>
      <c r="K214" t="str">
        <f t="shared" si="10"/>
        <v/>
      </c>
      <c r="L214" t="str">
        <f>IF(C214&lt;&gt;"ST1","",IF(K214="","",K214*(1+参数设置!$B$6)))</f>
        <v/>
      </c>
      <c r="M214" t="str">
        <f>IF(A214="","",参数设置!$B$7)</f>
        <v/>
      </c>
      <c r="N214" t="str">
        <f t="shared" si="11"/>
        <v/>
      </c>
    </row>
    <row r="215" spans="1:14" x14ac:dyDescent="0.25">
      <c r="A215">
        <v>43</v>
      </c>
      <c r="C215" t="s">
        <v>31</v>
      </c>
      <c r="J215" t="str">
        <f t="shared" si="9"/>
        <v/>
      </c>
      <c r="K215" t="str">
        <f t="shared" si="10"/>
        <v/>
      </c>
      <c r="L215" t="str">
        <f>IF(C215&lt;&gt;"ST1","",IF(K215="","",K215*(1+参数设置!$B$6)))</f>
        <v/>
      </c>
      <c r="M215" t="str">
        <f>IF(A215="","",参数设置!$B$7)</f>
        <v/>
      </c>
      <c r="N215" t="str">
        <f t="shared" si="11"/>
        <v/>
      </c>
    </row>
    <row r="216" spans="1:14" x14ac:dyDescent="0.25">
      <c r="A216">
        <v>43</v>
      </c>
      <c r="C216" t="s">
        <v>32</v>
      </c>
      <c r="J216" t="str">
        <f t="shared" si="9"/>
        <v/>
      </c>
      <c r="K216" t="str">
        <f t="shared" si="10"/>
        <v/>
      </c>
      <c r="L216" t="str">
        <f>IF(C216&lt;&gt;"ST1","",IF(K216="","",K216*(1+参数设置!$B$6)))</f>
        <v/>
      </c>
      <c r="M216" t="str">
        <f>IF(A216="","",参数设置!$B$7)</f>
        <v/>
      </c>
      <c r="N216" t="str">
        <f t="shared" si="11"/>
        <v/>
      </c>
    </row>
    <row r="217" spans="1:14" x14ac:dyDescent="0.25">
      <c r="A217">
        <v>43</v>
      </c>
      <c r="C217" t="s">
        <v>33</v>
      </c>
      <c r="J217" t="str">
        <f t="shared" si="9"/>
        <v/>
      </c>
      <c r="K217" t="str">
        <f t="shared" si="10"/>
        <v/>
      </c>
      <c r="L217" t="str">
        <f>IF(C217&lt;&gt;"ST1","",IF(K217="","",K217*(1+参数设置!$B$6)))</f>
        <v/>
      </c>
      <c r="M217" t="str">
        <f>IF(A217="","",参数设置!$B$7)</f>
        <v/>
      </c>
      <c r="N217" t="str">
        <f t="shared" si="11"/>
        <v/>
      </c>
    </row>
    <row r="218" spans="1:14" x14ac:dyDescent="0.25">
      <c r="A218">
        <v>44</v>
      </c>
      <c r="C218" t="s">
        <v>29</v>
      </c>
      <c r="J218" t="str">
        <f t="shared" si="9"/>
        <v/>
      </c>
      <c r="K218">
        <f t="shared" si="10"/>
        <v>0</v>
      </c>
      <c r="L218">
        <f>IF(C218&lt;&gt;"ST1","",IF(K218="","",K218*(1+参数设置!$B$6)))</f>
        <v>0</v>
      </c>
      <c r="M218" t="str">
        <f>IF(A218="","",参数设置!$B$7)</f>
        <v/>
      </c>
      <c r="N218" t="str">
        <f t="shared" si="11"/>
        <v/>
      </c>
    </row>
    <row r="219" spans="1:14" x14ac:dyDescent="0.25">
      <c r="A219">
        <v>44</v>
      </c>
      <c r="C219" t="s">
        <v>30</v>
      </c>
      <c r="J219" t="str">
        <f t="shared" si="9"/>
        <v/>
      </c>
      <c r="K219" t="str">
        <f t="shared" si="10"/>
        <v/>
      </c>
      <c r="L219" t="str">
        <f>IF(C219&lt;&gt;"ST1","",IF(K219="","",K219*(1+参数设置!$B$6)))</f>
        <v/>
      </c>
      <c r="M219" t="str">
        <f>IF(A219="","",参数设置!$B$7)</f>
        <v/>
      </c>
      <c r="N219" t="str">
        <f t="shared" si="11"/>
        <v/>
      </c>
    </row>
    <row r="220" spans="1:14" x14ac:dyDescent="0.25">
      <c r="A220">
        <v>44</v>
      </c>
      <c r="C220" t="s">
        <v>31</v>
      </c>
      <c r="J220" t="str">
        <f t="shared" si="9"/>
        <v/>
      </c>
      <c r="K220" t="str">
        <f t="shared" si="10"/>
        <v/>
      </c>
      <c r="L220" t="str">
        <f>IF(C220&lt;&gt;"ST1","",IF(K220="","",K220*(1+参数设置!$B$6)))</f>
        <v/>
      </c>
      <c r="M220" t="str">
        <f>IF(A220="","",参数设置!$B$7)</f>
        <v/>
      </c>
      <c r="N220" t="str">
        <f t="shared" si="11"/>
        <v/>
      </c>
    </row>
    <row r="221" spans="1:14" x14ac:dyDescent="0.25">
      <c r="A221">
        <v>44</v>
      </c>
      <c r="C221" t="s">
        <v>32</v>
      </c>
      <c r="J221" t="str">
        <f t="shared" si="9"/>
        <v/>
      </c>
      <c r="K221" t="str">
        <f t="shared" si="10"/>
        <v/>
      </c>
      <c r="L221" t="str">
        <f>IF(C221&lt;&gt;"ST1","",IF(K221="","",K221*(1+参数设置!$B$6)))</f>
        <v/>
      </c>
      <c r="M221" t="str">
        <f>IF(A221="","",参数设置!$B$7)</f>
        <v/>
      </c>
      <c r="N221" t="str">
        <f t="shared" si="11"/>
        <v/>
      </c>
    </row>
    <row r="222" spans="1:14" x14ac:dyDescent="0.25">
      <c r="A222">
        <v>44</v>
      </c>
      <c r="C222" t="s">
        <v>33</v>
      </c>
      <c r="J222" t="str">
        <f t="shared" si="9"/>
        <v/>
      </c>
      <c r="K222" t="str">
        <f t="shared" si="10"/>
        <v/>
      </c>
      <c r="L222" t="str">
        <f>IF(C222&lt;&gt;"ST1","",IF(K222="","",K222*(1+参数设置!$B$6)))</f>
        <v/>
      </c>
      <c r="M222" t="str">
        <f>IF(A222="","",参数设置!$B$7)</f>
        <v/>
      </c>
      <c r="N222" t="str">
        <f t="shared" si="11"/>
        <v/>
      </c>
    </row>
    <row r="223" spans="1:14" x14ac:dyDescent="0.25">
      <c r="A223">
        <v>45</v>
      </c>
      <c r="C223" t="s">
        <v>29</v>
      </c>
      <c r="J223" t="str">
        <f t="shared" si="9"/>
        <v/>
      </c>
      <c r="K223">
        <f t="shared" si="10"/>
        <v>0</v>
      </c>
      <c r="L223">
        <f>IF(C223&lt;&gt;"ST1","",IF(K223="","",K223*(1+参数设置!$B$6)))</f>
        <v>0</v>
      </c>
      <c r="M223" t="str">
        <f>IF(A223="","",参数设置!$B$7)</f>
        <v/>
      </c>
      <c r="N223" t="str">
        <f t="shared" si="11"/>
        <v/>
      </c>
    </row>
    <row r="224" spans="1:14" x14ac:dyDescent="0.25">
      <c r="A224">
        <v>45</v>
      </c>
      <c r="C224" t="s">
        <v>30</v>
      </c>
      <c r="J224" t="str">
        <f t="shared" si="9"/>
        <v/>
      </c>
      <c r="K224" t="str">
        <f t="shared" si="10"/>
        <v/>
      </c>
      <c r="L224" t="str">
        <f>IF(C224&lt;&gt;"ST1","",IF(K224="","",K224*(1+参数设置!$B$6)))</f>
        <v/>
      </c>
      <c r="M224" t="str">
        <f>IF(A224="","",参数设置!$B$7)</f>
        <v/>
      </c>
      <c r="N224" t="str">
        <f t="shared" si="11"/>
        <v/>
      </c>
    </row>
    <row r="225" spans="1:14" x14ac:dyDescent="0.25">
      <c r="A225">
        <v>45</v>
      </c>
      <c r="C225" t="s">
        <v>31</v>
      </c>
      <c r="J225" t="str">
        <f t="shared" si="9"/>
        <v/>
      </c>
      <c r="K225" t="str">
        <f t="shared" si="10"/>
        <v/>
      </c>
      <c r="L225" t="str">
        <f>IF(C225&lt;&gt;"ST1","",IF(K225="","",K225*(1+参数设置!$B$6)))</f>
        <v/>
      </c>
      <c r="M225" t="str">
        <f>IF(A225="","",参数设置!$B$7)</f>
        <v/>
      </c>
      <c r="N225" t="str">
        <f t="shared" si="11"/>
        <v/>
      </c>
    </row>
    <row r="226" spans="1:14" x14ac:dyDescent="0.25">
      <c r="A226">
        <v>45</v>
      </c>
      <c r="C226" t="s">
        <v>32</v>
      </c>
      <c r="J226" t="str">
        <f t="shared" si="9"/>
        <v/>
      </c>
      <c r="K226" t="str">
        <f t="shared" si="10"/>
        <v/>
      </c>
      <c r="L226" t="str">
        <f>IF(C226&lt;&gt;"ST1","",IF(K226="","",K226*(1+参数设置!$B$6)))</f>
        <v/>
      </c>
      <c r="M226" t="str">
        <f>IF(A226="","",参数设置!$B$7)</f>
        <v/>
      </c>
      <c r="N226" t="str">
        <f t="shared" si="11"/>
        <v/>
      </c>
    </row>
    <row r="227" spans="1:14" x14ac:dyDescent="0.25">
      <c r="A227">
        <v>45</v>
      </c>
      <c r="C227" t="s">
        <v>33</v>
      </c>
      <c r="J227" t="str">
        <f t="shared" si="9"/>
        <v/>
      </c>
      <c r="K227" t="str">
        <f t="shared" si="10"/>
        <v/>
      </c>
      <c r="L227" t="str">
        <f>IF(C227&lt;&gt;"ST1","",IF(K227="","",K227*(1+参数设置!$B$6)))</f>
        <v/>
      </c>
      <c r="M227" t="str">
        <f>IF(A227="","",参数设置!$B$7)</f>
        <v/>
      </c>
      <c r="N227" t="str">
        <f t="shared" si="11"/>
        <v/>
      </c>
    </row>
    <row r="228" spans="1:14" x14ac:dyDescent="0.25">
      <c r="A228">
        <v>46</v>
      </c>
      <c r="C228" t="s">
        <v>29</v>
      </c>
      <c r="J228" t="str">
        <f t="shared" si="9"/>
        <v/>
      </c>
      <c r="K228">
        <f t="shared" si="10"/>
        <v>0</v>
      </c>
      <c r="L228">
        <f>IF(C228&lt;&gt;"ST1","",IF(K228="","",K228*(1+参数设置!$B$6)))</f>
        <v>0</v>
      </c>
      <c r="M228" t="str">
        <f>IF(A228="","",参数设置!$B$7)</f>
        <v/>
      </c>
      <c r="N228" t="str">
        <f t="shared" si="11"/>
        <v/>
      </c>
    </row>
    <row r="229" spans="1:14" x14ac:dyDescent="0.25">
      <c r="A229">
        <v>46</v>
      </c>
      <c r="C229" t="s">
        <v>30</v>
      </c>
      <c r="J229" t="str">
        <f t="shared" si="9"/>
        <v/>
      </c>
      <c r="K229" t="str">
        <f t="shared" si="10"/>
        <v/>
      </c>
      <c r="L229" t="str">
        <f>IF(C229&lt;&gt;"ST1","",IF(K229="","",K229*(1+参数设置!$B$6)))</f>
        <v/>
      </c>
      <c r="M229" t="str">
        <f>IF(A229="","",参数设置!$B$7)</f>
        <v/>
      </c>
      <c r="N229" t="str">
        <f t="shared" si="11"/>
        <v/>
      </c>
    </row>
    <row r="230" spans="1:14" x14ac:dyDescent="0.25">
      <c r="A230">
        <v>46</v>
      </c>
      <c r="C230" t="s">
        <v>31</v>
      </c>
      <c r="J230" t="str">
        <f t="shared" si="9"/>
        <v/>
      </c>
      <c r="K230" t="str">
        <f t="shared" si="10"/>
        <v/>
      </c>
      <c r="L230" t="str">
        <f>IF(C230&lt;&gt;"ST1","",IF(K230="","",K230*(1+参数设置!$B$6)))</f>
        <v/>
      </c>
      <c r="M230" t="str">
        <f>IF(A230="","",参数设置!$B$7)</f>
        <v/>
      </c>
      <c r="N230" t="str">
        <f t="shared" si="11"/>
        <v/>
      </c>
    </row>
    <row r="231" spans="1:14" x14ac:dyDescent="0.25">
      <c r="A231">
        <v>46</v>
      </c>
      <c r="C231" t="s">
        <v>32</v>
      </c>
      <c r="J231" t="str">
        <f t="shared" si="9"/>
        <v/>
      </c>
      <c r="K231" t="str">
        <f t="shared" si="10"/>
        <v/>
      </c>
      <c r="L231" t="str">
        <f>IF(C231&lt;&gt;"ST1","",IF(K231="","",K231*(1+参数设置!$B$6)))</f>
        <v/>
      </c>
      <c r="M231" t="str">
        <f>IF(A231="","",参数设置!$B$7)</f>
        <v/>
      </c>
      <c r="N231" t="str">
        <f t="shared" si="11"/>
        <v/>
      </c>
    </row>
    <row r="232" spans="1:14" x14ac:dyDescent="0.25">
      <c r="A232">
        <v>46</v>
      </c>
      <c r="C232" t="s">
        <v>33</v>
      </c>
      <c r="J232" t="str">
        <f t="shared" si="9"/>
        <v/>
      </c>
      <c r="K232" t="str">
        <f t="shared" si="10"/>
        <v/>
      </c>
      <c r="L232" t="str">
        <f>IF(C232&lt;&gt;"ST1","",IF(K232="","",K232*(1+参数设置!$B$6)))</f>
        <v/>
      </c>
      <c r="M232" t="str">
        <f>IF(A232="","",参数设置!$B$7)</f>
        <v/>
      </c>
      <c r="N232" t="str">
        <f t="shared" si="11"/>
        <v/>
      </c>
    </row>
    <row r="233" spans="1:14" x14ac:dyDescent="0.25">
      <c r="A233">
        <v>47</v>
      </c>
      <c r="C233" t="s">
        <v>29</v>
      </c>
      <c r="J233" t="str">
        <f t="shared" si="9"/>
        <v/>
      </c>
      <c r="K233">
        <f t="shared" si="10"/>
        <v>0</v>
      </c>
      <c r="L233">
        <f>IF(C233&lt;&gt;"ST1","",IF(K233="","",K233*(1+参数设置!$B$6)))</f>
        <v>0</v>
      </c>
      <c r="M233" t="str">
        <f>IF(A233="","",参数设置!$B$7)</f>
        <v/>
      </c>
      <c r="N233" t="str">
        <f t="shared" si="11"/>
        <v/>
      </c>
    </row>
    <row r="234" spans="1:14" x14ac:dyDescent="0.25">
      <c r="A234">
        <v>47</v>
      </c>
      <c r="C234" t="s">
        <v>30</v>
      </c>
      <c r="J234" t="str">
        <f t="shared" si="9"/>
        <v/>
      </c>
      <c r="K234" t="str">
        <f t="shared" si="10"/>
        <v/>
      </c>
      <c r="L234" t="str">
        <f>IF(C234&lt;&gt;"ST1","",IF(K234="","",K234*(1+参数设置!$B$6)))</f>
        <v/>
      </c>
      <c r="M234" t="str">
        <f>IF(A234="","",参数设置!$B$7)</f>
        <v/>
      </c>
      <c r="N234" t="str">
        <f t="shared" si="11"/>
        <v/>
      </c>
    </row>
    <row r="235" spans="1:14" x14ac:dyDescent="0.25">
      <c r="A235">
        <v>47</v>
      </c>
      <c r="C235" t="s">
        <v>31</v>
      </c>
      <c r="J235" t="str">
        <f t="shared" si="9"/>
        <v/>
      </c>
      <c r="K235" t="str">
        <f t="shared" si="10"/>
        <v/>
      </c>
      <c r="L235" t="str">
        <f>IF(C235&lt;&gt;"ST1","",IF(K235="","",K235*(1+参数设置!$B$6)))</f>
        <v/>
      </c>
      <c r="M235" t="str">
        <f>IF(A235="","",参数设置!$B$7)</f>
        <v/>
      </c>
      <c r="N235" t="str">
        <f t="shared" si="11"/>
        <v/>
      </c>
    </row>
    <row r="236" spans="1:14" x14ac:dyDescent="0.25">
      <c r="A236">
        <v>47</v>
      </c>
      <c r="C236" t="s">
        <v>32</v>
      </c>
      <c r="J236" t="str">
        <f t="shared" si="9"/>
        <v/>
      </c>
      <c r="K236" t="str">
        <f t="shared" si="10"/>
        <v/>
      </c>
      <c r="L236" t="str">
        <f>IF(C236&lt;&gt;"ST1","",IF(K236="","",K236*(1+参数设置!$B$6)))</f>
        <v/>
      </c>
      <c r="M236" t="str">
        <f>IF(A236="","",参数设置!$B$7)</f>
        <v/>
      </c>
      <c r="N236" t="str">
        <f t="shared" si="11"/>
        <v/>
      </c>
    </row>
    <row r="237" spans="1:14" x14ac:dyDescent="0.25">
      <c r="A237">
        <v>47</v>
      </c>
      <c r="C237" t="s">
        <v>33</v>
      </c>
      <c r="J237" t="str">
        <f t="shared" si="9"/>
        <v/>
      </c>
      <c r="K237" t="str">
        <f t="shared" si="10"/>
        <v/>
      </c>
      <c r="L237" t="str">
        <f>IF(C237&lt;&gt;"ST1","",IF(K237="","",K237*(1+参数设置!$B$6)))</f>
        <v/>
      </c>
      <c r="M237" t="str">
        <f>IF(A237="","",参数设置!$B$7)</f>
        <v/>
      </c>
      <c r="N237" t="str">
        <f t="shared" si="11"/>
        <v/>
      </c>
    </row>
    <row r="238" spans="1:14" x14ac:dyDescent="0.25">
      <c r="A238">
        <v>48</v>
      </c>
      <c r="C238" t="s">
        <v>29</v>
      </c>
      <c r="J238" t="str">
        <f t="shared" si="9"/>
        <v/>
      </c>
      <c r="K238">
        <f t="shared" si="10"/>
        <v>0</v>
      </c>
      <c r="L238">
        <f>IF(C238&lt;&gt;"ST1","",IF(K238="","",K238*(1+参数设置!$B$6)))</f>
        <v>0</v>
      </c>
      <c r="M238" t="str">
        <f>IF(A238="","",参数设置!$B$7)</f>
        <v/>
      </c>
      <c r="N238" t="str">
        <f t="shared" si="11"/>
        <v/>
      </c>
    </row>
    <row r="239" spans="1:14" x14ac:dyDescent="0.25">
      <c r="A239">
        <v>48</v>
      </c>
      <c r="C239" t="s">
        <v>30</v>
      </c>
      <c r="J239" t="str">
        <f t="shared" si="9"/>
        <v/>
      </c>
      <c r="K239" t="str">
        <f t="shared" si="10"/>
        <v/>
      </c>
      <c r="L239" t="str">
        <f>IF(C239&lt;&gt;"ST1","",IF(K239="","",K239*(1+参数设置!$B$6)))</f>
        <v/>
      </c>
      <c r="M239" t="str">
        <f>IF(A239="","",参数设置!$B$7)</f>
        <v/>
      </c>
      <c r="N239" t="str">
        <f t="shared" si="11"/>
        <v/>
      </c>
    </row>
    <row r="240" spans="1:14" x14ac:dyDescent="0.25">
      <c r="A240">
        <v>48</v>
      </c>
      <c r="C240" t="s">
        <v>31</v>
      </c>
      <c r="J240" t="str">
        <f t="shared" si="9"/>
        <v/>
      </c>
      <c r="K240" t="str">
        <f t="shared" si="10"/>
        <v/>
      </c>
      <c r="L240" t="str">
        <f>IF(C240&lt;&gt;"ST1","",IF(K240="","",K240*(1+参数设置!$B$6)))</f>
        <v/>
      </c>
      <c r="M240" t="str">
        <f>IF(A240="","",参数设置!$B$7)</f>
        <v/>
      </c>
      <c r="N240" t="str">
        <f t="shared" si="11"/>
        <v/>
      </c>
    </row>
    <row r="241" spans="1:14" x14ac:dyDescent="0.25">
      <c r="A241">
        <v>48</v>
      </c>
      <c r="C241" t="s">
        <v>32</v>
      </c>
      <c r="J241" t="str">
        <f t="shared" si="9"/>
        <v/>
      </c>
      <c r="K241" t="str">
        <f t="shared" si="10"/>
        <v/>
      </c>
      <c r="L241" t="str">
        <f>IF(C241&lt;&gt;"ST1","",IF(K241="","",K241*(1+参数设置!$B$6)))</f>
        <v/>
      </c>
      <c r="M241" t="str">
        <f>IF(A241="","",参数设置!$B$7)</f>
        <v/>
      </c>
      <c r="N241" t="str">
        <f t="shared" si="11"/>
        <v/>
      </c>
    </row>
    <row r="242" spans="1:14" x14ac:dyDescent="0.25">
      <c r="A242">
        <v>48</v>
      </c>
      <c r="C242" t="s">
        <v>33</v>
      </c>
      <c r="J242" t="str">
        <f t="shared" si="9"/>
        <v/>
      </c>
      <c r="K242" t="str">
        <f t="shared" si="10"/>
        <v/>
      </c>
      <c r="L242" t="str">
        <f>IF(C242&lt;&gt;"ST1","",IF(K242="","",K242*(1+参数设置!$B$6)))</f>
        <v/>
      </c>
      <c r="M242" t="str">
        <f>IF(A242="","",参数设置!$B$7)</f>
        <v/>
      </c>
      <c r="N242" t="str">
        <f t="shared" si="11"/>
        <v/>
      </c>
    </row>
    <row r="243" spans="1:14" x14ac:dyDescent="0.25">
      <c r="A243">
        <v>49</v>
      </c>
      <c r="C243" t="s">
        <v>29</v>
      </c>
      <c r="J243" t="str">
        <f t="shared" si="9"/>
        <v/>
      </c>
      <c r="K243">
        <f t="shared" si="10"/>
        <v>0</v>
      </c>
      <c r="L243">
        <f>IF(C243&lt;&gt;"ST1","",IF(K243="","",K243*(1+参数设置!$B$6)))</f>
        <v>0</v>
      </c>
      <c r="M243" t="str">
        <f>IF(A243="","",参数设置!$B$7)</f>
        <v/>
      </c>
      <c r="N243" t="str">
        <f t="shared" si="11"/>
        <v/>
      </c>
    </row>
    <row r="244" spans="1:14" x14ac:dyDescent="0.25">
      <c r="A244">
        <v>49</v>
      </c>
      <c r="C244" t="s">
        <v>30</v>
      </c>
      <c r="J244" t="str">
        <f t="shared" si="9"/>
        <v/>
      </c>
      <c r="K244" t="str">
        <f t="shared" si="10"/>
        <v/>
      </c>
      <c r="L244" t="str">
        <f>IF(C244&lt;&gt;"ST1","",IF(K244="","",K244*(1+参数设置!$B$6)))</f>
        <v/>
      </c>
      <c r="M244" t="str">
        <f>IF(A244="","",参数设置!$B$7)</f>
        <v/>
      </c>
      <c r="N244" t="str">
        <f t="shared" si="11"/>
        <v/>
      </c>
    </row>
    <row r="245" spans="1:14" x14ac:dyDescent="0.25">
      <c r="A245">
        <v>49</v>
      </c>
      <c r="C245" t="s">
        <v>31</v>
      </c>
      <c r="J245" t="str">
        <f t="shared" si="9"/>
        <v/>
      </c>
      <c r="K245" t="str">
        <f t="shared" si="10"/>
        <v/>
      </c>
      <c r="L245" t="str">
        <f>IF(C245&lt;&gt;"ST1","",IF(K245="","",K245*(1+参数设置!$B$6)))</f>
        <v/>
      </c>
      <c r="M245" t="str">
        <f>IF(A245="","",参数设置!$B$7)</f>
        <v/>
      </c>
      <c r="N245" t="str">
        <f t="shared" si="11"/>
        <v/>
      </c>
    </row>
    <row r="246" spans="1:14" x14ac:dyDescent="0.25">
      <c r="A246">
        <v>49</v>
      </c>
      <c r="C246" t="s">
        <v>32</v>
      </c>
      <c r="J246" t="str">
        <f t="shared" si="9"/>
        <v/>
      </c>
      <c r="K246" t="str">
        <f t="shared" si="10"/>
        <v/>
      </c>
      <c r="L246" t="str">
        <f>IF(C246&lt;&gt;"ST1","",IF(K246="","",K246*(1+参数设置!$B$6)))</f>
        <v/>
      </c>
      <c r="M246" t="str">
        <f>IF(A246="","",参数设置!$B$7)</f>
        <v/>
      </c>
      <c r="N246" t="str">
        <f t="shared" si="11"/>
        <v/>
      </c>
    </row>
    <row r="247" spans="1:14" x14ac:dyDescent="0.25">
      <c r="A247">
        <v>49</v>
      </c>
      <c r="C247" t="s">
        <v>33</v>
      </c>
      <c r="J247" t="str">
        <f t="shared" si="9"/>
        <v/>
      </c>
      <c r="K247" t="str">
        <f t="shared" si="10"/>
        <v/>
      </c>
      <c r="L247" t="str">
        <f>IF(C247&lt;&gt;"ST1","",IF(K247="","",K247*(1+参数设置!$B$6)))</f>
        <v/>
      </c>
      <c r="M247" t="str">
        <f>IF(A247="","",参数设置!$B$7)</f>
        <v/>
      </c>
      <c r="N247" t="str">
        <f t="shared" si="11"/>
        <v/>
      </c>
    </row>
    <row r="248" spans="1:14" x14ac:dyDescent="0.25">
      <c r="A248">
        <v>50</v>
      </c>
      <c r="C248" t="s">
        <v>29</v>
      </c>
      <c r="J248" t="str">
        <f t="shared" si="9"/>
        <v/>
      </c>
      <c r="K248">
        <f t="shared" si="10"/>
        <v>0</v>
      </c>
      <c r="L248">
        <f>IF(C248&lt;&gt;"ST1","",IF(K248="","",K248*(1+参数设置!$B$6)))</f>
        <v>0</v>
      </c>
      <c r="M248" t="str">
        <f>IF(A248="","",参数设置!$B$7)</f>
        <v/>
      </c>
      <c r="N248" t="str">
        <f t="shared" si="11"/>
        <v/>
      </c>
    </row>
    <row r="249" spans="1:14" x14ac:dyDescent="0.25">
      <c r="A249">
        <v>50</v>
      </c>
      <c r="C249" t="s">
        <v>30</v>
      </c>
      <c r="J249" t="str">
        <f t="shared" si="9"/>
        <v/>
      </c>
      <c r="K249" t="str">
        <f t="shared" si="10"/>
        <v/>
      </c>
      <c r="L249" t="str">
        <f>IF(C249&lt;&gt;"ST1","",IF(K249="","",K249*(1+参数设置!$B$6)))</f>
        <v/>
      </c>
      <c r="M249" t="str">
        <f>IF(A249="","",参数设置!$B$7)</f>
        <v/>
      </c>
      <c r="N249" t="str">
        <f t="shared" si="11"/>
        <v/>
      </c>
    </row>
    <row r="250" spans="1:14" x14ac:dyDescent="0.25">
      <c r="A250">
        <v>50</v>
      </c>
      <c r="C250" t="s">
        <v>31</v>
      </c>
      <c r="J250" t="str">
        <f t="shared" si="9"/>
        <v/>
      </c>
      <c r="K250" t="str">
        <f t="shared" si="10"/>
        <v/>
      </c>
      <c r="L250" t="str">
        <f>IF(C250&lt;&gt;"ST1","",IF(K250="","",K250*(1+参数设置!$B$6)))</f>
        <v/>
      </c>
      <c r="M250" t="str">
        <f>IF(A250="","",参数设置!$B$7)</f>
        <v/>
      </c>
      <c r="N250" t="str">
        <f t="shared" si="11"/>
        <v/>
      </c>
    </row>
    <row r="251" spans="1:14" x14ac:dyDescent="0.25">
      <c r="A251">
        <v>50</v>
      </c>
      <c r="C251" t="s">
        <v>32</v>
      </c>
      <c r="J251" t="str">
        <f t="shared" si="9"/>
        <v/>
      </c>
      <c r="K251" t="str">
        <f t="shared" si="10"/>
        <v/>
      </c>
      <c r="L251" t="str">
        <f>IF(C251&lt;&gt;"ST1","",IF(K251="","",K251*(1+参数设置!$B$6)))</f>
        <v/>
      </c>
      <c r="M251" t="str">
        <f>IF(A251="","",参数设置!$B$7)</f>
        <v/>
      </c>
      <c r="N251" t="str">
        <f t="shared" si="11"/>
        <v/>
      </c>
    </row>
    <row r="252" spans="1:14" x14ac:dyDescent="0.25">
      <c r="A252">
        <v>50</v>
      </c>
      <c r="C252" t="s">
        <v>33</v>
      </c>
      <c r="J252" t="str">
        <f t="shared" si="9"/>
        <v/>
      </c>
      <c r="K252" t="str">
        <f t="shared" si="10"/>
        <v/>
      </c>
      <c r="L252" t="str">
        <f>IF(C252&lt;&gt;"ST1","",IF(K252="","",K252*(1+参数设置!$B$6)))</f>
        <v/>
      </c>
      <c r="M252" t="str">
        <f>IF(A252="","",参数设置!$B$7)</f>
        <v/>
      </c>
      <c r="N252" t="str">
        <f t="shared" si="11"/>
        <v/>
      </c>
    </row>
    <row r="253" spans="1:14" x14ac:dyDescent="0.25">
      <c r="A253">
        <v>51</v>
      </c>
      <c r="C253" t="s">
        <v>29</v>
      </c>
      <c r="J253" t="str">
        <f t="shared" si="9"/>
        <v/>
      </c>
      <c r="K253">
        <f t="shared" si="10"/>
        <v>0</v>
      </c>
      <c r="L253">
        <f>IF(C253&lt;&gt;"ST1","",IF(K253="","",K253*(1+参数设置!$B$6)))</f>
        <v>0</v>
      </c>
      <c r="M253" t="str">
        <f>IF(A253="","",参数设置!$B$7)</f>
        <v/>
      </c>
      <c r="N253" t="str">
        <f t="shared" si="11"/>
        <v/>
      </c>
    </row>
    <row r="254" spans="1:14" x14ac:dyDescent="0.25">
      <c r="A254">
        <v>51</v>
      </c>
      <c r="C254" t="s">
        <v>30</v>
      </c>
      <c r="J254" t="str">
        <f t="shared" si="9"/>
        <v/>
      </c>
      <c r="K254" t="str">
        <f t="shared" si="10"/>
        <v/>
      </c>
      <c r="L254" t="str">
        <f>IF(C254&lt;&gt;"ST1","",IF(K254="","",K254*(1+参数设置!$B$6)))</f>
        <v/>
      </c>
      <c r="M254" t="str">
        <f>IF(A254="","",参数设置!$B$7)</f>
        <v/>
      </c>
      <c r="N254" t="str">
        <f t="shared" si="11"/>
        <v/>
      </c>
    </row>
    <row r="255" spans="1:14" x14ac:dyDescent="0.25">
      <c r="A255">
        <v>51</v>
      </c>
      <c r="C255" t="s">
        <v>31</v>
      </c>
      <c r="J255" t="str">
        <f t="shared" si="9"/>
        <v/>
      </c>
      <c r="K255" t="str">
        <f t="shared" si="10"/>
        <v/>
      </c>
      <c r="L255" t="str">
        <f>IF(C255&lt;&gt;"ST1","",IF(K255="","",K255*(1+参数设置!$B$6)))</f>
        <v/>
      </c>
      <c r="M255" t="str">
        <f>IF(A255="","",参数设置!$B$7)</f>
        <v/>
      </c>
      <c r="N255" t="str">
        <f t="shared" si="11"/>
        <v/>
      </c>
    </row>
    <row r="256" spans="1:14" x14ac:dyDescent="0.25">
      <c r="A256">
        <v>51</v>
      </c>
      <c r="C256" t="s">
        <v>32</v>
      </c>
      <c r="J256" t="str">
        <f t="shared" si="9"/>
        <v/>
      </c>
      <c r="K256" t="str">
        <f t="shared" si="10"/>
        <v/>
      </c>
      <c r="L256" t="str">
        <f>IF(C256&lt;&gt;"ST1","",IF(K256="","",K256*(1+参数设置!$B$6)))</f>
        <v/>
      </c>
      <c r="M256" t="str">
        <f>IF(A256="","",参数设置!$B$7)</f>
        <v/>
      </c>
      <c r="N256" t="str">
        <f t="shared" si="11"/>
        <v/>
      </c>
    </row>
    <row r="257" spans="1:14" x14ac:dyDescent="0.25">
      <c r="A257">
        <v>51</v>
      </c>
      <c r="C257" t="s">
        <v>33</v>
      </c>
      <c r="J257" t="str">
        <f t="shared" si="9"/>
        <v/>
      </c>
      <c r="K257" t="str">
        <f t="shared" si="10"/>
        <v/>
      </c>
      <c r="L257" t="str">
        <f>IF(C257&lt;&gt;"ST1","",IF(K257="","",K257*(1+参数设置!$B$6)))</f>
        <v/>
      </c>
      <c r="M257" t="str">
        <f>IF(A257="","",参数设置!$B$7)</f>
        <v/>
      </c>
      <c r="N257" t="str">
        <f t="shared" si="11"/>
        <v/>
      </c>
    </row>
    <row r="258" spans="1:14" x14ac:dyDescent="0.25">
      <c r="A258">
        <v>52</v>
      </c>
      <c r="C258" t="s">
        <v>29</v>
      </c>
      <c r="J258" t="str">
        <f t="shared" si="9"/>
        <v/>
      </c>
      <c r="K258">
        <f t="shared" si="10"/>
        <v>0</v>
      </c>
      <c r="L258">
        <f>IF(C258&lt;&gt;"ST1","",IF(K258="","",K258*(1+参数设置!$B$6)))</f>
        <v>0</v>
      </c>
      <c r="M258" t="str">
        <f>IF(A258="","",参数设置!$B$7)</f>
        <v/>
      </c>
      <c r="N258" t="str">
        <f t="shared" si="11"/>
        <v/>
      </c>
    </row>
    <row r="259" spans="1:14" x14ac:dyDescent="0.25">
      <c r="A259">
        <v>52</v>
      </c>
      <c r="C259" t="s">
        <v>30</v>
      </c>
      <c r="J259" t="str">
        <f t="shared" ref="J259:J322" si="12">IF(COUNT(E259:I259)=0,"",AVERAGE(E259:I259))</f>
        <v/>
      </c>
      <c r="K259" t="str">
        <f t="shared" ref="K259:K322" si="13">IF(C259&lt;&gt;"ST1","",IF(COUNTIFS($A:$A,A259,$J:$J,"&lt;&gt;")=0,"",SUMIFS($J:$J,$A:$A,A259)))</f>
        <v/>
      </c>
      <c r="L259" t="str">
        <f>IF(C259&lt;&gt;"ST1","",IF(K259="","",K259*(1+参数设置!$B$6)))</f>
        <v/>
      </c>
      <c r="M259" t="str">
        <f>IF(A259="","",参数设置!$B$7)</f>
        <v/>
      </c>
      <c r="N259" t="str">
        <f t="shared" ref="N259:N322" si="14">IF(K259="","",IF(M259="","",IF(K259&gt;M259,"超节拍",IF(K259&gt;=M259*0.9,"接近上限","正常"))))</f>
        <v/>
      </c>
    </row>
    <row r="260" spans="1:14" x14ac:dyDescent="0.25">
      <c r="A260">
        <v>52</v>
      </c>
      <c r="C260" t="s">
        <v>31</v>
      </c>
      <c r="J260" t="str">
        <f t="shared" si="12"/>
        <v/>
      </c>
      <c r="K260" t="str">
        <f t="shared" si="13"/>
        <v/>
      </c>
      <c r="L260" t="str">
        <f>IF(C260&lt;&gt;"ST1","",IF(K260="","",K260*(1+参数设置!$B$6)))</f>
        <v/>
      </c>
      <c r="M260" t="str">
        <f>IF(A260="","",参数设置!$B$7)</f>
        <v/>
      </c>
      <c r="N260" t="str">
        <f t="shared" si="14"/>
        <v/>
      </c>
    </row>
    <row r="261" spans="1:14" x14ac:dyDescent="0.25">
      <c r="A261">
        <v>52</v>
      </c>
      <c r="C261" t="s">
        <v>32</v>
      </c>
      <c r="J261" t="str">
        <f t="shared" si="12"/>
        <v/>
      </c>
      <c r="K261" t="str">
        <f t="shared" si="13"/>
        <v/>
      </c>
      <c r="L261" t="str">
        <f>IF(C261&lt;&gt;"ST1","",IF(K261="","",K261*(1+参数设置!$B$6)))</f>
        <v/>
      </c>
      <c r="M261" t="str">
        <f>IF(A261="","",参数设置!$B$7)</f>
        <v/>
      </c>
      <c r="N261" t="str">
        <f t="shared" si="14"/>
        <v/>
      </c>
    </row>
    <row r="262" spans="1:14" x14ac:dyDescent="0.25">
      <c r="A262">
        <v>52</v>
      </c>
      <c r="C262" t="s">
        <v>33</v>
      </c>
      <c r="J262" t="str">
        <f t="shared" si="12"/>
        <v/>
      </c>
      <c r="K262" t="str">
        <f t="shared" si="13"/>
        <v/>
      </c>
      <c r="L262" t="str">
        <f>IF(C262&lt;&gt;"ST1","",IF(K262="","",K262*(1+参数设置!$B$6)))</f>
        <v/>
      </c>
      <c r="M262" t="str">
        <f>IF(A262="","",参数设置!$B$7)</f>
        <v/>
      </c>
      <c r="N262" t="str">
        <f t="shared" si="14"/>
        <v/>
      </c>
    </row>
    <row r="263" spans="1:14" x14ac:dyDescent="0.25">
      <c r="A263">
        <v>53</v>
      </c>
      <c r="C263" t="s">
        <v>29</v>
      </c>
      <c r="J263" t="str">
        <f t="shared" si="12"/>
        <v/>
      </c>
      <c r="K263">
        <f t="shared" si="13"/>
        <v>0</v>
      </c>
      <c r="L263">
        <f>IF(C263&lt;&gt;"ST1","",IF(K263="","",K263*(1+参数设置!$B$6)))</f>
        <v>0</v>
      </c>
      <c r="M263" t="str">
        <f>IF(A263="","",参数设置!$B$7)</f>
        <v/>
      </c>
      <c r="N263" t="str">
        <f t="shared" si="14"/>
        <v/>
      </c>
    </row>
    <row r="264" spans="1:14" x14ac:dyDescent="0.25">
      <c r="A264">
        <v>53</v>
      </c>
      <c r="C264" t="s">
        <v>30</v>
      </c>
      <c r="J264" t="str">
        <f t="shared" si="12"/>
        <v/>
      </c>
      <c r="K264" t="str">
        <f t="shared" si="13"/>
        <v/>
      </c>
      <c r="L264" t="str">
        <f>IF(C264&lt;&gt;"ST1","",IF(K264="","",K264*(1+参数设置!$B$6)))</f>
        <v/>
      </c>
      <c r="M264" t="str">
        <f>IF(A264="","",参数设置!$B$7)</f>
        <v/>
      </c>
      <c r="N264" t="str">
        <f t="shared" si="14"/>
        <v/>
      </c>
    </row>
    <row r="265" spans="1:14" x14ac:dyDescent="0.25">
      <c r="A265">
        <v>53</v>
      </c>
      <c r="C265" t="s">
        <v>31</v>
      </c>
      <c r="J265" t="str">
        <f t="shared" si="12"/>
        <v/>
      </c>
      <c r="K265" t="str">
        <f t="shared" si="13"/>
        <v/>
      </c>
      <c r="L265" t="str">
        <f>IF(C265&lt;&gt;"ST1","",IF(K265="","",K265*(1+参数设置!$B$6)))</f>
        <v/>
      </c>
      <c r="M265" t="str">
        <f>IF(A265="","",参数设置!$B$7)</f>
        <v/>
      </c>
      <c r="N265" t="str">
        <f t="shared" si="14"/>
        <v/>
      </c>
    </row>
    <row r="266" spans="1:14" x14ac:dyDescent="0.25">
      <c r="A266">
        <v>53</v>
      </c>
      <c r="C266" t="s">
        <v>32</v>
      </c>
      <c r="J266" t="str">
        <f t="shared" si="12"/>
        <v/>
      </c>
      <c r="K266" t="str">
        <f t="shared" si="13"/>
        <v/>
      </c>
      <c r="L266" t="str">
        <f>IF(C266&lt;&gt;"ST1","",IF(K266="","",K266*(1+参数设置!$B$6)))</f>
        <v/>
      </c>
      <c r="M266" t="str">
        <f>IF(A266="","",参数设置!$B$7)</f>
        <v/>
      </c>
      <c r="N266" t="str">
        <f t="shared" si="14"/>
        <v/>
      </c>
    </row>
    <row r="267" spans="1:14" x14ac:dyDescent="0.25">
      <c r="A267">
        <v>53</v>
      </c>
      <c r="C267" t="s">
        <v>33</v>
      </c>
      <c r="J267" t="str">
        <f t="shared" si="12"/>
        <v/>
      </c>
      <c r="K267" t="str">
        <f t="shared" si="13"/>
        <v/>
      </c>
      <c r="L267" t="str">
        <f>IF(C267&lt;&gt;"ST1","",IF(K267="","",K267*(1+参数设置!$B$6)))</f>
        <v/>
      </c>
      <c r="M267" t="str">
        <f>IF(A267="","",参数设置!$B$7)</f>
        <v/>
      </c>
      <c r="N267" t="str">
        <f t="shared" si="14"/>
        <v/>
      </c>
    </row>
    <row r="268" spans="1:14" x14ac:dyDescent="0.25">
      <c r="A268">
        <v>54</v>
      </c>
      <c r="C268" t="s">
        <v>29</v>
      </c>
      <c r="J268" t="str">
        <f t="shared" si="12"/>
        <v/>
      </c>
      <c r="K268">
        <f t="shared" si="13"/>
        <v>0</v>
      </c>
      <c r="L268">
        <f>IF(C268&lt;&gt;"ST1","",IF(K268="","",K268*(1+参数设置!$B$6)))</f>
        <v>0</v>
      </c>
      <c r="M268" t="str">
        <f>IF(A268="","",参数设置!$B$7)</f>
        <v/>
      </c>
      <c r="N268" t="str">
        <f t="shared" si="14"/>
        <v/>
      </c>
    </row>
    <row r="269" spans="1:14" x14ac:dyDescent="0.25">
      <c r="A269">
        <v>54</v>
      </c>
      <c r="C269" t="s">
        <v>30</v>
      </c>
      <c r="J269" t="str">
        <f t="shared" si="12"/>
        <v/>
      </c>
      <c r="K269" t="str">
        <f t="shared" si="13"/>
        <v/>
      </c>
      <c r="L269" t="str">
        <f>IF(C269&lt;&gt;"ST1","",IF(K269="","",K269*(1+参数设置!$B$6)))</f>
        <v/>
      </c>
      <c r="M269" t="str">
        <f>IF(A269="","",参数设置!$B$7)</f>
        <v/>
      </c>
      <c r="N269" t="str">
        <f t="shared" si="14"/>
        <v/>
      </c>
    </row>
    <row r="270" spans="1:14" x14ac:dyDescent="0.25">
      <c r="A270">
        <v>54</v>
      </c>
      <c r="C270" t="s">
        <v>31</v>
      </c>
      <c r="J270" t="str">
        <f t="shared" si="12"/>
        <v/>
      </c>
      <c r="K270" t="str">
        <f t="shared" si="13"/>
        <v/>
      </c>
      <c r="L270" t="str">
        <f>IF(C270&lt;&gt;"ST1","",IF(K270="","",K270*(1+参数设置!$B$6)))</f>
        <v/>
      </c>
      <c r="M270" t="str">
        <f>IF(A270="","",参数设置!$B$7)</f>
        <v/>
      </c>
      <c r="N270" t="str">
        <f t="shared" si="14"/>
        <v/>
      </c>
    </row>
    <row r="271" spans="1:14" x14ac:dyDescent="0.25">
      <c r="A271">
        <v>54</v>
      </c>
      <c r="C271" t="s">
        <v>32</v>
      </c>
      <c r="J271" t="str">
        <f t="shared" si="12"/>
        <v/>
      </c>
      <c r="K271" t="str">
        <f t="shared" si="13"/>
        <v/>
      </c>
      <c r="L271" t="str">
        <f>IF(C271&lt;&gt;"ST1","",IF(K271="","",K271*(1+参数设置!$B$6)))</f>
        <v/>
      </c>
      <c r="M271" t="str">
        <f>IF(A271="","",参数设置!$B$7)</f>
        <v/>
      </c>
      <c r="N271" t="str">
        <f t="shared" si="14"/>
        <v/>
      </c>
    </row>
    <row r="272" spans="1:14" x14ac:dyDescent="0.25">
      <c r="A272">
        <v>54</v>
      </c>
      <c r="C272" t="s">
        <v>33</v>
      </c>
      <c r="J272" t="str">
        <f t="shared" si="12"/>
        <v/>
      </c>
      <c r="K272" t="str">
        <f t="shared" si="13"/>
        <v/>
      </c>
      <c r="L272" t="str">
        <f>IF(C272&lt;&gt;"ST1","",IF(K272="","",K272*(1+参数设置!$B$6)))</f>
        <v/>
      </c>
      <c r="M272" t="str">
        <f>IF(A272="","",参数设置!$B$7)</f>
        <v/>
      </c>
      <c r="N272" t="str">
        <f t="shared" si="14"/>
        <v/>
      </c>
    </row>
    <row r="273" spans="1:14" x14ac:dyDescent="0.25">
      <c r="A273">
        <v>55</v>
      </c>
      <c r="C273" t="s">
        <v>29</v>
      </c>
      <c r="J273" t="str">
        <f t="shared" si="12"/>
        <v/>
      </c>
      <c r="K273">
        <f t="shared" si="13"/>
        <v>0</v>
      </c>
      <c r="L273">
        <f>IF(C273&lt;&gt;"ST1","",IF(K273="","",K273*(1+参数设置!$B$6)))</f>
        <v>0</v>
      </c>
      <c r="M273" t="str">
        <f>IF(A273="","",参数设置!$B$7)</f>
        <v/>
      </c>
      <c r="N273" t="str">
        <f t="shared" si="14"/>
        <v/>
      </c>
    </row>
    <row r="274" spans="1:14" x14ac:dyDescent="0.25">
      <c r="A274">
        <v>55</v>
      </c>
      <c r="C274" t="s">
        <v>30</v>
      </c>
      <c r="J274" t="str">
        <f t="shared" si="12"/>
        <v/>
      </c>
      <c r="K274" t="str">
        <f t="shared" si="13"/>
        <v/>
      </c>
      <c r="L274" t="str">
        <f>IF(C274&lt;&gt;"ST1","",IF(K274="","",K274*(1+参数设置!$B$6)))</f>
        <v/>
      </c>
      <c r="M274" t="str">
        <f>IF(A274="","",参数设置!$B$7)</f>
        <v/>
      </c>
      <c r="N274" t="str">
        <f t="shared" si="14"/>
        <v/>
      </c>
    </row>
    <row r="275" spans="1:14" x14ac:dyDescent="0.25">
      <c r="A275">
        <v>55</v>
      </c>
      <c r="C275" t="s">
        <v>31</v>
      </c>
      <c r="J275" t="str">
        <f t="shared" si="12"/>
        <v/>
      </c>
      <c r="K275" t="str">
        <f t="shared" si="13"/>
        <v/>
      </c>
      <c r="L275" t="str">
        <f>IF(C275&lt;&gt;"ST1","",IF(K275="","",K275*(1+参数设置!$B$6)))</f>
        <v/>
      </c>
      <c r="M275" t="str">
        <f>IF(A275="","",参数设置!$B$7)</f>
        <v/>
      </c>
      <c r="N275" t="str">
        <f t="shared" si="14"/>
        <v/>
      </c>
    </row>
    <row r="276" spans="1:14" x14ac:dyDescent="0.25">
      <c r="A276">
        <v>55</v>
      </c>
      <c r="C276" t="s">
        <v>32</v>
      </c>
      <c r="J276" t="str">
        <f t="shared" si="12"/>
        <v/>
      </c>
      <c r="K276" t="str">
        <f t="shared" si="13"/>
        <v/>
      </c>
      <c r="L276" t="str">
        <f>IF(C276&lt;&gt;"ST1","",IF(K276="","",K276*(1+参数设置!$B$6)))</f>
        <v/>
      </c>
      <c r="M276" t="str">
        <f>IF(A276="","",参数设置!$B$7)</f>
        <v/>
      </c>
      <c r="N276" t="str">
        <f t="shared" si="14"/>
        <v/>
      </c>
    </row>
    <row r="277" spans="1:14" x14ac:dyDescent="0.25">
      <c r="A277">
        <v>55</v>
      </c>
      <c r="C277" t="s">
        <v>33</v>
      </c>
      <c r="J277" t="str">
        <f t="shared" si="12"/>
        <v/>
      </c>
      <c r="K277" t="str">
        <f t="shared" si="13"/>
        <v/>
      </c>
      <c r="L277" t="str">
        <f>IF(C277&lt;&gt;"ST1","",IF(K277="","",K277*(1+参数设置!$B$6)))</f>
        <v/>
      </c>
      <c r="M277" t="str">
        <f>IF(A277="","",参数设置!$B$7)</f>
        <v/>
      </c>
      <c r="N277" t="str">
        <f t="shared" si="14"/>
        <v/>
      </c>
    </row>
    <row r="278" spans="1:14" x14ac:dyDescent="0.25">
      <c r="A278">
        <v>56</v>
      </c>
      <c r="C278" t="s">
        <v>29</v>
      </c>
      <c r="J278" t="str">
        <f t="shared" si="12"/>
        <v/>
      </c>
      <c r="K278">
        <f t="shared" si="13"/>
        <v>0</v>
      </c>
      <c r="L278">
        <f>IF(C278&lt;&gt;"ST1","",IF(K278="","",K278*(1+参数设置!$B$6)))</f>
        <v>0</v>
      </c>
      <c r="M278" t="str">
        <f>IF(A278="","",参数设置!$B$7)</f>
        <v/>
      </c>
      <c r="N278" t="str">
        <f t="shared" si="14"/>
        <v/>
      </c>
    </row>
    <row r="279" spans="1:14" x14ac:dyDescent="0.25">
      <c r="A279">
        <v>56</v>
      </c>
      <c r="C279" t="s">
        <v>30</v>
      </c>
      <c r="J279" t="str">
        <f t="shared" si="12"/>
        <v/>
      </c>
      <c r="K279" t="str">
        <f t="shared" si="13"/>
        <v/>
      </c>
      <c r="L279" t="str">
        <f>IF(C279&lt;&gt;"ST1","",IF(K279="","",K279*(1+参数设置!$B$6)))</f>
        <v/>
      </c>
      <c r="M279" t="str">
        <f>IF(A279="","",参数设置!$B$7)</f>
        <v/>
      </c>
      <c r="N279" t="str">
        <f t="shared" si="14"/>
        <v/>
      </c>
    </row>
    <row r="280" spans="1:14" x14ac:dyDescent="0.25">
      <c r="A280">
        <v>56</v>
      </c>
      <c r="C280" t="s">
        <v>31</v>
      </c>
      <c r="J280" t="str">
        <f t="shared" si="12"/>
        <v/>
      </c>
      <c r="K280" t="str">
        <f t="shared" si="13"/>
        <v/>
      </c>
      <c r="L280" t="str">
        <f>IF(C280&lt;&gt;"ST1","",IF(K280="","",K280*(1+参数设置!$B$6)))</f>
        <v/>
      </c>
      <c r="M280" t="str">
        <f>IF(A280="","",参数设置!$B$7)</f>
        <v/>
      </c>
      <c r="N280" t="str">
        <f t="shared" si="14"/>
        <v/>
      </c>
    </row>
    <row r="281" spans="1:14" x14ac:dyDescent="0.25">
      <c r="A281">
        <v>56</v>
      </c>
      <c r="C281" t="s">
        <v>32</v>
      </c>
      <c r="J281" t="str">
        <f t="shared" si="12"/>
        <v/>
      </c>
      <c r="K281" t="str">
        <f t="shared" si="13"/>
        <v/>
      </c>
      <c r="L281" t="str">
        <f>IF(C281&lt;&gt;"ST1","",IF(K281="","",K281*(1+参数设置!$B$6)))</f>
        <v/>
      </c>
      <c r="M281" t="str">
        <f>IF(A281="","",参数设置!$B$7)</f>
        <v/>
      </c>
      <c r="N281" t="str">
        <f t="shared" si="14"/>
        <v/>
      </c>
    </row>
    <row r="282" spans="1:14" x14ac:dyDescent="0.25">
      <c r="A282">
        <v>56</v>
      </c>
      <c r="C282" t="s">
        <v>33</v>
      </c>
      <c r="J282" t="str">
        <f t="shared" si="12"/>
        <v/>
      </c>
      <c r="K282" t="str">
        <f t="shared" si="13"/>
        <v/>
      </c>
      <c r="L282" t="str">
        <f>IF(C282&lt;&gt;"ST1","",IF(K282="","",K282*(1+参数设置!$B$6)))</f>
        <v/>
      </c>
      <c r="M282" t="str">
        <f>IF(A282="","",参数设置!$B$7)</f>
        <v/>
      </c>
      <c r="N282" t="str">
        <f t="shared" si="14"/>
        <v/>
      </c>
    </row>
    <row r="283" spans="1:14" x14ac:dyDescent="0.25">
      <c r="A283">
        <v>57</v>
      </c>
      <c r="C283" t="s">
        <v>29</v>
      </c>
      <c r="J283" t="str">
        <f t="shared" si="12"/>
        <v/>
      </c>
      <c r="K283">
        <f t="shared" si="13"/>
        <v>0</v>
      </c>
      <c r="L283">
        <f>IF(C283&lt;&gt;"ST1","",IF(K283="","",K283*(1+参数设置!$B$6)))</f>
        <v>0</v>
      </c>
      <c r="M283" t="str">
        <f>IF(A283="","",参数设置!$B$7)</f>
        <v/>
      </c>
      <c r="N283" t="str">
        <f t="shared" si="14"/>
        <v/>
      </c>
    </row>
    <row r="284" spans="1:14" x14ac:dyDescent="0.25">
      <c r="A284">
        <v>57</v>
      </c>
      <c r="C284" t="s">
        <v>30</v>
      </c>
      <c r="J284" t="str">
        <f t="shared" si="12"/>
        <v/>
      </c>
      <c r="K284" t="str">
        <f t="shared" si="13"/>
        <v/>
      </c>
      <c r="L284" t="str">
        <f>IF(C284&lt;&gt;"ST1","",IF(K284="","",K284*(1+参数设置!$B$6)))</f>
        <v/>
      </c>
      <c r="M284" t="str">
        <f>IF(A284="","",参数设置!$B$7)</f>
        <v/>
      </c>
      <c r="N284" t="str">
        <f t="shared" si="14"/>
        <v/>
      </c>
    </row>
    <row r="285" spans="1:14" x14ac:dyDescent="0.25">
      <c r="A285">
        <v>57</v>
      </c>
      <c r="C285" t="s">
        <v>31</v>
      </c>
      <c r="J285" t="str">
        <f t="shared" si="12"/>
        <v/>
      </c>
      <c r="K285" t="str">
        <f t="shared" si="13"/>
        <v/>
      </c>
      <c r="L285" t="str">
        <f>IF(C285&lt;&gt;"ST1","",IF(K285="","",K285*(1+参数设置!$B$6)))</f>
        <v/>
      </c>
      <c r="M285" t="str">
        <f>IF(A285="","",参数设置!$B$7)</f>
        <v/>
      </c>
      <c r="N285" t="str">
        <f t="shared" si="14"/>
        <v/>
      </c>
    </row>
    <row r="286" spans="1:14" x14ac:dyDescent="0.25">
      <c r="A286">
        <v>57</v>
      </c>
      <c r="C286" t="s">
        <v>32</v>
      </c>
      <c r="J286" t="str">
        <f t="shared" si="12"/>
        <v/>
      </c>
      <c r="K286" t="str">
        <f t="shared" si="13"/>
        <v/>
      </c>
      <c r="L286" t="str">
        <f>IF(C286&lt;&gt;"ST1","",IF(K286="","",K286*(1+参数设置!$B$6)))</f>
        <v/>
      </c>
      <c r="M286" t="str">
        <f>IF(A286="","",参数设置!$B$7)</f>
        <v/>
      </c>
      <c r="N286" t="str">
        <f t="shared" si="14"/>
        <v/>
      </c>
    </row>
    <row r="287" spans="1:14" x14ac:dyDescent="0.25">
      <c r="A287">
        <v>57</v>
      </c>
      <c r="C287" t="s">
        <v>33</v>
      </c>
      <c r="J287" t="str">
        <f t="shared" si="12"/>
        <v/>
      </c>
      <c r="K287" t="str">
        <f t="shared" si="13"/>
        <v/>
      </c>
      <c r="L287" t="str">
        <f>IF(C287&lt;&gt;"ST1","",IF(K287="","",K287*(1+参数设置!$B$6)))</f>
        <v/>
      </c>
      <c r="M287" t="str">
        <f>IF(A287="","",参数设置!$B$7)</f>
        <v/>
      </c>
      <c r="N287" t="str">
        <f t="shared" si="14"/>
        <v/>
      </c>
    </row>
    <row r="288" spans="1:14" x14ac:dyDescent="0.25">
      <c r="A288">
        <v>58</v>
      </c>
      <c r="C288" t="s">
        <v>29</v>
      </c>
      <c r="J288" t="str">
        <f t="shared" si="12"/>
        <v/>
      </c>
      <c r="K288">
        <f t="shared" si="13"/>
        <v>0</v>
      </c>
      <c r="L288">
        <f>IF(C288&lt;&gt;"ST1","",IF(K288="","",K288*(1+参数设置!$B$6)))</f>
        <v>0</v>
      </c>
      <c r="M288" t="str">
        <f>IF(A288="","",参数设置!$B$7)</f>
        <v/>
      </c>
      <c r="N288" t="str">
        <f t="shared" si="14"/>
        <v/>
      </c>
    </row>
    <row r="289" spans="1:14" x14ac:dyDescent="0.25">
      <c r="A289">
        <v>58</v>
      </c>
      <c r="C289" t="s">
        <v>30</v>
      </c>
      <c r="J289" t="str">
        <f t="shared" si="12"/>
        <v/>
      </c>
      <c r="K289" t="str">
        <f t="shared" si="13"/>
        <v/>
      </c>
      <c r="L289" t="str">
        <f>IF(C289&lt;&gt;"ST1","",IF(K289="","",K289*(1+参数设置!$B$6)))</f>
        <v/>
      </c>
      <c r="M289" t="str">
        <f>IF(A289="","",参数设置!$B$7)</f>
        <v/>
      </c>
      <c r="N289" t="str">
        <f t="shared" si="14"/>
        <v/>
      </c>
    </row>
    <row r="290" spans="1:14" x14ac:dyDescent="0.25">
      <c r="A290">
        <v>58</v>
      </c>
      <c r="C290" t="s">
        <v>31</v>
      </c>
      <c r="J290" t="str">
        <f t="shared" si="12"/>
        <v/>
      </c>
      <c r="K290" t="str">
        <f t="shared" si="13"/>
        <v/>
      </c>
      <c r="L290" t="str">
        <f>IF(C290&lt;&gt;"ST1","",IF(K290="","",K290*(1+参数设置!$B$6)))</f>
        <v/>
      </c>
      <c r="M290" t="str">
        <f>IF(A290="","",参数设置!$B$7)</f>
        <v/>
      </c>
      <c r="N290" t="str">
        <f t="shared" si="14"/>
        <v/>
      </c>
    </row>
    <row r="291" spans="1:14" x14ac:dyDescent="0.25">
      <c r="A291">
        <v>58</v>
      </c>
      <c r="C291" t="s">
        <v>32</v>
      </c>
      <c r="J291" t="str">
        <f t="shared" si="12"/>
        <v/>
      </c>
      <c r="K291" t="str">
        <f t="shared" si="13"/>
        <v/>
      </c>
      <c r="L291" t="str">
        <f>IF(C291&lt;&gt;"ST1","",IF(K291="","",K291*(1+参数设置!$B$6)))</f>
        <v/>
      </c>
      <c r="M291" t="str">
        <f>IF(A291="","",参数设置!$B$7)</f>
        <v/>
      </c>
      <c r="N291" t="str">
        <f t="shared" si="14"/>
        <v/>
      </c>
    </row>
    <row r="292" spans="1:14" x14ac:dyDescent="0.25">
      <c r="A292">
        <v>58</v>
      </c>
      <c r="C292" t="s">
        <v>33</v>
      </c>
      <c r="J292" t="str">
        <f t="shared" si="12"/>
        <v/>
      </c>
      <c r="K292" t="str">
        <f t="shared" si="13"/>
        <v/>
      </c>
      <c r="L292" t="str">
        <f>IF(C292&lt;&gt;"ST1","",IF(K292="","",K292*(1+参数设置!$B$6)))</f>
        <v/>
      </c>
      <c r="M292" t="str">
        <f>IF(A292="","",参数设置!$B$7)</f>
        <v/>
      </c>
      <c r="N292" t="str">
        <f t="shared" si="14"/>
        <v/>
      </c>
    </row>
    <row r="293" spans="1:14" x14ac:dyDescent="0.25">
      <c r="A293">
        <v>59</v>
      </c>
      <c r="C293" t="s">
        <v>29</v>
      </c>
      <c r="J293" t="str">
        <f t="shared" si="12"/>
        <v/>
      </c>
      <c r="K293">
        <f t="shared" si="13"/>
        <v>0</v>
      </c>
      <c r="L293">
        <f>IF(C293&lt;&gt;"ST1","",IF(K293="","",K293*(1+参数设置!$B$6)))</f>
        <v>0</v>
      </c>
      <c r="M293" t="str">
        <f>IF(A293="","",参数设置!$B$7)</f>
        <v/>
      </c>
      <c r="N293" t="str">
        <f t="shared" si="14"/>
        <v/>
      </c>
    </row>
    <row r="294" spans="1:14" x14ac:dyDescent="0.25">
      <c r="A294">
        <v>59</v>
      </c>
      <c r="C294" t="s">
        <v>30</v>
      </c>
      <c r="J294" t="str">
        <f t="shared" si="12"/>
        <v/>
      </c>
      <c r="K294" t="str">
        <f t="shared" si="13"/>
        <v/>
      </c>
      <c r="L294" t="str">
        <f>IF(C294&lt;&gt;"ST1","",IF(K294="","",K294*(1+参数设置!$B$6)))</f>
        <v/>
      </c>
      <c r="M294" t="str">
        <f>IF(A294="","",参数设置!$B$7)</f>
        <v/>
      </c>
      <c r="N294" t="str">
        <f t="shared" si="14"/>
        <v/>
      </c>
    </row>
    <row r="295" spans="1:14" x14ac:dyDescent="0.25">
      <c r="A295">
        <v>59</v>
      </c>
      <c r="C295" t="s">
        <v>31</v>
      </c>
      <c r="J295" t="str">
        <f t="shared" si="12"/>
        <v/>
      </c>
      <c r="K295" t="str">
        <f t="shared" si="13"/>
        <v/>
      </c>
      <c r="L295" t="str">
        <f>IF(C295&lt;&gt;"ST1","",IF(K295="","",K295*(1+参数设置!$B$6)))</f>
        <v/>
      </c>
      <c r="M295" t="str">
        <f>IF(A295="","",参数设置!$B$7)</f>
        <v/>
      </c>
      <c r="N295" t="str">
        <f t="shared" si="14"/>
        <v/>
      </c>
    </row>
    <row r="296" spans="1:14" x14ac:dyDescent="0.25">
      <c r="A296">
        <v>59</v>
      </c>
      <c r="C296" t="s">
        <v>32</v>
      </c>
      <c r="J296" t="str">
        <f t="shared" si="12"/>
        <v/>
      </c>
      <c r="K296" t="str">
        <f t="shared" si="13"/>
        <v/>
      </c>
      <c r="L296" t="str">
        <f>IF(C296&lt;&gt;"ST1","",IF(K296="","",K296*(1+参数设置!$B$6)))</f>
        <v/>
      </c>
      <c r="M296" t="str">
        <f>IF(A296="","",参数设置!$B$7)</f>
        <v/>
      </c>
      <c r="N296" t="str">
        <f t="shared" si="14"/>
        <v/>
      </c>
    </row>
    <row r="297" spans="1:14" x14ac:dyDescent="0.25">
      <c r="A297">
        <v>59</v>
      </c>
      <c r="C297" t="s">
        <v>33</v>
      </c>
      <c r="J297" t="str">
        <f t="shared" si="12"/>
        <v/>
      </c>
      <c r="K297" t="str">
        <f t="shared" si="13"/>
        <v/>
      </c>
      <c r="L297" t="str">
        <f>IF(C297&lt;&gt;"ST1","",IF(K297="","",K297*(1+参数设置!$B$6)))</f>
        <v/>
      </c>
      <c r="M297" t="str">
        <f>IF(A297="","",参数设置!$B$7)</f>
        <v/>
      </c>
      <c r="N297" t="str">
        <f t="shared" si="14"/>
        <v/>
      </c>
    </row>
    <row r="298" spans="1:14" x14ac:dyDescent="0.25">
      <c r="A298">
        <v>60</v>
      </c>
      <c r="C298" t="s">
        <v>29</v>
      </c>
      <c r="J298" t="str">
        <f t="shared" si="12"/>
        <v/>
      </c>
      <c r="K298">
        <f t="shared" si="13"/>
        <v>0</v>
      </c>
      <c r="L298">
        <f>IF(C298&lt;&gt;"ST1","",IF(K298="","",K298*(1+参数设置!$B$6)))</f>
        <v>0</v>
      </c>
      <c r="M298" t="str">
        <f>IF(A298="","",参数设置!$B$7)</f>
        <v/>
      </c>
      <c r="N298" t="str">
        <f t="shared" si="14"/>
        <v/>
      </c>
    </row>
    <row r="299" spans="1:14" x14ac:dyDescent="0.25">
      <c r="A299">
        <v>60</v>
      </c>
      <c r="C299" t="s">
        <v>30</v>
      </c>
      <c r="J299" t="str">
        <f t="shared" si="12"/>
        <v/>
      </c>
      <c r="K299" t="str">
        <f t="shared" si="13"/>
        <v/>
      </c>
      <c r="L299" t="str">
        <f>IF(C299&lt;&gt;"ST1","",IF(K299="","",K299*(1+参数设置!$B$6)))</f>
        <v/>
      </c>
      <c r="M299" t="str">
        <f>IF(A299="","",参数设置!$B$7)</f>
        <v/>
      </c>
      <c r="N299" t="str">
        <f t="shared" si="14"/>
        <v/>
      </c>
    </row>
    <row r="300" spans="1:14" x14ac:dyDescent="0.25">
      <c r="A300">
        <v>60</v>
      </c>
      <c r="C300" t="s">
        <v>31</v>
      </c>
      <c r="J300" t="str">
        <f t="shared" si="12"/>
        <v/>
      </c>
      <c r="K300" t="str">
        <f t="shared" si="13"/>
        <v/>
      </c>
      <c r="L300" t="str">
        <f>IF(C300&lt;&gt;"ST1","",IF(K300="","",K300*(1+参数设置!$B$6)))</f>
        <v/>
      </c>
      <c r="M300" t="str">
        <f>IF(A300="","",参数设置!$B$7)</f>
        <v/>
      </c>
      <c r="N300" t="str">
        <f t="shared" si="14"/>
        <v/>
      </c>
    </row>
    <row r="301" spans="1:14" x14ac:dyDescent="0.25">
      <c r="A301">
        <v>60</v>
      </c>
      <c r="C301" t="s">
        <v>32</v>
      </c>
      <c r="J301" t="str">
        <f t="shared" si="12"/>
        <v/>
      </c>
      <c r="K301" t="str">
        <f t="shared" si="13"/>
        <v/>
      </c>
      <c r="L301" t="str">
        <f>IF(C301&lt;&gt;"ST1","",IF(K301="","",K301*(1+参数设置!$B$6)))</f>
        <v/>
      </c>
      <c r="M301" t="str">
        <f>IF(A301="","",参数设置!$B$7)</f>
        <v/>
      </c>
      <c r="N301" t="str">
        <f t="shared" si="14"/>
        <v/>
      </c>
    </row>
    <row r="302" spans="1:14" x14ac:dyDescent="0.25">
      <c r="A302">
        <v>60</v>
      </c>
      <c r="C302" t="s">
        <v>33</v>
      </c>
      <c r="J302" t="str">
        <f t="shared" si="12"/>
        <v/>
      </c>
      <c r="K302" t="str">
        <f t="shared" si="13"/>
        <v/>
      </c>
      <c r="L302" t="str">
        <f>IF(C302&lt;&gt;"ST1","",IF(K302="","",K302*(1+参数设置!$B$6)))</f>
        <v/>
      </c>
      <c r="M302" t="str">
        <f>IF(A302="","",参数设置!$B$7)</f>
        <v/>
      </c>
      <c r="N302" t="str">
        <f t="shared" si="14"/>
        <v/>
      </c>
    </row>
    <row r="303" spans="1:14" x14ac:dyDescent="0.25">
      <c r="A303">
        <v>61</v>
      </c>
      <c r="C303" t="s">
        <v>29</v>
      </c>
      <c r="J303" t="str">
        <f t="shared" si="12"/>
        <v/>
      </c>
      <c r="K303">
        <f t="shared" si="13"/>
        <v>0</v>
      </c>
      <c r="L303">
        <f>IF(C303&lt;&gt;"ST1","",IF(K303="","",K303*(1+参数设置!$B$6)))</f>
        <v>0</v>
      </c>
      <c r="M303" t="str">
        <f>IF(A303="","",参数设置!$B$7)</f>
        <v/>
      </c>
      <c r="N303" t="str">
        <f t="shared" si="14"/>
        <v/>
      </c>
    </row>
    <row r="304" spans="1:14" x14ac:dyDescent="0.25">
      <c r="A304">
        <v>61</v>
      </c>
      <c r="C304" t="s">
        <v>30</v>
      </c>
      <c r="J304" t="str">
        <f t="shared" si="12"/>
        <v/>
      </c>
      <c r="K304" t="str">
        <f t="shared" si="13"/>
        <v/>
      </c>
      <c r="L304" t="str">
        <f>IF(C304&lt;&gt;"ST1","",IF(K304="","",K304*(1+参数设置!$B$6)))</f>
        <v/>
      </c>
      <c r="M304" t="str">
        <f>IF(A304="","",参数设置!$B$7)</f>
        <v/>
      </c>
      <c r="N304" t="str">
        <f t="shared" si="14"/>
        <v/>
      </c>
    </row>
    <row r="305" spans="1:14" x14ac:dyDescent="0.25">
      <c r="A305">
        <v>61</v>
      </c>
      <c r="C305" t="s">
        <v>31</v>
      </c>
      <c r="J305" t="str">
        <f t="shared" si="12"/>
        <v/>
      </c>
      <c r="K305" t="str">
        <f t="shared" si="13"/>
        <v/>
      </c>
      <c r="L305" t="str">
        <f>IF(C305&lt;&gt;"ST1","",IF(K305="","",K305*(1+参数设置!$B$6)))</f>
        <v/>
      </c>
      <c r="M305" t="str">
        <f>IF(A305="","",参数设置!$B$7)</f>
        <v/>
      </c>
      <c r="N305" t="str">
        <f t="shared" si="14"/>
        <v/>
      </c>
    </row>
    <row r="306" spans="1:14" x14ac:dyDescent="0.25">
      <c r="A306">
        <v>61</v>
      </c>
      <c r="C306" t="s">
        <v>32</v>
      </c>
      <c r="J306" t="str">
        <f t="shared" si="12"/>
        <v/>
      </c>
      <c r="K306" t="str">
        <f t="shared" si="13"/>
        <v/>
      </c>
      <c r="L306" t="str">
        <f>IF(C306&lt;&gt;"ST1","",IF(K306="","",K306*(1+参数设置!$B$6)))</f>
        <v/>
      </c>
      <c r="M306" t="str">
        <f>IF(A306="","",参数设置!$B$7)</f>
        <v/>
      </c>
      <c r="N306" t="str">
        <f t="shared" si="14"/>
        <v/>
      </c>
    </row>
    <row r="307" spans="1:14" x14ac:dyDescent="0.25">
      <c r="A307">
        <v>61</v>
      </c>
      <c r="C307" t="s">
        <v>33</v>
      </c>
      <c r="J307" t="str">
        <f t="shared" si="12"/>
        <v/>
      </c>
      <c r="K307" t="str">
        <f t="shared" si="13"/>
        <v/>
      </c>
      <c r="L307" t="str">
        <f>IF(C307&lt;&gt;"ST1","",IF(K307="","",K307*(1+参数设置!$B$6)))</f>
        <v/>
      </c>
      <c r="M307" t="str">
        <f>IF(A307="","",参数设置!$B$7)</f>
        <v/>
      </c>
      <c r="N307" t="str">
        <f t="shared" si="14"/>
        <v/>
      </c>
    </row>
    <row r="308" spans="1:14" x14ac:dyDescent="0.25">
      <c r="A308">
        <v>62</v>
      </c>
      <c r="C308" t="s">
        <v>29</v>
      </c>
      <c r="J308" t="str">
        <f t="shared" si="12"/>
        <v/>
      </c>
      <c r="K308">
        <f t="shared" si="13"/>
        <v>0</v>
      </c>
      <c r="L308">
        <f>IF(C308&lt;&gt;"ST1","",IF(K308="","",K308*(1+参数设置!$B$6)))</f>
        <v>0</v>
      </c>
      <c r="M308" t="str">
        <f>IF(A308="","",参数设置!$B$7)</f>
        <v/>
      </c>
      <c r="N308" t="str">
        <f t="shared" si="14"/>
        <v/>
      </c>
    </row>
    <row r="309" spans="1:14" x14ac:dyDescent="0.25">
      <c r="A309">
        <v>62</v>
      </c>
      <c r="C309" t="s">
        <v>30</v>
      </c>
      <c r="J309" t="str">
        <f t="shared" si="12"/>
        <v/>
      </c>
      <c r="K309" t="str">
        <f t="shared" si="13"/>
        <v/>
      </c>
      <c r="L309" t="str">
        <f>IF(C309&lt;&gt;"ST1","",IF(K309="","",K309*(1+参数设置!$B$6)))</f>
        <v/>
      </c>
      <c r="M309" t="str">
        <f>IF(A309="","",参数设置!$B$7)</f>
        <v/>
      </c>
      <c r="N309" t="str">
        <f t="shared" si="14"/>
        <v/>
      </c>
    </row>
    <row r="310" spans="1:14" x14ac:dyDescent="0.25">
      <c r="A310">
        <v>62</v>
      </c>
      <c r="C310" t="s">
        <v>31</v>
      </c>
      <c r="J310" t="str">
        <f t="shared" si="12"/>
        <v/>
      </c>
      <c r="K310" t="str">
        <f t="shared" si="13"/>
        <v/>
      </c>
      <c r="L310" t="str">
        <f>IF(C310&lt;&gt;"ST1","",IF(K310="","",K310*(1+参数设置!$B$6)))</f>
        <v/>
      </c>
      <c r="M310" t="str">
        <f>IF(A310="","",参数设置!$B$7)</f>
        <v/>
      </c>
      <c r="N310" t="str">
        <f t="shared" si="14"/>
        <v/>
      </c>
    </row>
    <row r="311" spans="1:14" x14ac:dyDescent="0.25">
      <c r="A311">
        <v>62</v>
      </c>
      <c r="C311" t="s">
        <v>32</v>
      </c>
      <c r="J311" t="str">
        <f t="shared" si="12"/>
        <v/>
      </c>
      <c r="K311" t="str">
        <f t="shared" si="13"/>
        <v/>
      </c>
      <c r="L311" t="str">
        <f>IF(C311&lt;&gt;"ST1","",IF(K311="","",K311*(1+参数设置!$B$6)))</f>
        <v/>
      </c>
      <c r="M311" t="str">
        <f>IF(A311="","",参数设置!$B$7)</f>
        <v/>
      </c>
      <c r="N311" t="str">
        <f t="shared" si="14"/>
        <v/>
      </c>
    </row>
    <row r="312" spans="1:14" x14ac:dyDescent="0.25">
      <c r="A312">
        <v>62</v>
      </c>
      <c r="C312" t="s">
        <v>33</v>
      </c>
      <c r="J312" t="str">
        <f t="shared" si="12"/>
        <v/>
      </c>
      <c r="K312" t="str">
        <f t="shared" si="13"/>
        <v/>
      </c>
      <c r="L312" t="str">
        <f>IF(C312&lt;&gt;"ST1","",IF(K312="","",K312*(1+参数设置!$B$6)))</f>
        <v/>
      </c>
      <c r="M312" t="str">
        <f>IF(A312="","",参数设置!$B$7)</f>
        <v/>
      </c>
      <c r="N312" t="str">
        <f t="shared" si="14"/>
        <v/>
      </c>
    </row>
    <row r="313" spans="1:14" x14ac:dyDescent="0.25">
      <c r="A313">
        <v>63</v>
      </c>
      <c r="C313" t="s">
        <v>29</v>
      </c>
      <c r="J313" t="str">
        <f t="shared" si="12"/>
        <v/>
      </c>
      <c r="K313">
        <f t="shared" si="13"/>
        <v>0</v>
      </c>
      <c r="L313">
        <f>IF(C313&lt;&gt;"ST1","",IF(K313="","",K313*(1+参数设置!$B$6)))</f>
        <v>0</v>
      </c>
      <c r="M313" t="str">
        <f>IF(A313="","",参数设置!$B$7)</f>
        <v/>
      </c>
      <c r="N313" t="str">
        <f t="shared" si="14"/>
        <v/>
      </c>
    </row>
    <row r="314" spans="1:14" x14ac:dyDescent="0.25">
      <c r="A314">
        <v>63</v>
      </c>
      <c r="C314" t="s">
        <v>30</v>
      </c>
      <c r="J314" t="str">
        <f t="shared" si="12"/>
        <v/>
      </c>
      <c r="K314" t="str">
        <f t="shared" si="13"/>
        <v/>
      </c>
      <c r="L314" t="str">
        <f>IF(C314&lt;&gt;"ST1","",IF(K314="","",K314*(1+参数设置!$B$6)))</f>
        <v/>
      </c>
      <c r="M314" t="str">
        <f>IF(A314="","",参数设置!$B$7)</f>
        <v/>
      </c>
      <c r="N314" t="str">
        <f t="shared" si="14"/>
        <v/>
      </c>
    </row>
    <row r="315" spans="1:14" x14ac:dyDescent="0.25">
      <c r="A315">
        <v>63</v>
      </c>
      <c r="C315" t="s">
        <v>31</v>
      </c>
      <c r="J315" t="str">
        <f t="shared" si="12"/>
        <v/>
      </c>
      <c r="K315" t="str">
        <f t="shared" si="13"/>
        <v/>
      </c>
      <c r="L315" t="str">
        <f>IF(C315&lt;&gt;"ST1","",IF(K315="","",K315*(1+参数设置!$B$6)))</f>
        <v/>
      </c>
      <c r="M315" t="str">
        <f>IF(A315="","",参数设置!$B$7)</f>
        <v/>
      </c>
      <c r="N315" t="str">
        <f t="shared" si="14"/>
        <v/>
      </c>
    </row>
    <row r="316" spans="1:14" x14ac:dyDescent="0.25">
      <c r="A316">
        <v>63</v>
      </c>
      <c r="C316" t="s">
        <v>32</v>
      </c>
      <c r="J316" t="str">
        <f t="shared" si="12"/>
        <v/>
      </c>
      <c r="K316" t="str">
        <f t="shared" si="13"/>
        <v/>
      </c>
      <c r="L316" t="str">
        <f>IF(C316&lt;&gt;"ST1","",IF(K316="","",K316*(1+参数设置!$B$6)))</f>
        <v/>
      </c>
      <c r="M316" t="str">
        <f>IF(A316="","",参数设置!$B$7)</f>
        <v/>
      </c>
      <c r="N316" t="str">
        <f t="shared" si="14"/>
        <v/>
      </c>
    </row>
    <row r="317" spans="1:14" x14ac:dyDescent="0.25">
      <c r="A317">
        <v>63</v>
      </c>
      <c r="C317" t="s">
        <v>33</v>
      </c>
      <c r="J317" t="str">
        <f t="shared" si="12"/>
        <v/>
      </c>
      <c r="K317" t="str">
        <f t="shared" si="13"/>
        <v/>
      </c>
      <c r="L317" t="str">
        <f>IF(C317&lt;&gt;"ST1","",IF(K317="","",K317*(1+参数设置!$B$6)))</f>
        <v/>
      </c>
      <c r="M317" t="str">
        <f>IF(A317="","",参数设置!$B$7)</f>
        <v/>
      </c>
      <c r="N317" t="str">
        <f t="shared" si="14"/>
        <v/>
      </c>
    </row>
    <row r="318" spans="1:14" x14ac:dyDescent="0.25">
      <c r="A318">
        <v>64</v>
      </c>
      <c r="C318" t="s">
        <v>29</v>
      </c>
      <c r="J318" t="str">
        <f t="shared" si="12"/>
        <v/>
      </c>
      <c r="K318">
        <f t="shared" si="13"/>
        <v>0</v>
      </c>
      <c r="L318">
        <f>IF(C318&lt;&gt;"ST1","",IF(K318="","",K318*(1+参数设置!$B$6)))</f>
        <v>0</v>
      </c>
      <c r="M318" t="str">
        <f>IF(A318="","",参数设置!$B$7)</f>
        <v/>
      </c>
      <c r="N318" t="str">
        <f t="shared" si="14"/>
        <v/>
      </c>
    </row>
    <row r="319" spans="1:14" x14ac:dyDescent="0.25">
      <c r="A319">
        <v>64</v>
      </c>
      <c r="C319" t="s">
        <v>30</v>
      </c>
      <c r="J319" t="str">
        <f t="shared" si="12"/>
        <v/>
      </c>
      <c r="K319" t="str">
        <f t="shared" si="13"/>
        <v/>
      </c>
      <c r="L319" t="str">
        <f>IF(C319&lt;&gt;"ST1","",IF(K319="","",K319*(1+参数设置!$B$6)))</f>
        <v/>
      </c>
      <c r="M319" t="str">
        <f>IF(A319="","",参数设置!$B$7)</f>
        <v/>
      </c>
      <c r="N319" t="str">
        <f t="shared" si="14"/>
        <v/>
      </c>
    </row>
    <row r="320" spans="1:14" x14ac:dyDescent="0.25">
      <c r="A320">
        <v>64</v>
      </c>
      <c r="C320" t="s">
        <v>31</v>
      </c>
      <c r="J320" t="str">
        <f t="shared" si="12"/>
        <v/>
      </c>
      <c r="K320" t="str">
        <f t="shared" si="13"/>
        <v/>
      </c>
      <c r="L320" t="str">
        <f>IF(C320&lt;&gt;"ST1","",IF(K320="","",K320*(1+参数设置!$B$6)))</f>
        <v/>
      </c>
      <c r="M320" t="str">
        <f>IF(A320="","",参数设置!$B$7)</f>
        <v/>
      </c>
      <c r="N320" t="str">
        <f t="shared" si="14"/>
        <v/>
      </c>
    </row>
    <row r="321" spans="1:14" x14ac:dyDescent="0.25">
      <c r="A321">
        <v>64</v>
      </c>
      <c r="C321" t="s">
        <v>32</v>
      </c>
      <c r="J321" t="str">
        <f t="shared" si="12"/>
        <v/>
      </c>
      <c r="K321" t="str">
        <f t="shared" si="13"/>
        <v/>
      </c>
      <c r="L321" t="str">
        <f>IF(C321&lt;&gt;"ST1","",IF(K321="","",K321*(1+参数设置!$B$6)))</f>
        <v/>
      </c>
      <c r="M321" t="str">
        <f>IF(A321="","",参数设置!$B$7)</f>
        <v/>
      </c>
      <c r="N321" t="str">
        <f t="shared" si="14"/>
        <v/>
      </c>
    </row>
    <row r="322" spans="1:14" x14ac:dyDescent="0.25">
      <c r="A322">
        <v>64</v>
      </c>
      <c r="C322" t="s">
        <v>33</v>
      </c>
      <c r="J322" t="str">
        <f t="shared" si="12"/>
        <v/>
      </c>
      <c r="K322" t="str">
        <f t="shared" si="13"/>
        <v/>
      </c>
      <c r="L322" t="str">
        <f>IF(C322&lt;&gt;"ST1","",IF(K322="","",K322*(1+参数设置!$B$6)))</f>
        <v/>
      </c>
      <c r="M322" t="str">
        <f>IF(A322="","",参数设置!$B$7)</f>
        <v/>
      </c>
      <c r="N322" t="str">
        <f t="shared" si="14"/>
        <v/>
      </c>
    </row>
    <row r="323" spans="1:14" x14ac:dyDescent="0.25">
      <c r="A323">
        <v>65</v>
      </c>
      <c r="C323" t="s">
        <v>29</v>
      </c>
      <c r="J323" t="str">
        <f t="shared" ref="J323:J386" si="15">IF(COUNT(E323:I323)=0,"",AVERAGE(E323:I323))</f>
        <v/>
      </c>
      <c r="K323">
        <f t="shared" ref="K323:K386" si="16">IF(C323&lt;&gt;"ST1","",IF(COUNTIFS($A:$A,A323,$J:$J,"&lt;&gt;")=0,"",SUMIFS($J:$J,$A:$A,A323)))</f>
        <v>0</v>
      </c>
      <c r="L323">
        <f>IF(C323&lt;&gt;"ST1","",IF(K323="","",K323*(1+参数设置!$B$6)))</f>
        <v>0</v>
      </c>
      <c r="M323" t="str">
        <f>IF(A323="","",参数设置!$B$7)</f>
        <v/>
      </c>
      <c r="N323" t="str">
        <f t="shared" ref="N323:N386" si="17">IF(K323="","",IF(M323="","",IF(K323&gt;M323,"超节拍",IF(K323&gt;=M323*0.9,"接近上限","正常"))))</f>
        <v/>
      </c>
    </row>
    <row r="324" spans="1:14" x14ac:dyDescent="0.25">
      <c r="A324">
        <v>65</v>
      </c>
      <c r="C324" t="s">
        <v>30</v>
      </c>
      <c r="J324" t="str">
        <f t="shared" si="15"/>
        <v/>
      </c>
      <c r="K324" t="str">
        <f t="shared" si="16"/>
        <v/>
      </c>
      <c r="L324" t="str">
        <f>IF(C324&lt;&gt;"ST1","",IF(K324="","",K324*(1+参数设置!$B$6)))</f>
        <v/>
      </c>
      <c r="M324" t="str">
        <f>IF(A324="","",参数设置!$B$7)</f>
        <v/>
      </c>
      <c r="N324" t="str">
        <f t="shared" si="17"/>
        <v/>
      </c>
    </row>
    <row r="325" spans="1:14" x14ac:dyDescent="0.25">
      <c r="A325">
        <v>65</v>
      </c>
      <c r="C325" t="s">
        <v>31</v>
      </c>
      <c r="J325" t="str">
        <f t="shared" si="15"/>
        <v/>
      </c>
      <c r="K325" t="str">
        <f t="shared" si="16"/>
        <v/>
      </c>
      <c r="L325" t="str">
        <f>IF(C325&lt;&gt;"ST1","",IF(K325="","",K325*(1+参数设置!$B$6)))</f>
        <v/>
      </c>
      <c r="M325" t="str">
        <f>IF(A325="","",参数设置!$B$7)</f>
        <v/>
      </c>
      <c r="N325" t="str">
        <f t="shared" si="17"/>
        <v/>
      </c>
    </row>
    <row r="326" spans="1:14" x14ac:dyDescent="0.25">
      <c r="A326">
        <v>65</v>
      </c>
      <c r="C326" t="s">
        <v>32</v>
      </c>
      <c r="J326" t="str">
        <f t="shared" si="15"/>
        <v/>
      </c>
      <c r="K326" t="str">
        <f t="shared" si="16"/>
        <v/>
      </c>
      <c r="L326" t="str">
        <f>IF(C326&lt;&gt;"ST1","",IF(K326="","",K326*(1+参数设置!$B$6)))</f>
        <v/>
      </c>
      <c r="M326" t="str">
        <f>IF(A326="","",参数设置!$B$7)</f>
        <v/>
      </c>
      <c r="N326" t="str">
        <f t="shared" si="17"/>
        <v/>
      </c>
    </row>
    <row r="327" spans="1:14" x14ac:dyDescent="0.25">
      <c r="A327">
        <v>65</v>
      </c>
      <c r="C327" t="s">
        <v>33</v>
      </c>
      <c r="J327" t="str">
        <f t="shared" si="15"/>
        <v/>
      </c>
      <c r="K327" t="str">
        <f t="shared" si="16"/>
        <v/>
      </c>
      <c r="L327" t="str">
        <f>IF(C327&lt;&gt;"ST1","",IF(K327="","",K327*(1+参数设置!$B$6)))</f>
        <v/>
      </c>
      <c r="M327" t="str">
        <f>IF(A327="","",参数设置!$B$7)</f>
        <v/>
      </c>
      <c r="N327" t="str">
        <f t="shared" si="17"/>
        <v/>
      </c>
    </row>
    <row r="328" spans="1:14" x14ac:dyDescent="0.25">
      <c r="A328">
        <v>66</v>
      </c>
      <c r="C328" t="s">
        <v>29</v>
      </c>
      <c r="J328" t="str">
        <f t="shared" si="15"/>
        <v/>
      </c>
      <c r="K328">
        <f t="shared" si="16"/>
        <v>0</v>
      </c>
      <c r="L328">
        <f>IF(C328&lt;&gt;"ST1","",IF(K328="","",K328*(1+参数设置!$B$6)))</f>
        <v>0</v>
      </c>
      <c r="M328" t="str">
        <f>IF(A328="","",参数设置!$B$7)</f>
        <v/>
      </c>
      <c r="N328" t="str">
        <f t="shared" si="17"/>
        <v/>
      </c>
    </row>
    <row r="329" spans="1:14" x14ac:dyDescent="0.25">
      <c r="A329">
        <v>66</v>
      </c>
      <c r="C329" t="s">
        <v>30</v>
      </c>
      <c r="J329" t="str">
        <f t="shared" si="15"/>
        <v/>
      </c>
      <c r="K329" t="str">
        <f t="shared" si="16"/>
        <v/>
      </c>
      <c r="L329" t="str">
        <f>IF(C329&lt;&gt;"ST1","",IF(K329="","",K329*(1+参数设置!$B$6)))</f>
        <v/>
      </c>
      <c r="M329" t="str">
        <f>IF(A329="","",参数设置!$B$7)</f>
        <v/>
      </c>
      <c r="N329" t="str">
        <f t="shared" si="17"/>
        <v/>
      </c>
    </row>
    <row r="330" spans="1:14" x14ac:dyDescent="0.25">
      <c r="A330">
        <v>66</v>
      </c>
      <c r="C330" t="s">
        <v>31</v>
      </c>
      <c r="J330" t="str">
        <f t="shared" si="15"/>
        <v/>
      </c>
      <c r="K330" t="str">
        <f t="shared" si="16"/>
        <v/>
      </c>
      <c r="L330" t="str">
        <f>IF(C330&lt;&gt;"ST1","",IF(K330="","",K330*(1+参数设置!$B$6)))</f>
        <v/>
      </c>
      <c r="M330" t="str">
        <f>IF(A330="","",参数设置!$B$7)</f>
        <v/>
      </c>
      <c r="N330" t="str">
        <f t="shared" si="17"/>
        <v/>
      </c>
    </row>
    <row r="331" spans="1:14" x14ac:dyDescent="0.25">
      <c r="A331">
        <v>66</v>
      </c>
      <c r="C331" t="s">
        <v>32</v>
      </c>
      <c r="J331" t="str">
        <f t="shared" si="15"/>
        <v/>
      </c>
      <c r="K331" t="str">
        <f t="shared" si="16"/>
        <v/>
      </c>
      <c r="L331" t="str">
        <f>IF(C331&lt;&gt;"ST1","",IF(K331="","",K331*(1+参数设置!$B$6)))</f>
        <v/>
      </c>
      <c r="M331" t="str">
        <f>IF(A331="","",参数设置!$B$7)</f>
        <v/>
      </c>
      <c r="N331" t="str">
        <f t="shared" si="17"/>
        <v/>
      </c>
    </row>
    <row r="332" spans="1:14" x14ac:dyDescent="0.25">
      <c r="A332">
        <v>66</v>
      </c>
      <c r="C332" t="s">
        <v>33</v>
      </c>
      <c r="J332" t="str">
        <f t="shared" si="15"/>
        <v/>
      </c>
      <c r="K332" t="str">
        <f t="shared" si="16"/>
        <v/>
      </c>
      <c r="L332" t="str">
        <f>IF(C332&lt;&gt;"ST1","",IF(K332="","",K332*(1+参数设置!$B$6)))</f>
        <v/>
      </c>
      <c r="M332" t="str">
        <f>IF(A332="","",参数设置!$B$7)</f>
        <v/>
      </c>
      <c r="N332" t="str">
        <f t="shared" si="17"/>
        <v/>
      </c>
    </row>
    <row r="333" spans="1:14" x14ac:dyDescent="0.25">
      <c r="A333">
        <v>67</v>
      </c>
      <c r="C333" t="s">
        <v>29</v>
      </c>
      <c r="J333" t="str">
        <f t="shared" si="15"/>
        <v/>
      </c>
      <c r="K333">
        <f t="shared" si="16"/>
        <v>0</v>
      </c>
      <c r="L333">
        <f>IF(C333&lt;&gt;"ST1","",IF(K333="","",K333*(1+参数设置!$B$6)))</f>
        <v>0</v>
      </c>
      <c r="M333" t="str">
        <f>IF(A333="","",参数设置!$B$7)</f>
        <v/>
      </c>
      <c r="N333" t="str">
        <f t="shared" si="17"/>
        <v/>
      </c>
    </row>
    <row r="334" spans="1:14" x14ac:dyDescent="0.25">
      <c r="A334">
        <v>67</v>
      </c>
      <c r="C334" t="s">
        <v>30</v>
      </c>
      <c r="J334" t="str">
        <f t="shared" si="15"/>
        <v/>
      </c>
      <c r="K334" t="str">
        <f t="shared" si="16"/>
        <v/>
      </c>
      <c r="L334" t="str">
        <f>IF(C334&lt;&gt;"ST1","",IF(K334="","",K334*(1+参数设置!$B$6)))</f>
        <v/>
      </c>
      <c r="M334" t="str">
        <f>IF(A334="","",参数设置!$B$7)</f>
        <v/>
      </c>
      <c r="N334" t="str">
        <f t="shared" si="17"/>
        <v/>
      </c>
    </row>
    <row r="335" spans="1:14" x14ac:dyDescent="0.25">
      <c r="A335">
        <v>67</v>
      </c>
      <c r="C335" t="s">
        <v>31</v>
      </c>
      <c r="J335" t="str">
        <f t="shared" si="15"/>
        <v/>
      </c>
      <c r="K335" t="str">
        <f t="shared" si="16"/>
        <v/>
      </c>
      <c r="L335" t="str">
        <f>IF(C335&lt;&gt;"ST1","",IF(K335="","",K335*(1+参数设置!$B$6)))</f>
        <v/>
      </c>
      <c r="M335" t="str">
        <f>IF(A335="","",参数设置!$B$7)</f>
        <v/>
      </c>
      <c r="N335" t="str">
        <f t="shared" si="17"/>
        <v/>
      </c>
    </row>
    <row r="336" spans="1:14" x14ac:dyDescent="0.25">
      <c r="A336">
        <v>67</v>
      </c>
      <c r="C336" t="s">
        <v>32</v>
      </c>
      <c r="J336" t="str">
        <f t="shared" si="15"/>
        <v/>
      </c>
      <c r="K336" t="str">
        <f t="shared" si="16"/>
        <v/>
      </c>
      <c r="L336" t="str">
        <f>IF(C336&lt;&gt;"ST1","",IF(K336="","",K336*(1+参数设置!$B$6)))</f>
        <v/>
      </c>
      <c r="M336" t="str">
        <f>IF(A336="","",参数设置!$B$7)</f>
        <v/>
      </c>
      <c r="N336" t="str">
        <f t="shared" si="17"/>
        <v/>
      </c>
    </row>
    <row r="337" spans="1:14" x14ac:dyDescent="0.25">
      <c r="A337">
        <v>67</v>
      </c>
      <c r="C337" t="s">
        <v>33</v>
      </c>
      <c r="J337" t="str">
        <f t="shared" si="15"/>
        <v/>
      </c>
      <c r="K337" t="str">
        <f t="shared" si="16"/>
        <v/>
      </c>
      <c r="L337" t="str">
        <f>IF(C337&lt;&gt;"ST1","",IF(K337="","",K337*(1+参数设置!$B$6)))</f>
        <v/>
      </c>
      <c r="M337" t="str">
        <f>IF(A337="","",参数设置!$B$7)</f>
        <v/>
      </c>
      <c r="N337" t="str">
        <f t="shared" si="17"/>
        <v/>
      </c>
    </row>
    <row r="338" spans="1:14" x14ac:dyDescent="0.25">
      <c r="A338">
        <v>68</v>
      </c>
      <c r="C338" t="s">
        <v>29</v>
      </c>
      <c r="J338" t="str">
        <f t="shared" si="15"/>
        <v/>
      </c>
      <c r="K338">
        <f t="shared" si="16"/>
        <v>0</v>
      </c>
      <c r="L338">
        <f>IF(C338&lt;&gt;"ST1","",IF(K338="","",K338*(1+参数设置!$B$6)))</f>
        <v>0</v>
      </c>
      <c r="M338" t="str">
        <f>IF(A338="","",参数设置!$B$7)</f>
        <v/>
      </c>
      <c r="N338" t="str">
        <f t="shared" si="17"/>
        <v/>
      </c>
    </row>
    <row r="339" spans="1:14" x14ac:dyDescent="0.25">
      <c r="A339">
        <v>68</v>
      </c>
      <c r="C339" t="s">
        <v>30</v>
      </c>
      <c r="J339" t="str">
        <f t="shared" si="15"/>
        <v/>
      </c>
      <c r="K339" t="str">
        <f t="shared" si="16"/>
        <v/>
      </c>
      <c r="L339" t="str">
        <f>IF(C339&lt;&gt;"ST1","",IF(K339="","",K339*(1+参数设置!$B$6)))</f>
        <v/>
      </c>
      <c r="M339" t="str">
        <f>IF(A339="","",参数设置!$B$7)</f>
        <v/>
      </c>
      <c r="N339" t="str">
        <f t="shared" si="17"/>
        <v/>
      </c>
    </row>
    <row r="340" spans="1:14" x14ac:dyDescent="0.25">
      <c r="A340">
        <v>68</v>
      </c>
      <c r="C340" t="s">
        <v>31</v>
      </c>
      <c r="J340" t="str">
        <f t="shared" si="15"/>
        <v/>
      </c>
      <c r="K340" t="str">
        <f t="shared" si="16"/>
        <v/>
      </c>
      <c r="L340" t="str">
        <f>IF(C340&lt;&gt;"ST1","",IF(K340="","",K340*(1+参数设置!$B$6)))</f>
        <v/>
      </c>
      <c r="M340" t="str">
        <f>IF(A340="","",参数设置!$B$7)</f>
        <v/>
      </c>
      <c r="N340" t="str">
        <f t="shared" si="17"/>
        <v/>
      </c>
    </row>
    <row r="341" spans="1:14" x14ac:dyDescent="0.25">
      <c r="A341">
        <v>68</v>
      </c>
      <c r="C341" t="s">
        <v>32</v>
      </c>
      <c r="J341" t="str">
        <f t="shared" si="15"/>
        <v/>
      </c>
      <c r="K341" t="str">
        <f t="shared" si="16"/>
        <v/>
      </c>
      <c r="L341" t="str">
        <f>IF(C341&lt;&gt;"ST1","",IF(K341="","",K341*(1+参数设置!$B$6)))</f>
        <v/>
      </c>
      <c r="M341" t="str">
        <f>IF(A341="","",参数设置!$B$7)</f>
        <v/>
      </c>
      <c r="N341" t="str">
        <f t="shared" si="17"/>
        <v/>
      </c>
    </row>
    <row r="342" spans="1:14" x14ac:dyDescent="0.25">
      <c r="A342">
        <v>68</v>
      </c>
      <c r="C342" t="s">
        <v>33</v>
      </c>
      <c r="J342" t="str">
        <f t="shared" si="15"/>
        <v/>
      </c>
      <c r="K342" t="str">
        <f t="shared" si="16"/>
        <v/>
      </c>
      <c r="L342" t="str">
        <f>IF(C342&lt;&gt;"ST1","",IF(K342="","",K342*(1+参数设置!$B$6)))</f>
        <v/>
      </c>
      <c r="M342" t="str">
        <f>IF(A342="","",参数设置!$B$7)</f>
        <v/>
      </c>
      <c r="N342" t="str">
        <f t="shared" si="17"/>
        <v/>
      </c>
    </row>
    <row r="343" spans="1:14" x14ac:dyDescent="0.25">
      <c r="A343">
        <v>69</v>
      </c>
      <c r="C343" t="s">
        <v>29</v>
      </c>
      <c r="J343" t="str">
        <f t="shared" si="15"/>
        <v/>
      </c>
      <c r="K343">
        <f t="shared" si="16"/>
        <v>0</v>
      </c>
      <c r="L343">
        <f>IF(C343&lt;&gt;"ST1","",IF(K343="","",K343*(1+参数设置!$B$6)))</f>
        <v>0</v>
      </c>
      <c r="M343" t="str">
        <f>IF(A343="","",参数设置!$B$7)</f>
        <v/>
      </c>
      <c r="N343" t="str">
        <f t="shared" si="17"/>
        <v/>
      </c>
    </row>
    <row r="344" spans="1:14" x14ac:dyDescent="0.25">
      <c r="A344">
        <v>69</v>
      </c>
      <c r="C344" t="s">
        <v>30</v>
      </c>
      <c r="J344" t="str">
        <f t="shared" si="15"/>
        <v/>
      </c>
      <c r="K344" t="str">
        <f t="shared" si="16"/>
        <v/>
      </c>
      <c r="L344" t="str">
        <f>IF(C344&lt;&gt;"ST1","",IF(K344="","",K344*(1+参数设置!$B$6)))</f>
        <v/>
      </c>
      <c r="M344" t="str">
        <f>IF(A344="","",参数设置!$B$7)</f>
        <v/>
      </c>
      <c r="N344" t="str">
        <f t="shared" si="17"/>
        <v/>
      </c>
    </row>
    <row r="345" spans="1:14" x14ac:dyDescent="0.25">
      <c r="A345">
        <v>69</v>
      </c>
      <c r="C345" t="s">
        <v>31</v>
      </c>
      <c r="J345" t="str">
        <f t="shared" si="15"/>
        <v/>
      </c>
      <c r="K345" t="str">
        <f t="shared" si="16"/>
        <v/>
      </c>
      <c r="L345" t="str">
        <f>IF(C345&lt;&gt;"ST1","",IF(K345="","",K345*(1+参数设置!$B$6)))</f>
        <v/>
      </c>
      <c r="M345" t="str">
        <f>IF(A345="","",参数设置!$B$7)</f>
        <v/>
      </c>
      <c r="N345" t="str">
        <f t="shared" si="17"/>
        <v/>
      </c>
    </row>
    <row r="346" spans="1:14" x14ac:dyDescent="0.25">
      <c r="A346">
        <v>69</v>
      </c>
      <c r="C346" t="s">
        <v>32</v>
      </c>
      <c r="J346" t="str">
        <f t="shared" si="15"/>
        <v/>
      </c>
      <c r="K346" t="str">
        <f t="shared" si="16"/>
        <v/>
      </c>
      <c r="L346" t="str">
        <f>IF(C346&lt;&gt;"ST1","",IF(K346="","",K346*(1+参数设置!$B$6)))</f>
        <v/>
      </c>
      <c r="M346" t="str">
        <f>IF(A346="","",参数设置!$B$7)</f>
        <v/>
      </c>
      <c r="N346" t="str">
        <f t="shared" si="17"/>
        <v/>
      </c>
    </row>
    <row r="347" spans="1:14" x14ac:dyDescent="0.25">
      <c r="A347">
        <v>69</v>
      </c>
      <c r="C347" t="s">
        <v>33</v>
      </c>
      <c r="J347" t="str">
        <f t="shared" si="15"/>
        <v/>
      </c>
      <c r="K347" t="str">
        <f t="shared" si="16"/>
        <v/>
      </c>
      <c r="L347" t="str">
        <f>IF(C347&lt;&gt;"ST1","",IF(K347="","",K347*(1+参数设置!$B$6)))</f>
        <v/>
      </c>
      <c r="M347" t="str">
        <f>IF(A347="","",参数设置!$B$7)</f>
        <v/>
      </c>
      <c r="N347" t="str">
        <f t="shared" si="17"/>
        <v/>
      </c>
    </row>
    <row r="348" spans="1:14" x14ac:dyDescent="0.25">
      <c r="A348">
        <v>70</v>
      </c>
      <c r="C348" t="s">
        <v>29</v>
      </c>
      <c r="J348" t="str">
        <f t="shared" si="15"/>
        <v/>
      </c>
      <c r="K348">
        <f t="shared" si="16"/>
        <v>0</v>
      </c>
      <c r="L348">
        <f>IF(C348&lt;&gt;"ST1","",IF(K348="","",K348*(1+参数设置!$B$6)))</f>
        <v>0</v>
      </c>
      <c r="M348" t="str">
        <f>IF(A348="","",参数设置!$B$7)</f>
        <v/>
      </c>
      <c r="N348" t="str">
        <f t="shared" si="17"/>
        <v/>
      </c>
    </row>
    <row r="349" spans="1:14" x14ac:dyDescent="0.25">
      <c r="A349">
        <v>70</v>
      </c>
      <c r="C349" t="s">
        <v>30</v>
      </c>
      <c r="J349" t="str">
        <f t="shared" si="15"/>
        <v/>
      </c>
      <c r="K349" t="str">
        <f t="shared" si="16"/>
        <v/>
      </c>
      <c r="L349" t="str">
        <f>IF(C349&lt;&gt;"ST1","",IF(K349="","",K349*(1+参数设置!$B$6)))</f>
        <v/>
      </c>
      <c r="M349" t="str">
        <f>IF(A349="","",参数设置!$B$7)</f>
        <v/>
      </c>
      <c r="N349" t="str">
        <f t="shared" si="17"/>
        <v/>
      </c>
    </row>
    <row r="350" spans="1:14" x14ac:dyDescent="0.25">
      <c r="A350">
        <v>70</v>
      </c>
      <c r="C350" t="s">
        <v>31</v>
      </c>
      <c r="J350" t="str">
        <f t="shared" si="15"/>
        <v/>
      </c>
      <c r="K350" t="str">
        <f t="shared" si="16"/>
        <v/>
      </c>
      <c r="L350" t="str">
        <f>IF(C350&lt;&gt;"ST1","",IF(K350="","",K350*(1+参数设置!$B$6)))</f>
        <v/>
      </c>
      <c r="M350" t="str">
        <f>IF(A350="","",参数设置!$B$7)</f>
        <v/>
      </c>
      <c r="N350" t="str">
        <f t="shared" si="17"/>
        <v/>
      </c>
    </row>
    <row r="351" spans="1:14" x14ac:dyDescent="0.25">
      <c r="A351">
        <v>70</v>
      </c>
      <c r="C351" t="s">
        <v>32</v>
      </c>
      <c r="J351" t="str">
        <f t="shared" si="15"/>
        <v/>
      </c>
      <c r="K351" t="str">
        <f t="shared" si="16"/>
        <v/>
      </c>
      <c r="L351" t="str">
        <f>IF(C351&lt;&gt;"ST1","",IF(K351="","",K351*(1+参数设置!$B$6)))</f>
        <v/>
      </c>
      <c r="M351" t="str">
        <f>IF(A351="","",参数设置!$B$7)</f>
        <v/>
      </c>
      <c r="N351" t="str">
        <f t="shared" si="17"/>
        <v/>
      </c>
    </row>
    <row r="352" spans="1:14" x14ac:dyDescent="0.25">
      <c r="A352">
        <v>70</v>
      </c>
      <c r="C352" t="s">
        <v>33</v>
      </c>
      <c r="J352" t="str">
        <f t="shared" si="15"/>
        <v/>
      </c>
      <c r="K352" t="str">
        <f t="shared" si="16"/>
        <v/>
      </c>
      <c r="L352" t="str">
        <f>IF(C352&lt;&gt;"ST1","",IF(K352="","",K352*(1+参数设置!$B$6)))</f>
        <v/>
      </c>
      <c r="M352" t="str">
        <f>IF(A352="","",参数设置!$B$7)</f>
        <v/>
      </c>
      <c r="N352" t="str">
        <f t="shared" si="17"/>
        <v/>
      </c>
    </row>
    <row r="353" spans="1:14" x14ac:dyDescent="0.25">
      <c r="A353">
        <v>71</v>
      </c>
      <c r="C353" t="s">
        <v>29</v>
      </c>
      <c r="J353" t="str">
        <f t="shared" si="15"/>
        <v/>
      </c>
      <c r="K353">
        <f t="shared" si="16"/>
        <v>0</v>
      </c>
      <c r="L353">
        <f>IF(C353&lt;&gt;"ST1","",IF(K353="","",K353*(1+参数设置!$B$6)))</f>
        <v>0</v>
      </c>
      <c r="M353" t="str">
        <f>IF(A353="","",参数设置!$B$7)</f>
        <v/>
      </c>
      <c r="N353" t="str">
        <f t="shared" si="17"/>
        <v/>
      </c>
    </row>
    <row r="354" spans="1:14" x14ac:dyDescent="0.25">
      <c r="A354">
        <v>71</v>
      </c>
      <c r="C354" t="s">
        <v>30</v>
      </c>
      <c r="J354" t="str">
        <f t="shared" si="15"/>
        <v/>
      </c>
      <c r="K354" t="str">
        <f t="shared" si="16"/>
        <v/>
      </c>
      <c r="L354" t="str">
        <f>IF(C354&lt;&gt;"ST1","",IF(K354="","",K354*(1+参数设置!$B$6)))</f>
        <v/>
      </c>
      <c r="M354" t="str">
        <f>IF(A354="","",参数设置!$B$7)</f>
        <v/>
      </c>
      <c r="N354" t="str">
        <f t="shared" si="17"/>
        <v/>
      </c>
    </row>
    <row r="355" spans="1:14" x14ac:dyDescent="0.25">
      <c r="A355">
        <v>71</v>
      </c>
      <c r="C355" t="s">
        <v>31</v>
      </c>
      <c r="J355" t="str">
        <f t="shared" si="15"/>
        <v/>
      </c>
      <c r="K355" t="str">
        <f t="shared" si="16"/>
        <v/>
      </c>
      <c r="L355" t="str">
        <f>IF(C355&lt;&gt;"ST1","",IF(K355="","",K355*(1+参数设置!$B$6)))</f>
        <v/>
      </c>
      <c r="M355" t="str">
        <f>IF(A355="","",参数设置!$B$7)</f>
        <v/>
      </c>
      <c r="N355" t="str">
        <f t="shared" si="17"/>
        <v/>
      </c>
    </row>
    <row r="356" spans="1:14" x14ac:dyDescent="0.25">
      <c r="A356">
        <v>71</v>
      </c>
      <c r="C356" t="s">
        <v>32</v>
      </c>
      <c r="J356" t="str">
        <f t="shared" si="15"/>
        <v/>
      </c>
      <c r="K356" t="str">
        <f t="shared" si="16"/>
        <v/>
      </c>
      <c r="L356" t="str">
        <f>IF(C356&lt;&gt;"ST1","",IF(K356="","",K356*(1+参数设置!$B$6)))</f>
        <v/>
      </c>
      <c r="M356" t="str">
        <f>IF(A356="","",参数设置!$B$7)</f>
        <v/>
      </c>
      <c r="N356" t="str">
        <f t="shared" si="17"/>
        <v/>
      </c>
    </row>
    <row r="357" spans="1:14" x14ac:dyDescent="0.25">
      <c r="A357">
        <v>71</v>
      </c>
      <c r="C357" t="s">
        <v>33</v>
      </c>
      <c r="J357" t="str">
        <f t="shared" si="15"/>
        <v/>
      </c>
      <c r="K357" t="str">
        <f t="shared" si="16"/>
        <v/>
      </c>
      <c r="L357" t="str">
        <f>IF(C357&lt;&gt;"ST1","",IF(K357="","",K357*(1+参数设置!$B$6)))</f>
        <v/>
      </c>
      <c r="M357" t="str">
        <f>IF(A357="","",参数设置!$B$7)</f>
        <v/>
      </c>
      <c r="N357" t="str">
        <f t="shared" si="17"/>
        <v/>
      </c>
    </row>
    <row r="358" spans="1:14" x14ac:dyDescent="0.25">
      <c r="A358">
        <v>72</v>
      </c>
      <c r="C358" t="s">
        <v>29</v>
      </c>
      <c r="J358" t="str">
        <f t="shared" si="15"/>
        <v/>
      </c>
      <c r="K358">
        <f t="shared" si="16"/>
        <v>0</v>
      </c>
      <c r="L358">
        <f>IF(C358&lt;&gt;"ST1","",IF(K358="","",K358*(1+参数设置!$B$6)))</f>
        <v>0</v>
      </c>
      <c r="M358" t="str">
        <f>IF(A358="","",参数设置!$B$7)</f>
        <v/>
      </c>
      <c r="N358" t="str">
        <f t="shared" si="17"/>
        <v/>
      </c>
    </row>
    <row r="359" spans="1:14" x14ac:dyDescent="0.25">
      <c r="A359">
        <v>72</v>
      </c>
      <c r="C359" t="s">
        <v>30</v>
      </c>
      <c r="J359" t="str">
        <f t="shared" si="15"/>
        <v/>
      </c>
      <c r="K359" t="str">
        <f t="shared" si="16"/>
        <v/>
      </c>
      <c r="L359" t="str">
        <f>IF(C359&lt;&gt;"ST1","",IF(K359="","",K359*(1+参数设置!$B$6)))</f>
        <v/>
      </c>
      <c r="M359" t="str">
        <f>IF(A359="","",参数设置!$B$7)</f>
        <v/>
      </c>
      <c r="N359" t="str">
        <f t="shared" si="17"/>
        <v/>
      </c>
    </row>
    <row r="360" spans="1:14" x14ac:dyDescent="0.25">
      <c r="A360">
        <v>72</v>
      </c>
      <c r="C360" t="s">
        <v>31</v>
      </c>
      <c r="J360" t="str">
        <f t="shared" si="15"/>
        <v/>
      </c>
      <c r="K360" t="str">
        <f t="shared" si="16"/>
        <v/>
      </c>
      <c r="L360" t="str">
        <f>IF(C360&lt;&gt;"ST1","",IF(K360="","",K360*(1+参数设置!$B$6)))</f>
        <v/>
      </c>
      <c r="M360" t="str">
        <f>IF(A360="","",参数设置!$B$7)</f>
        <v/>
      </c>
      <c r="N360" t="str">
        <f t="shared" si="17"/>
        <v/>
      </c>
    </row>
    <row r="361" spans="1:14" x14ac:dyDescent="0.25">
      <c r="A361">
        <v>72</v>
      </c>
      <c r="C361" t="s">
        <v>32</v>
      </c>
      <c r="J361" t="str">
        <f t="shared" si="15"/>
        <v/>
      </c>
      <c r="K361" t="str">
        <f t="shared" si="16"/>
        <v/>
      </c>
      <c r="L361" t="str">
        <f>IF(C361&lt;&gt;"ST1","",IF(K361="","",K361*(1+参数设置!$B$6)))</f>
        <v/>
      </c>
      <c r="M361" t="str">
        <f>IF(A361="","",参数设置!$B$7)</f>
        <v/>
      </c>
      <c r="N361" t="str">
        <f t="shared" si="17"/>
        <v/>
      </c>
    </row>
    <row r="362" spans="1:14" x14ac:dyDescent="0.25">
      <c r="A362">
        <v>72</v>
      </c>
      <c r="C362" t="s">
        <v>33</v>
      </c>
      <c r="J362" t="str">
        <f t="shared" si="15"/>
        <v/>
      </c>
      <c r="K362" t="str">
        <f t="shared" si="16"/>
        <v/>
      </c>
      <c r="L362" t="str">
        <f>IF(C362&lt;&gt;"ST1","",IF(K362="","",K362*(1+参数设置!$B$6)))</f>
        <v/>
      </c>
      <c r="M362" t="str">
        <f>IF(A362="","",参数设置!$B$7)</f>
        <v/>
      </c>
      <c r="N362" t="str">
        <f t="shared" si="17"/>
        <v/>
      </c>
    </row>
    <row r="363" spans="1:14" x14ac:dyDescent="0.25">
      <c r="A363">
        <v>73</v>
      </c>
      <c r="C363" t="s">
        <v>29</v>
      </c>
      <c r="J363" t="str">
        <f t="shared" si="15"/>
        <v/>
      </c>
      <c r="K363">
        <f t="shared" si="16"/>
        <v>0</v>
      </c>
      <c r="L363">
        <f>IF(C363&lt;&gt;"ST1","",IF(K363="","",K363*(1+参数设置!$B$6)))</f>
        <v>0</v>
      </c>
      <c r="M363" t="str">
        <f>IF(A363="","",参数设置!$B$7)</f>
        <v/>
      </c>
      <c r="N363" t="str">
        <f t="shared" si="17"/>
        <v/>
      </c>
    </row>
    <row r="364" spans="1:14" x14ac:dyDescent="0.25">
      <c r="A364">
        <v>73</v>
      </c>
      <c r="C364" t="s">
        <v>30</v>
      </c>
      <c r="J364" t="str">
        <f t="shared" si="15"/>
        <v/>
      </c>
      <c r="K364" t="str">
        <f t="shared" si="16"/>
        <v/>
      </c>
      <c r="L364" t="str">
        <f>IF(C364&lt;&gt;"ST1","",IF(K364="","",K364*(1+参数设置!$B$6)))</f>
        <v/>
      </c>
      <c r="M364" t="str">
        <f>IF(A364="","",参数设置!$B$7)</f>
        <v/>
      </c>
      <c r="N364" t="str">
        <f t="shared" si="17"/>
        <v/>
      </c>
    </row>
    <row r="365" spans="1:14" x14ac:dyDescent="0.25">
      <c r="A365">
        <v>73</v>
      </c>
      <c r="C365" t="s">
        <v>31</v>
      </c>
      <c r="J365" t="str">
        <f t="shared" si="15"/>
        <v/>
      </c>
      <c r="K365" t="str">
        <f t="shared" si="16"/>
        <v/>
      </c>
      <c r="L365" t="str">
        <f>IF(C365&lt;&gt;"ST1","",IF(K365="","",K365*(1+参数设置!$B$6)))</f>
        <v/>
      </c>
      <c r="M365" t="str">
        <f>IF(A365="","",参数设置!$B$7)</f>
        <v/>
      </c>
      <c r="N365" t="str">
        <f t="shared" si="17"/>
        <v/>
      </c>
    </row>
    <row r="366" spans="1:14" x14ac:dyDescent="0.25">
      <c r="A366">
        <v>73</v>
      </c>
      <c r="C366" t="s">
        <v>32</v>
      </c>
      <c r="J366" t="str">
        <f t="shared" si="15"/>
        <v/>
      </c>
      <c r="K366" t="str">
        <f t="shared" si="16"/>
        <v/>
      </c>
      <c r="L366" t="str">
        <f>IF(C366&lt;&gt;"ST1","",IF(K366="","",K366*(1+参数设置!$B$6)))</f>
        <v/>
      </c>
      <c r="M366" t="str">
        <f>IF(A366="","",参数设置!$B$7)</f>
        <v/>
      </c>
      <c r="N366" t="str">
        <f t="shared" si="17"/>
        <v/>
      </c>
    </row>
    <row r="367" spans="1:14" x14ac:dyDescent="0.25">
      <c r="A367">
        <v>73</v>
      </c>
      <c r="C367" t="s">
        <v>33</v>
      </c>
      <c r="J367" t="str">
        <f t="shared" si="15"/>
        <v/>
      </c>
      <c r="K367" t="str">
        <f t="shared" si="16"/>
        <v/>
      </c>
      <c r="L367" t="str">
        <f>IF(C367&lt;&gt;"ST1","",IF(K367="","",K367*(1+参数设置!$B$6)))</f>
        <v/>
      </c>
      <c r="M367" t="str">
        <f>IF(A367="","",参数设置!$B$7)</f>
        <v/>
      </c>
      <c r="N367" t="str">
        <f t="shared" si="17"/>
        <v/>
      </c>
    </row>
    <row r="368" spans="1:14" x14ac:dyDescent="0.25">
      <c r="A368">
        <v>74</v>
      </c>
      <c r="C368" t="s">
        <v>29</v>
      </c>
      <c r="J368" t="str">
        <f t="shared" si="15"/>
        <v/>
      </c>
      <c r="K368">
        <f t="shared" si="16"/>
        <v>0</v>
      </c>
      <c r="L368">
        <f>IF(C368&lt;&gt;"ST1","",IF(K368="","",K368*(1+参数设置!$B$6)))</f>
        <v>0</v>
      </c>
      <c r="M368" t="str">
        <f>IF(A368="","",参数设置!$B$7)</f>
        <v/>
      </c>
      <c r="N368" t="str">
        <f t="shared" si="17"/>
        <v/>
      </c>
    </row>
    <row r="369" spans="1:14" x14ac:dyDescent="0.25">
      <c r="A369">
        <v>74</v>
      </c>
      <c r="C369" t="s">
        <v>30</v>
      </c>
      <c r="J369" t="str">
        <f t="shared" si="15"/>
        <v/>
      </c>
      <c r="K369" t="str">
        <f t="shared" si="16"/>
        <v/>
      </c>
      <c r="L369" t="str">
        <f>IF(C369&lt;&gt;"ST1","",IF(K369="","",K369*(1+参数设置!$B$6)))</f>
        <v/>
      </c>
      <c r="M369" t="str">
        <f>IF(A369="","",参数设置!$B$7)</f>
        <v/>
      </c>
      <c r="N369" t="str">
        <f t="shared" si="17"/>
        <v/>
      </c>
    </row>
    <row r="370" spans="1:14" x14ac:dyDescent="0.25">
      <c r="A370">
        <v>74</v>
      </c>
      <c r="C370" t="s">
        <v>31</v>
      </c>
      <c r="J370" t="str">
        <f t="shared" si="15"/>
        <v/>
      </c>
      <c r="K370" t="str">
        <f t="shared" si="16"/>
        <v/>
      </c>
      <c r="L370" t="str">
        <f>IF(C370&lt;&gt;"ST1","",IF(K370="","",K370*(1+参数设置!$B$6)))</f>
        <v/>
      </c>
      <c r="M370" t="str">
        <f>IF(A370="","",参数设置!$B$7)</f>
        <v/>
      </c>
      <c r="N370" t="str">
        <f t="shared" si="17"/>
        <v/>
      </c>
    </row>
    <row r="371" spans="1:14" x14ac:dyDescent="0.25">
      <c r="A371">
        <v>74</v>
      </c>
      <c r="C371" t="s">
        <v>32</v>
      </c>
      <c r="J371" t="str">
        <f t="shared" si="15"/>
        <v/>
      </c>
      <c r="K371" t="str">
        <f t="shared" si="16"/>
        <v/>
      </c>
      <c r="L371" t="str">
        <f>IF(C371&lt;&gt;"ST1","",IF(K371="","",K371*(1+参数设置!$B$6)))</f>
        <v/>
      </c>
      <c r="M371" t="str">
        <f>IF(A371="","",参数设置!$B$7)</f>
        <v/>
      </c>
      <c r="N371" t="str">
        <f t="shared" si="17"/>
        <v/>
      </c>
    </row>
    <row r="372" spans="1:14" x14ac:dyDescent="0.25">
      <c r="A372">
        <v>74</v>
      </c>
      <c r="C372" t="s">
        <v>33</v>
      </c>
      <c r="J372" t="str">
        <f t="shared" si="15"/>
        <v/>
      </c>
      <c r="K372" t="str">
        <f t="shared" si="16"/>
        <v/>
      </c>
      <c r="L372" t="str">
        <f>IF(C372&lt;&gt;"ST1","",IF(K372="","",K372*(1+参数设置!$B$6)))</f>
        <v/>
      </c>
      <c r="M372" t="str">
        <f>IF(A372="","",参数设置!$B$7)</f>
        <v/>
      </c>
      <c r="N372" t="str">
        <f t="shared" si="17"/>
        <v/>
      </c>
    </row>
    <row r="373" spans="1:14" x14ac:dyDescent="0.25">
      <c r="A373">
        <v>75</v>
      </c>
      <c r="C373" t="s">
        <v>29</v>
      </c>
      <c r="J373" t="str">
        <f t="shared" si="15"/>
        <v/>
      </c>
      <c r="K373">
        <f t="shared" si="16"/>
        <v>0</v>
      </c>
      <c r="L373">
        <f>IF(C373&lt;&gt;"ST1","",IF(K373="","",K373*(1+参数设置!$B$6)))</f>
        <v>0</v>
      </c>
      <c r="M373" t="str">
        <f>IF(A373="","",参数设置!$B$7)</f>
        <v/>
      </c>
      <c r="N373" t="str">
        <f t="shared" si="17"/>
        <v/>
      </c>
    </row>
    <row r="374" spans="1:14" x14ac:dyDescent="0.25">
      <c r="A374">
        <v>75</v>
      </c>
      <c r="C374" t="s">
        <v>30</v>
      </c>
      <c r="J374" t="str">
        <f t="shared" si="15"/>
        <v/>
      </c>
      <c r="K374" t="str">
        <f t="shared" si="16"/>
        <v/>
      </c>
      <c r="L374" t="str">
        <f>IF(C374&lt;&gt;"ST1","",IF(K374="","",K374*(1+参数设置!$B$6)))</f>
        <v/>
      </c>
      <c r="M374" t="str">
        <f>IF(A374="","",参数设置!$B$7)</f>
        <v/>
      </c>
      <c r="N374" t="str">
        <f t="shared" si="17"/>
        <v/>
      </c>
    </row>
    <row r="375" spans="1:14" x14ac:dyDescent="0.25">
      <c r="A375">
        <v>75</v>
      </c>
      <c r="C375" t="s">
        <v>31</v>
      </c>
      <c r="J375" t="str">
        <f t="shared" si="15"/>
        <v/>
      </c>
      <c r="K375" t="str">
        <f t="shared" si="16"/>
        <v/>
      </c>
      <c r="L375" t="str">
        <f>IF(C375&lt;&gt;"ST1","",IF(K375="","",K375*(1+参数设置!$B$6)))</f>
        <v/>
      </c>
      <c r="M375" t="str">
        <f>IF(A375="","",参数设置!$B$7)</f>
        <v/>
      </c>
      <c r="N375" t="str">
        <f t="shared" si="17"/>
        <v/>
      </c>
    </row>
    <row r="376" spans="1:14" x14ac:dyDescent="0.25">
      <c r="A376">
        <v>75</v>
      </c>
      <c r="C376" t="s">
        <v>32</v>
      </c>
      <c r="J376" t="str">
        <f t="shared" si="15"/>
        <v/>
      </c>
      <c r="K376" t="str">
        <f t="shared" si="16"/>
        <v/>
      </c>
      <c r="L376" t="str">
        <f>IF(C376&lt;&gt;"ST1","",IF(K376="","",K376*(1+参数设置!$B$6)))</f>
        <v/>
      </c>
      <c r="M376" t="str">
        <f>IF(A376="","",参数设置!$B$7)</f>
        <v/>
      </c>
      <c r="N376" t="str">
        <f t="shared" si="17"/>
        <v/>
      </c>
    </row>
    <row r="377" spans="1:14" x14ac:dyDescent="0.25">
      <c r="A377">
        <v>75</v>
      </c>
      <c r="C377" t="s">
        <v>33</v>
      </c>
      <c r="J377" t="str">
        <f t="shared" si="15"/>
        <v/>
      </c>
      <c r="K377" t="str">
        <f t="shared" si="16"/>
        <v/>
      </c>
      <c r="L377" t="str">
        <f>IF(C377&lt;&gt;"ST1","",IF(K377="","",K377*(1+参数设置!$B$6)))</f>
        <v/>
      </c>
      <c r="M377" t="str">
        <f>IF(A377="","",参数设置!$B$7)</f>
        <v/>
      </c>
      <c r="N377" t="str">
        <f t="shared" si="17"/>
        <v/>
      </c>
    </row>
    <row r="378" spans="1:14" x14ac:dyDescent="0.25">
      <c r="A378">
        <v>76</v>
      </c>
      <c r="C378" t="s">
        <v>29</v>
      </c>
      <c r="J378" t="str">
        <f t="shared" si="15"/>
        <v/>
      </c>
      <c r="K378">
        <f t="shared" si="16"/>
        <v>0</v>
      </c>
      <c r="L378">
        <f>IF(C378&lt;&gt;"ST1","",IF(K378="","",K378*(1+参数设置!$B$6)))</f>
        <v>0</v>
      </c>
      <c r="M378" t="str">
        <f>IF(A378="","",参数设置!$B$7)</f>
        <v/>
      </c>
      <c r="N378" t="str">
        <f t="shared" si="17"/>
        <v/>
      </c>
    </row>
    <row r="379" spans="1:14" x14ac:dyDescent="0.25">
      <c r="A379">
        <v>76</v>
      </c>
      <c r="C379" t="s">
        <v>30</v>
      </c>
      <c r="J379" t="str">
        <f t="shared" si="15"/>
        <v/>
      </c>
      <c r="K379" t="str">
        <f t="shared" si="16"/>
        <v/>
      </c>
      <c r="L379" t="str">
        <f>IF(C379&lt;&gt;"ST1","",IF(K379="","",K379*(1+参数设置!$B$6)))</f>
        <v/>
      </c>
      <c r="M379" t="str">
        <f>IF(A379="","",参数设置!$B$7)</f>
        <v/>
      </c>
      <c r="N379" t="str">
        <f t="shared" si="17"/>
        <v/>
      </c>
    </row>
    <row r="380" spans="1:14" x14ac:dyDescent="0.25">
      <c r="A380">
        <v>76</v>
      </c>
      <c r="C380" t="s">
        <v>31</v>
      </c>
      <c r="J380" t="str">
        <f t="shared" si="15"/>
        <v/>
      </c>
      <c r="K380" t="str">
        <f t="shared" si="16"/>
        <v/>
      </c>
      <c r="L380" t="str">
        <f>IF(C380&lt;&gt;"ST1","",IF(K380="","",K380*(1+参数设置!$B$6)))</f>
        <v/>
      </c>
      <c r="M380" t="str">
        <f>IF(A380="","",参数设置!$B$7)</f>
        <v/>
      </c>
      <c r="N380" t="str">
        <f t="shared" si="17"/>
        <v/>
      </c>
    </row>
    <row r="381" spans="1:14" x14ac:dyDescent="0.25">
      <c r="A381">
        <v>76</v>
      </c>
      <c r="C381" t="s">
        <v>32</v>
      </c>
      <c r="J381" t="str">
        <f t="shared" si="15"/>
        <v/>
      </c>
      <c r="K381" t="str">
        <f t="shared" si="16"/>
        <v/>
      </c>
      <c r="L381" t="str">
        <f>IF(C381&lt;&gt;"ST1","",IF(K381="","",K381*(1+参数设置!$B$6)))</f>
        <v/>
      </c>
      <c r="M381" t="str">
        <f>IF(A381="","",参数设置!$B$7)</f>
        <v/>
      </c>
      <c r="N381" t="str">
        <f t="shared" si="17"/>
        <v/>
      </c>
    </row>
    <row r="382" spans="1:14" x14ac:dyDescent="0.25">
      <c r="A382">
        <v>76</v>
      </c>
      <c r="C382" t="s">
        <v>33</v>
      </c>
      <c r="J382" t="str">
        <f t="shared" si="15"/>
        <v/>
      </c>
      <c r="K382" t="str">
        <f t="shared" si="16"/>
        <v/>
      </c>
      <c r="L382" t="str">
        <f>IF(C382&lt;&gt;"ST1","",IF(K382="","",K382*(1+参数设置!$B$6)))</f>
        <v/>
      </c>
      <c r="M382" t="str">
        <f>IF(A382="","",参数设置!$B$7)</f>
        <v/>
      </c>
      <c r="N382" t="str">
        <f t="shared" si="17"/>
        <v/>
      </c>
    </row>
    <row r="383" spans="1:14" x14ac:dyDescent="0.25">
      <c r="A383">
        <v>77</v>
      </c>
      <c r="C383" t="s">
        <v>29</v>
      </c>
      <c r="J383" t="str">
        <f t="shared" si="15"/>
        <v/>
      </c>
      <c r="K383">
        <f t="shared" si="16"/>
        <v>0</v>
      </c>
      <c r="L383">
        <f>IF(C383&lt;&gt;"ST1","",IF(K383="","",K383*(1+参数设置!$B$6)))</f>
        <v>0</v>
      </c>
      <c r="M383" t="str">
        <f>IF(A383="","",参数设置!$B$7)</f>
        <v/>
      </c>
      <c r="N383" t="str">
        <f t="shared" si="17"/>
        <v/>
      </c>
    </row>
    <row r="384" spans="1:14" x14ac:dyDescent="0.25">
      <c r="A384">
        <v>77</v>
      </c>
      <c r="C384" t="s">
        <v>30</v>
      </c>
      <c r="J384" t="str">
        <f t="shared" si="15"/>
        <v/>
      </c>
      <c r="K384" t="str">
        <f t="shared" si="16"/>
        <v/>
      </c>
      <c r="L384" t="str">
        <f>IF(C384&lt;&gt;"ST1","",IF(K384="","",K384*(1+参数设置!$B$6)))</f>
        <v/>
      </c>
      <c r="M384" t="str">
        <f>IF(A384="","",参数设置!$B$7)</f>
        <v/>
      </c>
      <c r="N384" t="str">
        <f t="shared" si="17"/>
        <v/>
      </c>
    </row>
    <row r="385" spans="1:14" x14ac:dyDescent="0.25">
      <c r="A385">
        <v>77</v>
      </c>
      <c r="C385" t="s">
        <v>31</v>
      </c>
      <c r="J385" t="str">
        <f t="shared" si="15"/>
        <v/>
      </c>
      <c r="K385" t="str">
        <f t="shared" si="16"/>
        <v/>
      </c>
      <c r="L385" t="str">
        <f>IF(C385&lt;&gt;"ST1","",IF(K385="","",K385*(1+参数设置!$B$6)))</f>
        <v/>
      </c>
      <c r="M385" t="str">
        <f>IF(A385="","",参数设置!$B$7)</f>
        <v/>
      </c>
      <c r="N385" t="str">
        <f t="shared" si="17"/>
        <v/>
      </c>
    </row>
    <row r="386" spans="1:14" x14ac:dyDescent="0.25">
      <c r="A386">
        <v>77</v>
      </c>
      <c r="C386" t="s">
        <v>32</v>
      </c>
      <c r="J386" t="str">
        <f t="shared" si="15"/>
        <v/>
      </c>
      <c r="K386" t="str">
        <f t="shared" si="16"/>
        <v/>
      </c>
      <c r="L386" t="str">
        <f>IF(C386&lt;&gt;"ST1","",IF(K386="","",K386*(1+参数设置!$B$6)))</f>
        <v/>
      </c>
      <c r="M386" t="str">
        <f>IF(A386="","",参数设置!$B$7)</f>
        <v/>
      </c>
      <c r="N386" t="str">
        <f t="shared" si="17"/>
        <v/>
      </c>
    </row>
    <row r="387" spans="1:14" x14ac:dyDescent="0.25">
      <c r="A387">
        <v>77</v>
      </c>
      <c r="C387" t="s">
        <v>33</v>
      </c>
      <c r="J387" t="str">
        <f t="shared" ref="J387:J450" si="18">IF(COUNT(E387:I387)=0,"",AVERAGE(E387:I387))</f>
        <v/>
      </c>
      <c r="K387" t="str">
        <f t="shared" ref="K387:K450" si="19">IF(C387&lt;&gt;"ST1","",IF(COUNTIFS($A:$A,A387,$J:$J,"&lt;&gt;")=0,"",SUMIFS($J:$J,$A:$A,A387)))</f>
        <v/>
      </c>
      <c r="L387" t="str">
        <f>IF(C387&lt;&gt;"ST1","",IF(K387="","",K387*(1+参数设置!$B$6)))</f>
        <v/>
      </c>
      <c r="M387" t="str">
        <f>IF(A387="","",参数设置!$B$7)</f>
        <v/>
      </c>
      <c r="N387" t="str">
        <f t="shared" ref="N387:N450" si="20">IF(K387="","",IF(M387="","",IF(K387&gt;M387,"超节拍",IF(K387&gt;=M387*0.9,"接近上限","正常"))))</f>
        <v/>
      </c>
    </row>
    <row r="388" spans="1:14" x14ac:dyDescent="0.25">
      <c r="A388">
        <v>78</v>
      </c>
      <c r="C388" t="s">
        <v>29</v>
      </c>
      <c r="J388" t="str">
        <f t="shared" si="18"/>
        <v/>
      </c>
      <c r="K388">
        <f t="shared" si="19"/>
        <v>0</v>
      </c>
      <c r="L388">
        <f>IF(C388&lt;&gt;"ST1","",IF(K388="","",K388*(1+参数设置!$B$6)))</f>
        <v>0</v>
      </c>
      <c r="M388" t="str">
        <f>IF(A388="","",参数设置!$B$7)</f>
        <v/>
      </c>
      <c r="N388" t="str">
        <f t="shared" si="20"/>
        <v/>
      </c>
    </row>
    <row r="389" spans="1:14" x14ac:dyDescent="0.25">
      <c r="A389">
        <v>78</v>
      </c>
      <c r="C389" t="s">
        <v>30</v>
      </c>
      <c r="J389" t="str">
        <f t="shared" si="18"/>
        <v/>
      </c>
      <c r="K389" t="str">
        <f t="shared" si="19"/>
        <v/>
      </c>
      <c r="L389" t="str">
        <f>IF(C389&lt;&gt;"ST1","",IF(K389="","",K389*(1+参数设置!$B$6)))</f>
        <v/>
      </c>
      <c r="M389" t="str">
        <f>IF(A389="","",参数设置!$B$7)</f>
        <v/>
      </c>
      <c r="N389" t="str">
        <f t="shared" si="20"/>
        <v/>
      </c>
    </row>
    <row r="390" spans="1:14" x14ac:dyDescent="0.25">
      <c r="A390">
        <v>78</v>
      </c>
      <c r="C390" t="s">
        <v>31</v>
      </c>
      <c r="J390" t="str">
        <f t="shared" si="18"/>
        <v/>
      </c>
      <c r="K390" t="str">
        <f t="shared" si="19"/>
        <v/>
      </c>
      <c r="L390" t="str">
        <f>IF(C390&lt;&gt;"ST1","",IF(K390="","",K390*(1+参数设置!$B$6)))</f>
        <v/>
      </c>
      <c r="M390" t="str">
        <f>IF(A390="","",参数设置!$B$7)</f>
        <v/>
      </c>
      <c r="N390" t="str">
        <f t="shared" si="20"/>
        <v/>
      </c>
    </row>
    <row r="391" spans="1:14" x14ac:dyDescent="0.25">
      <c r="A391">
        <v>78</v>
      </c>
      <c r="C391" t="s">
        <v>32</v>
      </c>
      <c r="J391" t="str">
        <f t="shared" si="18"/>
        <v/>
      </c>
      <c r="K391" t="str">
        <f t="shared" si="19"/>
        <v/>
      </c>
      <c r="L391" t="str">
        <f>IF(C391&lt;&gt;"ST1","",IF(K391="","",K391*(1+参数设置!$B$6)))</f>
        <v/>
      </c>
      <c r="M391" t="str">
        <f>IF(A391="","",参数设置!$B$7)</f>
        <v/>
      </c>
      <c r="N391" t="str">
        <f t="shared" si="20"/>
        <v/>
      </c>
    </row>
    <row r="392" spans="1:14" x14ac:dyDescent="0.25">
      <c r="A392">
        <v>78</v>
      </c>
      <c r="C392" t="s">
        <v>33</v>
      </c>
      <c r="J392" t="str">
        <f t="shared" si="18"/>
        <v/>
      </c>
      <c r="K392" t="str">
        <f t="shared" si="19"/>
        <v/>
      </c>
      <c r="L392" t="str">
        <f>IF(C392&lt;&gt;"ST1","",IF(K392="","",K392*(1+参数设置!$B$6)))</f>
        <v/>
      </c>
      <c r="M392" t="str">
        <f>IF(A392="","",参数设置!$B$7)</f>
        <v/>
      </c>
      <c r="N392" t="str">
        <f t="shared" si="20"/>
        <v/>
      </c>
    </row>
    <row r="393" spans="1:14" x14ac:dyDescent="0.25">
      <c r="A393">
        <v>79</v>
      </c>
      <c r="C393" t="s">
        <v>29</v>
      </c>
      <c r="J393" t="str">
        <f t="shared" si="18"/>
        <v/>
      </c>
      <c r="K393">
        <f t="shared" si="19"/>
        <v>0</v>
      </c>
      <c r="L393">
        <f>IF(C393&lt;&gt;"ST1","",IF(K393="","",K393*(1+参数设置!$B$6)))</f>
        <v>0</v>
      </c>
      <c r="M393" t="str">
        <f>IF(A393="","",参数设置!$B$7)</f>
        <v/>
      </c>
      <c r="N393" t="str">
        <f t="shared" si="20"/>
        <v/>
      </c>
    </row>
    <row r="394" spans="1:14" x14ac:dyDescent="0.25">
      <c r="A394">
        <v>79</v>
      </c>
      <c r="C394" t="s">
        <v>30</v>
      </c>
      <c r="J394" t="str">
        <f t="shared" si="18"/>
        <v/>
      </c>
      <c r="K394" t="str">
        <f t="shared" si="19"/>
        <v/>
      </c>
      <c r="L394" t="str">
        <f>IF(C394&lt;&gt;"ST1","",IF(K394="","",K394*(1+参数设置!$B$6)))</f>
        <v/>
      </c>
      <c r="M394" t="str">
        <f>IF(A394="","",参数设置!$B$7)</f>
        <v/>
      </c>
      <c r="N394" t="str">
        <f t="shared" si="20"/>
        <v/>
      </c>
    </row>
    <row r="395" spans="1:14" x14ac:dyDescent="0.25">
      <c r="A395">
        <v>79</v>
      </c>
      <c r="C395" t="s">
        <v>31</v>
      </c>
      <c r="J395" t="str">
        <f t="shared" si="18"/>
        <v/>
      </c>
      <c r="K395" t="str">
        <f t="shared" si="19"/>
        <v/>
      </c>
      <c r="L395" t="str">
        <f>IF(C395&lt;&gt;"ST1","",IF(K395="","",K395*(1+参数设置!$B$6)))</f>
        <v/>
      </c>
      <c r="M395" t="str">
        <f>IF(A395="","",参数设置!$B$7)</f>
        <v/>
      </c>
      <c r="N395" t="str">
        <f t="shared" si="20"/>
        <v/>
      </c>
    </row>
    <row r="396" spans="1:14" x14ac:dyDescent="0.25">
      <c r="A396">
        <v>79</v>
      </c>
      <c r="C396" t="s">
        <v>32</v>
      </c>
      <c r="J396" t="str">
        <f t="shared" si="18"/>
        <v/>
      </c>
      <c r="K396" t="str">
        <f t="shared" si="19"/>
        <v/>
      </c>
      <c r="L396" t="str">
        <f>IF(C396&lt;&gt;"ST1","",IF(K396="","",K396*(1+参数设置!$B$6)))</f>
        <v/>
      </c>
      <c r="M396" t="str">
        <f>IF(A396="","",参数设置!$B$7)</f>
        <v/>
      </c>
      <c r="N396" t="str">
        <f t="shared" si="20"/>
        <v/>
      </c>
    </row>
    <row r="397" spans="1:14" x14ac:dyDescent="0.25">
      <c r="A397">
        <v>79</v>
      </c>
      <c r="C397" t="s">
        <v>33</v>
      </c>
      <c r="J397" t="str">
        <f t="shared" si="18"/>
        <v/>
      </c>
      <c r="K397" t="str">
        <f t="shared" si="19"/>
        <v/>
      </c>
      <c r="L397" t="str">
        <f>IF(C397&lt;&gt;"ST1","",IF(K397="","",K397*(1+参数设置!$B$6)))</f>
        <v/>
      </c>
      <c r="M397" t="str">
        <f>IF(A397="","",参数设置!$B$7)</f>
        <v/>
      </c>
      <c r="N397" t="str">
        <f t="shared" si="20"/>
        <v/>
      </c>
    </row>
    <row r="398" spans="1:14" x14ac:dyDescent="0.25">
      <c r="A398">
        <v>80</v>
      </c>
      <c r="C398" t="s">
        <v>29</v>
      </c>
      <c r="J398" t="str">
        <f t="shared" si="18"/>
        <v/>
      </c>
      <c r="K398">
        <f t="shared" si="19"/>
        <v>0</v>
      </c>
      <c r="L398">
        <f>IF(C398&lt;&gt;"ST1","",IF(K398="","",K398*(1+参数设置!$B$6)))</f>
        <v>0</v>
      </c>
      <c r="M398" t="str">
        <f>IF(A398="","",参数设置!$B$7)</f>
        <v/>
      </c>
      <c r="N398" t="str">
        <f t="shared" si="20"/>
        <v/>
      </c>
    </row>
    <row r="399" spans="1:14" x14ac:dyDescent="0.25">
      <c r="A399">
        <v>80</v>
      </c>
      <c r="C399" t="s">
        <v>30</v>
      </c>
      <c r="J399" t="str">
        <f t="shared" si="18"/>
        <v/>
      </c>
      <c r="K399" t="str">
        <f t="shared" si="19"/>
        <v/>
      </c>
      <c r="L399" t="str">
        <f>IF(C399&lt;&gt;"ST1","",IF(K399="","",K399*(1+参数设置!$B$6)))</f>
        <v/>
      </c>
      <c r="M399" t="str">
        <f>IF(A399="","",参数设置!$B$7)</f>
        <v/>
      </c>
      <c r="N399" t="str">
        <f t="shared" si="20"/>
        <v/>
      </c>
    </row>
    <row r="400" spans="1:14" x14ac:dyDescent="0.25">
      <c r="A400">
        <v>80</v>
      </c>
      <c r="C400" t="s">
        <v>31</v>
      </c>
      <c r="J400" t="str">
        <f t="shared" si="18"/>
        <v/>
      </c>
      <c r="K400" t="str">
        <f t="shared" si="19"/>
        <v/>
      </c>
      <c r="L400" t="str">
        <f>IF(C400&lt;&gt;"ST1","",IF(K400="","",K400*(1+参数设置!$B$6)))</f>
        <v/>
      </c>
      <c r="M400" t="str">
        <f>IF(A400="","",参数设置!$B$7)</f>
        <v/>
      </c>
      <c r="N400" t="str">
        <f t="shared" si="20"/>
        <v/>
      </c>
    </row>
    <row r="401" spans="1:14" x14ac:dyDescent="0.25">
      <c r="A401">
        <v>80</v>
      </c>
      <c r="C401" t="s">
        <v>32</v>
      </c>
      <c r="J401" t="str">
        <f t="shared" si="18"/>
        <v/>
      </c>
      <c r="K401" t="str">
        <f t="shared" si="19"/>
        <v/>
      </c>
      <c r="L401" t="str">
        <f>IF(C401&lt;&gt;"ST1","",IF(K401="","",K401*(1+参数设置!$B$6)))</f>
        <v/>
      </c>
      <c r="M401" t="str">
        <f>IF(A401="","",参数设置!$B$7)</f>
        <v/>
      </c>
      <c r="N401" t="str">
        <f t="shared" si="20"/>
        <v/>
      </c>
    </row>
    <row r="402" spans="1:14" x14ac:dyDescent="0.25">
      <c r="A402">
        <v>80</v>
      </c>
      <c r="C402" t="s">
        <v>33</v>
      </c>
      <c r="J402" t="str">
        <f t="shared" si="18"/>
        <v/>
      </c>
      <c r="K402" t="str">
        <f t="shared" si="19"/>
        <v/>
      </c>
      <c r="L402" t="str">
        <f>IF(C402&lt;&gt;"ST1","",IF(K402="","",K402*(1+参数设置!$B$6)))</f>
        <v/>
      </c>
      <c r="M402" t="str">
        <f>IF(A402="","",参数设置!$B$7)</f>
        <v/>
      </c>
      <c r="N402" t="str">
        <f t="shared" si="20"/>
        <v/>
      </c>
    </row>
    <row r="403" spans="1:14" x14ac:dyDescent="0.25">
      <c r="A403">
        <v>81</v>
      </c>
      <c r="C403" t="s">
        <v>29</v>
      </c>
      <c r="J403" t="str">
        <f t="shared" si="18"/>
        <v/>
      </c>
      <c r="K403">
        <f t="shared" si="19"/>
        <v>0</v>
      </c>
      <c r="L403">
        <f>IF(C403&lt;&gt;"ST1","",IF(K403="","",K403*(1+参数设置!$B$6)))</f>
        <v>0</v>
      </c>
      <c r="M403" t="str">
        <f>IF(A403="","",参数设置!$B$7)</f>
        <v/>
      </c>
      <c r="N403" t="str">
        <f t="shared" si="20"/>
        <v/>
      </c>
    </row>
    <row r="404" spans="1:14" x14ac:dyDescent="0.25">
      <c r="A404">
        <v>81</v>
      </c>
      <c r="C404" t="s">
        <v>30</v>
      </c>
      <c r="J404" t="str">
        <f t="shared" si="18"/>
        <v/>
      </c>
      <c r="K404" t="str">
        <f t="shared" si="19"/>
        <v/>
      </c>
      <c r="L404" t="str">
        <f>IF(C404&lt;&gt;"ST1","",IF(K404="","",K404*(1+参数设置!$B$6)))</f>
        <v/>
      </c>
      <c r="M404" t="str">
        <f>IF(A404="","",参数设置!$B$7)</f>
        <v/>
      </c>
      <c r="N404" t="str">
        <f t="shared" si="20"/>
        <v/>
      </c>
    </row>
    <row r="405" spans="1:14" x14ac:dyDescent="0.25">
      <c r="A405">
        <v>81</v>
      </c>
      <c r="C405" t="s">
        <v>31</v>
      </c>
      <c r="J405" t="str">
        <f t="shared" si="18"/>
        <v/>
      </c>
      <c r="K405" t="str">
        <f t="shared" si="19"/>
        <v/>
      </c>
      <c r="L405" t="str">
        <f>IF(C405&lt;&gt;"ST1","",IF(K405="","",K405*(1+参数设置!$B$6)))</f>
        <v/>
      </c>
      <c r="M405" t="str">
        <f>IF(A405="","",参数设置!$B$7)</f>
        <v/>
      </c>
      <c r="N405" t="str">
        <f t="shared" si="20"/>
        <v/>
      </c>
    </row>
    <row r="406" spans="1:14" x14ac:dyDescent="0.25">
      <c r="A406">
        <v>81</v>
      </c>
      <c r="C406" t="s">
        <v>32</v>
      </c>
      <c r="J406" t="str">
        <f t="shared" si="18"/>
        <v/>
      </c>
      <c r="K406" t="str">
        <f t="shared" si="19"/>
        <v/>
      </c>
      <c r="L406" t="str">
        <f>IF(C406&lt;&gt;"ST1","",IF(K406="","",K406*(1+参数设置!$B$6)))</f>
        <v/>
      </c>
      <c r="M406" t="str">
        <f>IF(A406="","",参数设置!$B$7)</f>
        <v/>
      </c>
      <c r="N406" t="str">
        <f t="shared" si="20"/>
        <v/>
      </c>
    </row>
    <row r="407" spans="1:14" x14ac:dyDescent="0.25">
      <c r="A407">
        <v>81</v>
      </c>
      <c r="C407" t="s">
        <v>33</v>
      </c>
      <c r="J407" t="str">
        <f t="shared" si="18"/>
        <v/>
      </c>
      <c r="K407" t="str">
        <f t="shared" si="19"/>
        <v/>
      </c>
      <c r="L407" t="str">
        <f>IF(C407&lt;&gt;"ST1","",IF(K407="","",K407*(1+参数设置!$B$6)))</f>
        <v/>
      </c>
      <c r="M407" t="str">
        <f>IF(A407="","",参数设置!$B$7)</f>
        <v/>
      </c>
      <c r="N407" t="str">
        <f t="shared" si="20"/>
        <v/>
      </c>
    </row>
    <row r="408" spans="1:14" x14ac:dyDescent="0.25">
      <c r="A408">
        <v>82</v>
      </c>
      <c r="C408" t="s">
        <v>29</v>
      </c>
      <c r="J408" t="str">
        <f t="shared" si="18"/>
        <v/>
      </c>
      <c r="K408">
        <f t="shared" si="19"/>
        <v>0</v>
      </c>
      <c r="L408">
        <f>IF(C408&lt;&gt;"ST1","",IF(K408="","",K408*(1+参数设置!$B$6)))</f>
        <v>0</v>
      </c>
      <c r="M408" t="str">
        <f>IF(A408="","",参数设置!$B$7)</f>
        <v/>
      </c>
      <c r="N408" t="str">
        <f t="shared" si="20"/>
        <v/>
      </c>
    </row>
    <row r="409" spans="1:14" x14ac:dyDescent="0.25">
      <c r="A409">
        <v>82</v>
      </c>
      <c r="C409" t="s">
        <v>30</v>
      </c>
      <c r="J409" t="str">
        <f t="shared" si="18"/>
        <v/>
      </c>
      <c r="K409" t="str">
        <f t="shared" si="19"/>
        <v/>
      </c>
      <c r="L409" t="str">
        <f>IF(C409&lt;&gt;"ST1","",IF(K409="","",K409*(1+参数设置!$B$6)))</f>
        <v/>
      </c>
      <c r="M409" t="str">
        <f>IF(A409="","",参数设置!$B$7)</f>
        <v/>
      </c>
      <c r="N409" t="str">
        <f t="shared" si="20"/>
        <v/>
      </c>
    </row>
    <row r="410" spans="1:14" x14ac:dyDescent="0.25">
      <c r="A410">
        <v>82</v>
      </c>
      <c r="C410" t="s">
        <v>31</v>
      </c>
      <c r="J410" t="str">
        <f t="shared" si="18"/>
        <v/>
      </c>
      <c r="K410" t="str">
        <f t="shared" si="19"/>
        <v/>
      </c>
      <c r="L410" t="str">
        <f>IF(C410&lt;&gt;"ST1","",IF(K410="","",K410*(1+参数设置!$B$6)))</f>
        <v/>
      </c>
      <c r="M410" t="str">
        <f>IF(A410="","",参数设置!$B$7)</f>
        <v/>
      </c>
      <c r="N410" t="str">
        <f t="shared" si="20"/>
        <v/>
      </c>
    </row>
    <row r="411" spans="1:14" x14ac:dyDescent="0.25">
      <c r="A411">
        <v>82</v>
      </c>
      <c r="C411" t="s">
        <v>32</v>
      </c>
      <c r="J411" t="str">
        <f t="shared" si="18"/>
        <v/>
      </c>
      <c r="K411" t="str">
        <f t="shared" si="19"/>
        <v/>
      </c>
      <c r="L411" t="str">
        <f>IF(C411&lt;&gt;"ST1","",IF(K411="","",K411*(1+参数设置!$B$6)))</f>
        <v/>
      </c>
      <c r="M411" t="str">
        <f>IF(A411="","",参数设置!$B$7)</f>
        <v/>
      </c>
      <c r="N411" t="str">
        <f t="shared" si="20"/>
        <v/>
      </c>
    </row>
    <row r="412" spans="1:14" x14ac:dyDescent="0.25">
      <c r="A412">
        <v>82</v>
      </c>
      <c r="C412" t="s">
        <v>33</v>
      </c>
      <c r="J412" t="str">
        <f t="shared" si="18"/>
        <v/>
      </c>
      <c r="K412" t="str">
        <f t="shared" si="19"/>
        <v/>
      </c>
      <c r="L412" t="str">
        <f>IF(C412&lt;&gt;"ST1","",IF(K412="","",K412*(1+参数设置!$B$6)))</f>
        <v/>
      </c>
      <c r="M412" t="str">
        <f>IF(A412="","",参数设置!$B$7)</f>
        <v/>
      </c>
      <c r="N412" t="str">
        <f t="shared" si="20"/>
        <v/>
      </c>
    </row>
    <row r="413" spans="1:14" x14ac:dyDescent="0.25">
      <c r="A413">
        <v>83</v>
      </c>
      <c r="C413" t="s">
        <v>29</v>
      </c>
      <c r="J413" t="str">
        <f t="shared" si="18"/>
        <v/>
      </c>
      <c r="K413">
        <f t="shared" si="19"/>
        <v>0</v>
      </c>
      <c r="L413">
        <f>IF(C413&lt;&gt;"ST1","",IF(K413="","",K413*(1+参数设置!$B$6)))</f>
        <v>0</v>
      </c>
      <c r="M413" t="str">
        <f>IF(A413="","",参数设置!$B$7)</f>
        <v/>
      </c>
      <c r="N413" t="str">
        <f t="shared" si="20"/>
        <v/>
      </c>
    </row>
    <row r="414" spans="1:14" x14ac:dyDescent="0.25">
      <c r="A414">
        <v>83</v>
      </c>
      <c r="C414" t="s">
        <v>30</v>
      </c>
      <c r="J414" t="str">
        <f t="shared" si="18"/>
        <v/>
      </c>
      <c r="K414" t="str">
        <f t="shared" si="19"/>
        <v/>
      </c>
      <c r="L414" t="str">
        <f>IF(C414&lt;&gt;"ST1","",IF(K414="","",K414*(1+参数设置!$B$6)))</f>
        <v/>
      </c>
      <c r="M414" t="str">
        <f>IF(A414="","",参数设置!$B$7)</f>
        <v/>
      </c>
      <c r="N414" t="str">
        <f t="shared" si="20"/>
        <v/>
      </c>
    </row>
    <row r="415" spans="1:14" x14ac:dyDescent="0.25">
      <c r="A415">
        <v>83</v>
      </c>
      <c r="C415" t="s">
        <v>31</v>
      </c>
      <c r="J415" t="str">
        <f t="shared" si="18"/>
        <v/>
      </c>
      <c r="K415" t="str">
        <f t="shared" si="19"/>
        <v/>
      </c>
      <c r="L415" t="str">
        <f>IF(C415&lt;&gt;"ST1","",IF(K415="","",K415*(1+参数设置!$B$6)))</f>
        <v/>
      </c>
      <c r="M415" t="str">
        <f>IF(A415="","",参数设置!$B$7)</f>
        <v/>
      </c>
      <c r="N415" t="str">
        <f t="shared" si="20"/>
        <v/>
      </c>
    </row>
    <row r="416" spans="1:14" x14ac:dyDescent="0.25">
      <c r="A416">
        <v>83</v>
      </c>
      <c r="C416" t="s">
        <v>32</v>
      </c>
      <c r="J416" t="str">
        <f t="shared" si="18"/>
        <v/>
      </c>
      <c r="K416" t="str">
        <f t="shared" si="19"/>
        <v/>
      </c>
      <c r="L416" t="str">
        <f>IF(C416&lt;&gt;"ST1","",IF(K416="","",K416*(1+参数设置!$B$6)))</f>
        <v/>
      </c>
      <c r="M416" t="str">
        <f>IF(A416="","",参数设置!$B$7)</f>
        <v/>
      </c>
      <c r="N416" t="str">
        <f t="shared" si="20"/>
        <v/>
      </c>
    </row>
    <row r="417" spans="1:14" x14ac:dyDescent="0.25">
      <c r="A417">
        <v>83</v>
      </c>
      <c r="C417" t="s">
        <v>33</v>
      </c>
      <c r="J417" t="str">
        <f t="shared" si="18"/>
        <v/>
      </c>
      <c r="K417" t="str">
        <f t="shared" si="19"/>
        <v/>
      </c>
      <c r="L417" t="str">
        <f>IF(C417&lt;&gt;"ST1","",IF(K417="","",K417*(1+参数设置!$B$6)))</f>
        <v/>
      </c>
      <c r="M417" t="str">
        <f>IF(A417="","",参数设置!$B$7)</f>
        <v/>
      </c>
      <c r="N417" t="str">
        <f t="shared" si="20"/>
        <v/>
      </c>
    </row>
    <row r="418" spans="1:14" x14ac:dyDescent="0.25">
      <c r="A418">
        <v>84</v>
      </c>
      <c r="C418" t="s">
        <v>29</v>
      </c>
      <c r="J418" t="str">
        <f t="shared" si="18"/>
        <v/>
      </c>
      <c r="K418">
        <f t="shared" si="19"/>
        <v>0</v>
      </c>
      <c r="L418">
        <f>IF(C418&lt;&gt;"ST1","",IF(K418="","",K418*(1+参数设置!$B$6)))</f>
        <v>0</v>
      </c>
      <c r="M418" t="str">
        <f>IF(A418="","",参数设置!$B$7)</f>
        <v/>
      </c>
      <c r="N418" t="str">
        <f t="shared" si="20"/>
        <v/>
      </c>
    </row>
    <row r="419" spans="1:14" x14ac:dyDescent="0.25">
      <c r="A419">
        <v>84</v>
      </c>
      <c r="C419" t="s">
        <v>30</v>
      </c>
      <c r="J419" t="str">
        <f t="shared" si="18"/>
        <v/>
      </c>
      <c r="K419" t="str">
        <f t="shared" si="19"/>
        <v/>
      </c>
      <c r="L419" t="str">
        <f>IF(C419&lt;&gt;"ST1","",IF(K419="","",K419*(1+参数设置!$B$6)))</f>
        <v/>
      </c>
      <c r="M419" t="str">
        <f>IF(A419="","",参数设置!$B$7)</f>
        <v/>
      </c>
      <c r="N419" t="str">
        <f t="shared" si="20"/>
        <v/>
      </c>
    </row>
    <row r="420" spans="1:14" x14ac:dyDescent="0.25">
      <c r="A420">
        <v>84</v>
      </c>
      <c r="C420" t="s">
        <v>31</v>
      </c>
      <c r="J420" t="str">
        <f t="shared" si="18"/>
        <v/>
      </c>
      <c r="K420" t="str">
        <f t="shared" si="19"/>
        <v/>
      </c>
      <c r="L420" t="str">
        <f>IF(C420&lt;&gt;"ST1","",IF(K420="","",K420*(1+参数设置!$B$6)))</f>
        <v/>
      </c>
      <c r="M420" t="str">
        <f>IF(A420="","",参数设置!$B$7)</f>
        <v/>
      </c>
      <c r="N420" t="str">
        <f t="shared" si="20"/>
        <v/>
      </c>
    </row>
    <row r="421" spans="1:14" x14ac:dyDescent="0.25">
      <c r="A421">
        <v>84</v>
      </c>
      <c r="C421" t="s">
        <v>32</v>
      </c>
      <c r="J421" t="str">
        <f t="shared" si="18"/>
        <v/>
      </c>
      <c r="K421" t="str">
        <f t="shared" si="19"/>
        <v/>
      </c>
      <c r="L421" t="str">
        <f>IF(C421&lt;&gt;"ST1","",IF(K421="","",K421*(1+参数设置!$B$6)))</f>
        <v/>
      </c>
      <c r="M421" t="str">
        <f>IF(A421="","",参数设置!$B$7)</f>
        <v/>
      </c>
      <c r="N421" t="str">
        <f t="shared" si="20"/>
        <v/>
      </c>
    </row>
    <row r="422" spans="1:14" x14ac:dyDescent="0.25">
      <c r="A422">
        <v>84</v>
      </c>
      <c r="C422" t="s">
        <v>33</v>
      </c>
      <c r="J422" t="str">
        <f t="shared" si="18"/>
        <v/>
      </c>
      <c r="K422" t="str">
        <f t="shared" si="19"/>
        <v/>
      </c>
      <c r="L422" t="str">
        <f>IF(C422&lt;&gt;"ST1","",IF(K422="","",K422*(1+参数设置!$B$6)))</f>
        <v/>
      </c>
      <c r="M422" t="str">
        <f>IF(A422="","",参数设置!$B$7)</f>
        <v/>
      </c>
      <c r="N422" t="str">
        <f t="shared" si="20"/>
        <v/>
      </c>
    </row>
    <row r="423" spans="1:14" x14ac:dyDescent="0.25">
      <c r="A423">
        <v>85</v>
      </c>
      <c r="C423" t="s">
        <v>29</v>
      </c>
      <c r="J423" t="str">
        <f t="shared" si="18"/>
        <v/>
      </c>
      <c r="K423">
        <f t="shared" si="19"/>
        <v>0</v>
      </c>
      <c r="L423">
        <f>IF(C423&lt;&gt;"ST1","",IF(K423="","",K423*(1+参数设置!$B$6)))</f>
        <v>0</v>
      </c>
      <c r="M423" t="str">
        <f>IF(A423="","",参数设置!$B$7)</f>
        <v/>
      </c>
      <c r="N423" t="str">
        <f t="shared" si="20"/>
        <v/>
      </c>
    </row>
    <row r="424" spans="1:14" x14ac:dyDescent="0.25">
      <c r="A424">
        <v>85</v>
      </c>
      <c r="C424" t="s">
        <v>30</v>
      </c>
      <c r="J424" t="str">
        <f t="shared" si="18"/>
        <v/>
      </c>
      <c r="K424" t="str">
        <f t="shared" si="19"/>
        <v/>
      </c>
      <c r="L424" t="str">
        <f>IF(C424&lt;&gt;"ST1","",IF(K424="","",K424*(1+参数设置!$B$6)))</f>
        <v/>
      </c>
      <c r="M424" t="str">
        <f>IF(A424="","",参数设置!$B$7)</f>
        <v/>
      </c>
      <c r="N424" t="str">
        <f t="shared" si="20"/>
        <v/>
      </c>
    </row>
    <row r="425" spans="1:14" x14ac:dyDescent="0.25">
      <c r="A425">
        <v>85</v>
      </c>
      <c r="C425" t="s">
        <v>31</v>
      </c>
      <c r="J425" t="str">
        <f t="shared" si="18"/>
        <v/>
      </c>
      <c r="K425" t="str">
        <f t="shared" si="19"/>
        <v/>
      </c>
      <c r="L425" t="str">
        <f>IF(C425&lt;&gt;"ST1","",IF(K425="","",K425*(1+参数设置!$B$6)))</f>
        <v/>
      </c>
      <c r="M425" t="str">
        <f>IF(A425="","",参数设置!$B$7)</f>
        <v/>
      </c>
      <c r="N425" t="str">
        <f t="shared" si="20"/>
        <v/>
      </c>
    </row>
    <row r="426" spans="1:14" x14ac:dyDescent="0.25">
      <c r="A426">
        <v>85</v>
      </c>
      <c r="C426" t="s">
        <v>32</v>
      </c>
      <c r="J426" t="str">
        <f t="shared" si="18"/>
        <v/>
      </c>
      <c r="K426" t="str">
        <f t="shared" si="19"/>
        <v/>
      </c>
      <c r="L426" t="str">
        <f>IF(C426&lt;&gt;"ST1","",IF(K426="","",K426*(1+参数设置!$B$6)))</f>
        <v/>
      </c>
      <c r="M426" t="str">
        <f>IF(A426="","",参数设置!$B$7)</f>
        <v/>
      </c>
      <c r="N426" t="str">
        <f t="shared" si="20"/>
        <v/>
      </c>
    </row>
    <row r="427" spans="1:14" x14ac:dyDescent="0.25">
      <c r="A427">
        <v>85</v>
      </c>
      <c r="C427" t="s">
        <v>33</v>
      </c>
      <c r="J427" t="str">
        <f t="shared" si="18"/>
        <v/>
      </c>
      <c r="K427" t="str">
        <f t="shared" si="19"/>
        <v/>
      </c>
      <c r="L427" t="str">
        <f>IF(C427&lt;&gt;"ST1","",IF(K427="","",K427*(1+参数设置!$B$6)))</f>
        <v/>
      </c>
      <c r="M427" t="str">
        <f>IF(A427="","",参数设置!$B$7)</f>
        <v/>
      </c>
      <c r="N427" t="str">
        <f t="shared" si="20"/>
        <v/>
      </c>
    </row>
    <row r="428" spans="1:14" x14ac:dyDescent="0.25">
      <c r="A428">
        <v>86</v>
      </c>
      <c r="C428" t="s">
        <v>29</v>
      </c>
      <c r="J428" t="str">
        <f t="shared" si="18"/>
        <v/>
      </c>
      <c r="K428">
        <f t="shared" si="19"/>
        <v>0</v>
      </c>
      <c r="L428">
        <f>IF(C428&lt;&gt;"ST1","",IF(K428="","",K428*(1+参数设置!$B$6)))</f>
        <v>0</v>
      </c>
      <c r="M428" t="str">
        <f>IF(A428="","",参数设置!$B$7)</f>
        <v/>
      </c>
      <c r="N428" t="str">
        <f t="shared" si="20"/>
        <v/>
      </c>
    </row>
    <row r="429" spans="1:14" x14ac:dyDescent="0.25">
      <c r="A429">
        <v>86</v>
      </c>
      <c r="C429" t="s">
        <v>30</v>
      </c>
      <c r="J429" t="str">
        <f t="shared" si="18"/>
        <v/>
      </c>
      <c r="K429" t="str">
        <f t="shared" si="19"/>
        <v/>
      </c>
      <c r="L429" t="str">
        <f>IF(C429&lt;&gt;"ST1","",IF(K429="","",K429*(1+参数设置!$B$6)))</f>
        <v/>
      </c>
      <c r="M429" t="str">
        <f>IF(A429="","",参数设置!$B$7)</f>
        <v/>
      </c>
      <c r="N429" t="str">
        <f t="shared" si="20"/>
        <v/>
      </c>
    </row>
    <row r="430" spans="1:14" x14ac:dyDescent="0.25">
      <c r="A430">
        <v>86</v>
      </c>
      <c r="C430" t="s">
        <v>31</v>
      </c>
      <c r="J430" t="str">
        <f t="shared" si="18"/>
        <v/>
      </c>
      <c r="K430" t="str">
        <f t="shared" si="19"/>
        <v/>
      </c>
      <c r="L430" t="str">
        <f>IF(C430&lt;&gt;"ST1","",IF(K430="","",K430*(1+参数设置!$B$6)))</f>
        <v/>
      </c>
      <c r="M430" t="str">
        <f>IF(A430="","",参数设置!$B$7)</f>
        <v/>
      </c>
      <c r="N430" t="str">
        <f t="shared" si="20"/>
        <v/>
      </c>
    </row>
    <row r="431" spans="1:14" x14ac:dyDescent="0.25">
      <c r="A431">
        <v>86</v>
      </c>
      <c r="C431" t="s">
        <v>32</v>
      </c>
      <c r="J431" t="str">
        <f t="shared" si="18"/>
        <v/>
      </c>
      <c r="K431" t="str">
        <f t="shared" si="19"/>
        <v/>
      </c>
      <c r="L431" t="str">
        <f>IF(C431&lt;&gt;"ST1","",IF(K431="","",K431*(1+参数设置!$B$6)))</f>
        <v/>
      </c>
      <c r="M431" t="str">
        <f>IF(A431="","",参数设置!$B$7)</f>
        <v/>
      </c>
      <c r="N431" t="str">
        <f t="shared" si="20"/>
        <v/>
      </c>
    </row>
    <row r="432" spans="1:14" x14ac:dyDescent="0.25">
      <c r="A432">
        <v>86</v>
      </c>
      <c r="C432" t="s">
        <v>33</v>
      </c>
      <c r="J432" t="str">
        <f t="shared" si="18"/>
        <v/>
      </c>
      <c r="K432" t="str">
        <f t="shared" si="19"/>
        <v/>
      </c>
      <c r="L432" t="str">
        <f>IF(C432&lt;&gt;"ST1","",IF(K432="","",K432*(1+参数设置!$B$6)))</f>
        <v/>
      </c>
      <c r="M432" t="str">
        <f>IF(A432="","",参数设置!$B$7)</f>
        <v/>
      </c>
      <c r="N432" t="str">
        <f t="shared" si="20"/>
        <v/>
      </c>
    </row>
    <row r="433" spans="1:14" x14ac:dyDescent="0.25">
      <c r="A433">
        <v>87</v>
      </c>
      <c r="C433" t="s">
        <v>29</v>
      </c>
      <c r="J433" t="str">
        <f t="shared" si="18"/>
        <v/>
      </c>
      <c r="K433">
        <f t="shared" si="19"/>
        <v>0</v>
      </c>
      <c r="L433">
        <f>IF(C433&lt;&gt;"ST1","",IF(K433="","",K433*(1+参数设置!$B$6)))</f>
        <v>0</v>
      </c>
      <c r="M433" t="str">
        <f>IF(A433="","",参数设置!$B$7)</f>
        <v/>
      </c>
      <c r="N433" t="str">
        <f t="shared" si="20"/>
        <v/>
      </c>
    </row>
    <row r="434" spans="1:14" x14ac:dyDescent="0.25">
      <c r="A434">
        <v>87</v>
      </c>
      <c r="C434" t="s">
        <v>30</v>
      </c>
      <c r="J434" t="str">
        <f t="shared" si="18"/>
        <v/>
      </c>
      <c r="K434" t="str">
        <f t="shared" si="19"/>
        <v/>
      </c>
      <c r="L434" t="str">
        <f>IF(C434&lt;&gt;"ST1","",IF(K434="","",K434*(1+参数设置!$B$6)))</f>
        <v/>
      </c>
      <c r="M434" t="str">
        <f>IF(A434="","",参数设置!$B$7)</f>
        <v/>
      </c>
      <c r="N434" t="str">
        <f t="shared" si="20"/>
        <v/>
      </c>
    </row>
    <row r="435" spans="1:14" x14ac:dyDescent="0.25">
      <c r="A435">
        <v>87</v>
      </c>
      <c r="C435" t="s">
        <v>31</v>
      </c>
      <c r="J435" t="str">
        <f t="shared" si="18"/>
        <v/>
      </c>
      <c r="K435" t="str">
        <f t="shared" si="19"/>
        <v/>
      </c>
      <c r="L435" t="str">
        <f>IF(C435&lt;&gt;"ST1","",IF(K435="","",K435*(1+参数设置!$B$6)))</f>
        <v/>
      </c>
      <c r="M435" t="str">
        <f>IF(A435="","",参数设置!$B$7)</f>
        <v/>
      </c>
      <c r="N435" t="str">
        <f t="shared" si="20"/>
        <v/>
      </c>
    </row>
    <row r="436" spans="1:14" x14ac:dyDescent="0.25">
      <c r="A436">
        <v>87</v>
      </c>
      <c r="C436" t="s">
        <v>32</v>
      </c>
      <c r="J436" t="str">
        <f t="shared" si="18"/>
        <v/>
      </c>
      <c r="K436" t="str">
        <f t="shared" si="19"/>
        <v/>
      </c>
      <c r="L436" t="str">
        <f>IF(C436&lt;&gt;"ST1","",IF(K436="","",K436*(1+参数设置!$B$6)))</f>
        <v/>
      </c>
      <c r="M436" t="str">
        <f>IF(A436="","",参数设置!$B$7)</f>
        <v/>
      </c>
      <c r="N436" t="str">
        <f t="shared" si="20"/>
        <v/>
      </c>
    </row>
    <row r="437" spans="1:14" x14ac:dyDescent="0.25">
      <c r="A437">
        <v>87</v>
      </c>
      <c r="C437" t="s">
        <v>33</v>
      </c>
      <c r="J437" t="str">
        <f t="shared" si="18"/>
        <v/>
      </c>
      <c r="K437" t="str">
        <f t="shared" si="19"/>
        <v/>
      </c>
      <c r="L437" t="str">
        <f>IF(C437&lt;&gt;"ST1","",IF(K437="","",K437*(1+参数设置!$B$6)))</f>
        <v/>
      </c>
      <c r="M437" t="str">
        <f>IF(A437="","",参数设置!$B$7)</f>
        <v/>
      </c>
      <c r="N437" t="str">
        <f t="shared" si="20"/>
        <v/>
      </c>
    </row>
    <row r="438" spans="1:14" x14ac:dyDescent="0.25">
      <c r="A438">
        <v>88</v>
      </c>
      <c r="C438" t="s">
        <v>29</v>
      </c>
      <c r="J438" t="str">
        <f t="shared" si="18"/>
        <v/>
      </c>
      <c r="K438">
        <f t="shared" si="19"/>
        <v>0</v>
      </c>
      <c r="L438">
        <f>IF(C438&lt;&gt;"ST1","",IF(K438="","",K438*(1+参数设置!$B$6)))</f>
        <v>0</v>
      </c>
      <c r="M438" t="str">
        <f>IF(A438="","",参数设置!$B$7)</f>
        <v/>
      </c>
      <c r="N438" t="str">
        <f t="shared" si="20"/>
        <v/>
      </c>
    </row>
    <row r="439" spans="1:14" x14ac:dyDescent="0.25">
      <c r="A439">
        <v>88</v>
      </c>
      <c r="C439" t="s">
        <v>30</v>
      </c>
      <c r="J439" t="str">
        <f t="shared" si="18"/>
        <v/>
      </c>
      <c r="K439" t="str">
        <f t="shared" si="19"/>
        <v/>
      </c>
      <c r="L439" t="str">
        <f>IF(C439&lt;&gt;"ST1","",IF(K439="","",K439*(1+参数设置!$B$6)))</f>
        <v/>
      </c>
      <c r="M439" t="str">
        <f>IF(A439="","",参数设置!$B$7)</f>
        <v/>
      </c>
      <c r="N439" t="str">
        <f t="shared" si="20"/>
        <v/>
      </c>
    </row>
    <row r="440" spans="1:14" x14ac:dyDescent="0.25">
      <c r="A440">
        <v>88</v>
      </c>
      <c r="C440" t="s">
        <v>31</v>
      </c>
      <c r="J440" t="str">
        <f t="shared" si="18"/>
        <v/>
      </c>
      <c r="K440" t="str">
        <f t="shared" si="19"/>
        <v/>
      </c>
      <c r="L440" t="str">
        <f>IF(C440&lt;&gt;"ST1","",IF(K440="","",K440*(1+参数设置!$B$6)))</f>
        <v/>
      </c>
      <c r="M440" t="str">
        <f>IF(A440="","",参数设置!$B$7)</f>
        <v/>
      </c>
      <c r="N440" t="str">
        <f t="shared" si="20"/>
        <v/>
      </c>
    </row>
    <row r="441" spans="1:14" x14ac:dyDescent="0.25">
      <c r="A441">
        <v>88</v>
      </c>
      <c r="C441" t="s">
        <v>32</v>
      </c>
      <c r="J441" t="str">
        <f t="shared" si="18"/>
        <v/>
      </c>
      <c r="K441" t="str">
        <f t="shared" si="19"/>
        <v/>
      </c>
      <c r="L441" t="str">
        <f>IF(C441&lt;&gt;"ST1","",IF(K441="","",K441*(1+参数设置!$B$6)))</f>
        <v/>
      </c>
      <c r="M441" t="str">
        <f>IF(A441="","",参数设置!$B$7)</f>
        <v/>
      </c>
      <c r="N441" t="str">
        <f t="shared" si="20"/>
        <v/>
      </c>
    </row>
    <row r="442" spans="1:14" x14ac:dyDescent="0.25">
      <c r="A442">
        <v>88</v>
      </c>
      <c r="C442" t="s">
        <v>33</v>
      </c>
      <c r="J442" t="str">
        <f t="shared" si="18"/>
        <v/>
      </c>
      <c r="K442" t="str">
        <f t="shared" si="19"/>
        <v/>
      </c>
      <c r="L442" t="str">
        <f>IF(C442&lt;&gt;"ST1","",IF(K442="","",K442*(1+参数设置!$B$6)))</f>
        <v/>
      </c>
      <c r="M442" t="str">
        <f>IF(A442="","",参数设置!$B$7)</f>
        <v/>
      </c>
      <c r="N442" t="str">
        <f t="shared" si="20"/>
        <v/>
      </c>
    </row>
    <row r="443" spans="1:14" x14ac:dyDescent="0.25">
      <c r="A443">
        <v>89</v>
      </c>
      <c r="C443" t="s">
        <v>29</v>
      </c>
      <c r="J443" t="str">
        <f t="shared" si="18"/>
        <v/>
      </c>
      <c r="K443">
        <f t="shared" si="19"/>
        <v>0</v>
      </c>
      <c r="L443">
        <f>IF(C443&lt;&gt;"ST1","",IF(K443="","",K443*(1+参数设置!$B$6)))</f>
        <v>0</v>
      </c>
      <c r="M443" t="str">
        <f>IF(A443="","",参数设置!$B$7)</f>
        <v/>
      </c>
      <c r="N443" t="str">
        <f t="shared" si="20"/>
        <v/>
      </c>
    </row>
    <row r="444" spans="1:14" x14ac:dyDescent="0.25">
      <c r="A444">
        <v>89</v>
      </c>
      <c r="C444" t="s">
        <v>30</v>
      </c>
      <c r="J444" t="str">
        <f t="shared" si="18"/>
        <v/>
      </c>
      <c r="K444" t="str">
        <f t="shared" si="19"/>
        <v/>
      </c>
      <c r="L444" t="str">
        <f>IF(C444&lt;&gt;"ST1","",IF(K444="","",K444*(1+参数设置!$B$6)))</f>
        <v/>
      </c>
      <c r="M444" t="str">
        <f>IF(A444="","",参数设置!$B$7)</f>
        <v/>
      </c>
      <c r="N444" t="str">
        <f t="shared" si="20"/>
        <v/>
      </c>
    </row>
    <row r="445" spans="1:14" x14ac:dyDescent="0.25">
      <c r="A445">
        <v>89</v>
      </c>
      <c r="C445" t="s">
        <v>31</v>
      </c>
      <c r="J445" t="str">
        <f t="shared" si="18"/>
        <v/>
      </c>
      <c r="K445" t="str">
        <f t="shared" si="19"/>
        <v/>
      </c>
      <c r="L445" t="str">
        <f>IF(C445&lt;&gt;"ST1","",IF(K445="","",K445*(1+参数设置!$B$6)))</f>
        <v/>
      </c>
      <c r="M445" t="str">
        <f>IF(A445="","",参数设置!$B$7)</f>
        <v/>
      </c>
      <c r="N445" t="str">
        <f t="shared" si="20"/>
        <v/>
      </c>
    </row>
    <row r="446" spans="1:14" x14ac:dyDescent="0.25">
      <c r="A446">
        <v>89</v>
      </c>
      <c r="C446" t="s">
        <v>32</v>
      </c>
      <c r="J446" t="str">
        <f t="shared" si="18"/>
        <v/>
      </c>
      <c r="K446" t="str">
        <f t="shared" si="19"/>
        <v/>
      </c>
      <c r="L446" t="str">
        <f>IF(C446&lt;&gt;"ST1","",IF(K446="","",K446*(1+参数设置!$B$6)))</f>
        <v/>
      </c>
      <c r="M446" t="str">
        <f>IF(A446="","",参数设置!$B$7)</f>
        <v/>
      </c>
      <c r="N446" t="str">
        <f t="shared" si="20"/>
        <v/>
      </c>
    </row>
    <row r="447" spans="1:14" x14ac:dyDescent="0.25">
      <c r="A447">
        <v>89</v>
      </c>
      <c r="C447" t="s">
        <v>33</v>
      </c>
      <c r="J447" t="str">
        <f t="shared" si="18"/>
        <v/>
      </c>
      <c r="K447" t="str">
        <f t="shared" si="19"/>
        <v/>
      </c>
      <c r="L447" t="str">
        <f>IF(C447&lt;&gt;"ST1","",IF(K447="","",K447*(1+参数设置!$B$6)))</f>
        <v/>
      </c>
      <c r="M447" t="str">
        <f>IF(A447="","",参数设置!$B$7)</f>
        <v/>
      </c>
      <c r="N447" t="str">
        <f t="shared" si="20"/>
        <v/>
      </c>
    </row>
    <row r="448" spans="1:14" x14ac:dyDescent="0.25">
      <c r="A448">
        <v>90</v>
      </c>
      <c r="C448" t="s">
        <v>29</v>
      </c>
      <c r="J448" t="str">
        <f t="shared" si="18"/>
        <v/>
      </c>
      <c r="K448">
        <f t="shared" si="19"/>
        <v>0</v>
      </c>
      <c r="L448">
        <f>IF(C448&lt;&gt;"ST1","",IF(K448="","",K448*(1+参数设置!$B$6)))</f>
        <v>0</v>
      </c>
      <c r="M448" t="str">
        <f>IF(A448="","",参数设置!$B$7)</f>
        <v/>
      </c>
      <c r="N448" t="str">
        <f t="shared" si="20"/>
        <v/>
      </c>
    </row>
    <row r="449" spans="1:14" x14ac:dyDescent="0.25">
      <c r="A449">
        <v>90</v>
      </c>
      <c r="C449" t="s">
        <v>30</v>
      </c>
      <c r="J449" t="str">
        <f t="shared" si="18"/>
        <v/>
      </c>
      <c r="K449" t="str">
        <f t="shared" si="19"/>
        <v/>
      </c>
      <c r="L449" t="str">
        <f>IF(C449&lt;&gt;"ST1","",IF(K449="","",K449*(1+参数设置!$B$6)))</f>
        <v/>
      </c>
      <c r="M449" t="str">
        <f>IF(A449="","",参数设置!$B$7)</f>
        <v/>
      </c>
      <c r="N449" t="str">
        <f t="shared" si="20"/>
        <v/>
      </c>
    </row>
    <row r="450" spans="1:14" x14ac:dyDescent="0.25">
      <c r="A450">
        <v>90</v>
      </c>
      <c r="C450" t="s">
        <v>31</v>
      </c>
      <c r="J450" t="str">
        <f t="shared" si="18"/>
        <v/>
      </c>
      <c r="K450" t="str">
        <f t="shared" si="19"/>
        <v/>
      </c>
      <c r="L450" t="str">
        <f>IF(C450&lt;&gt;"ST1","",IF(K450="","",K450*(1+参数设置!$B$6)))</f>
        <v/>
      </c>
      <c r="M450" t="str">
        <f>IF(A450="","",参数设置!$B$7)</f>
        <v/>
      </c>
      <c r="N450" t="str">
        <f t="shared" si="20"/>
        <v/>
      </c>
    </row>
    <row r="451" spans="1:14" x14ac:dyDescent="0.25">
      <c r="A451">
        <v>90</v>
      </c>
      <c r="C451" t="s">
        <v>32</v>
      </c>
      <c r="J451" t="str">
        <f t="shared" ref="J451:J514" si="21">IF(COUNT(E451:I451)=0,"",AVERAGE(E451:I451))</f>
        <v/>
      </c>
      <c r="K451" t="str">
        <f t="shared" ref="K451:K514" si="22">IF(C451&lt;&gt;"ST1","",IF(COUNTIFS($A:$A,A451,$J:$J,"&lt;&gt;")=0,"",SUMIFS($J:$J,$A:$A,A451)))</f>
        <v/>
      </c>
      <c r="L451" t="str">
        <f>IF(C451&lt;&gt;"ST1","",IF(K451="","",K451*(1+参数设置!$B$6)))</f>
        <v/>
      </c>
      <c r="M451" t="str">
        <f>IF(A451="","",参数设置!$B$7)</f>
        <v/>
      </c>
      <c r="N451" t="str">
        <f t="shared" ref="N451:N514" si="23">IF(K451="","",IF(M451="","",IF(K451&gt;M451,"超节拍",IF(K451&gt;=M451*0.9,"接近上限","正常"))))</f>
        <v/>
      </c>
    </row>
    <row r="452" spans="1:14" x14ac:dyDescent="0.25">
      <c r="A452">
        <v>90</v>
      </c>
      <c r="C452" t="s">
        <v>33</v>
      </c>
      <c r="J452" t="str">
        <f t="shared" si="21"/>
        <v/>
      </c>
      <c r="K452" t="str">
        <f t="shared" si="22"/>
        <v/>
      </c>
      <c r="L452" t="str">
        <f>IF(C452&lt;&gt;"ST1","",IF(K452="","",K452*(1+参数设置!$B$6)))</f>
        <v/>
      </c>
      <c r="M452" t="str">
        <f>IF(A452="","",参数设置!$B$7)</f>
        <v/>
      </c>
      <c r="N452" t="str">
        <f t="shared" si="23"/>
        <v/>
      </c>
    </row>
    <row r="453" spans="1:14" x14ac:dyDescent="0.25">
      <c r="A453">
        <v>91</v>
      </c>
      <c r="C453" t="s">
        <v>29</v>
      </c>
      <c r="J453" t="str">
        <f t="shared" si="21"/>
        <v/>
      </c>
      <c r="K453">
        <f t="shared" si="22"/>
        <v>0</v>
      </c>
      <c r="L453">
        <f>IF(C453&lt;&gt;"ST1","",IF(K453="","",K453*(1+参数设置!$B$6)))</f>
        <v>0</v>
      </c>
      <c r="M453" t="str">
        <f>IF(A453="","",参数设置!$B$7)</f>
        <v/>
      </c>
      <c r="N453" t="str">
        <f t="shared" si="23"/>
        <v/>
      </c>
    </row>
    <row r="454" spans="1:14" x14ac:dyDescent="0.25">
      <c r="A454">
        <v>91</v>
      </c>
      <c r="C454" t="s">
        <v>30</v>
      </c>
      <c r="J454" t="str">
        <f t="shared" si="21"/>
        <v/>
      </c>
      <c r="K454" t="str">
        <f t="shared" si="22"/>
        <v/>
      </c>
      <c r="L454" t="str">
        <f>IF(C454&lt;&gt;"ST1","",IF(K454="","",K454*(1+参数设置!$B$6)))</f>
        <v/>
      </c>
      <c r="M454" t="str">
        <f>IF(A454="","",参数设置!$B$7)</f>
        <v/>
      </c>
      <c r="N454" t="str">
        <f t="shared" si="23"/>
        <v/>
      </c>
    </row>
    <row r="455" spans="1:14" x14ac:dyDescent="0.25">
      <c r="A455">
        <v>91</v>
      </c>
      <c r="C455" t="s">
        <v>31</v>
      </c>
      <c r="J455" t="str">
        <f t="shared" si="21"/>
        <v/>
      </c>
      <c r="K455" t="str">
        <f t="shared" si="22"/>
        <v/>
      </c>
      <c r="L455" t="str">
        <f>IF(C455&lt;&gt;"ST1","",IF(K455="","",K455*(1+参数设置!$B$6)))</f>
        <v/>
      </c>
      <c r="M455" t="str">
        <f>IF(A455="","",参数设置!$B$7)</f>
        <v/>
      </c>
      <c r="N455" t="str">
        <f t="shared" si="23"/>
        <v/>
      </c>
    </row>
    <row r="456" spans="1:14" x14ac:dyDescent="0.25">
      <c r="A456">
        <v>91</v>
      </c>
      <c r="C456" t="s">
        <v>32</v>
      </c>
      <c r="J456" t="str">
        <f t="shared" si="21"/>
        <v/>
      </c>
      <c r="K456" t="str">
        <f t="shared" si="22"/>
        <v/>
      </c>
      <c r="L456" t="str">
        <f>IF(C456&lt;&gt;"ST1","",IF(K456="","",K456*(1+参数设置!$B$6)))</f>
        <v/>
      </c>
      <c r="M456" t="str">
        <f>IF(A456="","",参数设置!$B$7)</f>
        <v/>
      </c>
      <c r="N456" t="str">
        <f t="shared" si="23"/>
        <v/>
      </c>
    </row>
    <row r="457" spans="1:14" x14ac:dyDescent="0.25">
      <c r="A457">
        <v>91</v>
      </c>
      <c r="C457" t="s">
        <v>33</v>
      </c>
      <c r="J457" t="str">
        <f t="shared" si="21"/>
        <v/>
      </c>
      <c r="K457" t="str">
        <f t="shared" si="22"/>
        <v/>
      </c>
      <c r="L457" t="str">
        <f>IF(C457&lt;&gt;"ST1","",IF(K457="","",K457*(1+参数设置!$B$6)))</f>
        <v/>
      </c>
      <c r="M457" t="str">
        <f>IF(A457="","",参数设置!$B$7)</f>
        <v/>
      </c>
      <c r="N457" t="str">
        <f t="shared" si="23"/>
        <v/>
      </c>
    </row>
    <row r="458" spans="1:14" x14ac:dyDescent="0.25">
      <c r="A458">
        <v>92</v>
      </c>
      <c r="C458" t="s">
        <v>29</v>
      </c>
      <c r="J458" t="str">
        <f t="shared" si="21"/>
        <v/>
      </c>
      <c r="K458">
        <f t="shared" si="22"/>
        <v>0</v>
      </c>
      <c r="L458">
        <f>IF(C458&lt;&gt;"ST1","",IF(K458="","",K458*(1+参数设置!$B$6)))</f>
        <v>0</v>
      </c>
      <c r="M458" t="str">
        <f>IF(A458="","",参数设置!$B$7)</f>
        <v/>
      </c>
      <c r="N458" t="str">
        <f t="shared" si="23"/>
        <v/>
      </c>
    </row>
    <row r="459" spans="1:14" x14ac:dyDescent="0.25">
      <c r="A459">
        <v>92</v>
      </c>
      <c r="C459" t="s">
        <v>30</v>
      </c>
      <c r="J459" t="str">
        <f t="shared" si="21"/>
        <v/>
      </c>
      <c r="K459" t="str">
        <f t="shared" si="22"/>
        <v/>
      </c>
      <c r="L459" t="str">
        <f>IF(C459&lt;&gt;"ST1","",IF(K459="","",K459*(1+参数设置!$B$6)))</f>
        <v/>
      </c>
      <c r="M459" t="str">
        <f>IF(A459="","",参数设置!$B$7)</f>
        <v/>
      </c>
      <c r="N459" t="str">
        <f t="shared" si="23"/>
        <v/>
      </c>
    </row>
    <row r="460" spans="1:14" x14ac:dyDescent="0.25">
      <c r="A460">
        <v>92</v>
      </c>
      <c r="C460" t="s">
        <v>31</v>
      </c>
      <c r="J460" t="str">
        <f t="shared" si="21"/>
        <v/>
      </c>
      <c r="K460" t="str">
        <f t="shared" si="22"/>
        <v/>
      </c>
      <c r="L460" t="str">
        <f>IF(C460&lt;&gt;"ST1","",IF(K460="","",K460*(1+参数设置!$B$6)))</f>
        <v/>
      </c>
      <c r="M460" t="str">
        <f>IF(A460="","",参数设置!$B$7)</f>
        <v/>
      </c>
      <c r="N460" t="str">
        <f t="shared" si="23"/>
        <v/>
      </c>
    </row>
    <row r="461" spans="1:14" x14ac:dyDescent="0.25">
      <c r="A461">
        <v>92</v>
      </c>
      <c r="C461" t="s">
        <v>32</v>
      </c>
      <c r="J461" t="str">
        <f t="shared" si="21"/>
        <v/>
      </c>
      <c r="K461" t="str">
        <f t="shared" si="22"/>
        <v/>
      </c>
      <c r="L461" t="str">
        <f>IF(C461&lt;&gt;"ST1","",IF(K461="","",K461*(1+参数设置!$B$6)))</f>
        <v/>
      </c>
      <c r="M461" t="str">
        <f>IF(A461="","",参数设置!$B$7)</f>
        <v/>
      </c>
      <c r="N461" t="str">
        <f t="shared" si="23"/>
        <v/>
      </c>
    </row>
    <row r="462" spans="1:14" x14ac:dyDescent="0.25">
      <c r="A462">
        <v>92</v>
      </c>
      <c r="C462" t="s">
        <v>33</v>
      </c>
      <c r="J462" t="str">
        <f t="shared" si="21"/>
        <v/>
      </c>
      <c r="K462" t="str">
        <f t="shared" si="22"/>
        <v/>
      </c>
      <c r="L462" t="str">
        <f>IF(C462&lt;&gt;"ST1","",IF(K462="","",K462*(1+参数设置!$B$6)))</f>
        <v/>
      </c>
      <c r="M462" t="str">
        <f>IF(A462="","",参数设置!$B$7)</f>
        <v/>
      </c>
      <c r="N462" t="str">
        <f t="shared" si="23"/>
        <v/>
      </c>
    </row>
    <row r="463" spans="1:14" x14ac:dyDescent="0.25">
      <c r="A463">
        <v>93</v>
      </c>
      <c r="C463" t="s">
        <v>29</v>
      </c>
      <c r="J463" t="str">
        <f t="shared" si="21"/>
        <v/>
      </c>
      <c r="K463">
        <f t="shared" si="22"/>
        <v>0</v>
      </c>
      <c r="L463">
        <f>IF(C463&lt;&gt;"ST1","",IF(K463="","",K463*(1+参数设置!$B$6)))</f>
        <v>0</v>
      </c>
      <c r="M463" t="str">
        <f>IF(A463="","",参数设置!$B$7)</f>
        <v/>
      </c>
      <c r="N463" t="str">
        <f t="shared" si="23"/>
        <v/>
      </c>
    </row>
    <row r="464" spans="1:14" x14ac:dyDescent="0.25">
      <c r="A464">
        <v>93</v>
      </c>
      <c r="C464" t="s">
        <v>30</v>
      </c>
      <c r="J464" t="str">
        <f t="shared" si="21"/>
        <v/>
      </c>
      <c r="K464" t="str">
        <f t="shared" si="22"/>
        <v/>
      </c>
      <c r="L464" t="str">
        <f>IF(C464&lt;&gt;"ST1","",IF(K464="","",K464*(1+参数设置!$B$6)))</f>
        <v/>
      </c>
      <c r="M464" t="str">
        <f>IF(A464="","",参数设置!$B$7)</f>
        <v/>
      </c>
      <c r="N464" t="str">
        <f t="shared" si="23"/>
        <v/>
      </c>
    </row>
    <row r="465" spans="1:14" x14ac:dyDescent="0.25">
      <c r="A465">
        <v>93</v>
      </c>
      <c r="C465" t="s">
        <v>31</v>
      </c>
      <c r="J465" t="str">
        <f t="shared" si="21"/>
        <v/>
      </c>
      <c r="K465" t="str">
        <f t="shared" si="22"/>
        <v/>
      </c>
      <c r="L465" t="str">
        <f>IF(C465&lt;&gt;"ST1","",IF(K465="","",K465*(1+参数设置!$B$6)))</f>
        <v/>
      </c>
      <c r="M465" t="str">
        <f>IF(A465="","",参数设置!$B$7)</f>
        <v/>
      </c>
      <c r="N465" t="str">
        <f t="shared" si="23"/>
        <v/>
      </c>
    </row>
    <row r="466" spans="1:14" x14ac:dyDescent="0.25">
      <c r="A466">
        <v>93</v>
      </c>
      <c r="C466" t="s">
        <v>32</v>
      </c>
      <c r="J466" t="str">
        <f t="shared" si="21"/>
        <v/>
      </c>
      <c r="K466" t="str">
        <f t="shared" si="22"/>
        <v/>
      </c>
      <c r="L466" t="str">
        <f>IF(C466&lt;&gt;"ST1","",IF(K466="","",K466*(1+参数设置!$B$6)))</f>
        <v/>
      </c>
      <c r="M466" t="str">
        <f>IF(A466="","",参数设置!$B$7)</f>
        <v/>
      </c>
      <c r="N466" t="str">
        <f t="shared" si="23"/>
        <v/>
      </c>
    </row>
    <row r="467" spans="1:14" x14ac:dyDescent="0.25">
      <c r="A467">
        <v>93</v>
      </c>
      <c r="C467" t="s">
        <v>33</v>
      </c>
      <c r="J467" t="str">
        <f t="shared" si="21"/>
        <v/>
      </c>
      <c r="K467" t="str">
        <f t="shared" si="22"/>
        <v/>
      </c>
      <c r="L467" t="str">
        <f>IF(C467&lt;&gt;"ST1","",IF(K467="","",K467*(1+参数设置!$B$6)))</f>
        <v/>
      </c>
      <c r="M467" t="str">
        <f>IF(A467="","",参数设置!$B$7)</f>
        <v/>
      </c>
      <c r="N467" t="str">
        <f t="shared" si="23"/>
        <v/>
      </c>
    </row>
    <row r="468" spans="1:14" x14ac:dyDescent="0.25">
      <c r="A468">
        <v>94</v>
      </c>
      <c r="C468" t="s">
        <v>29</v>
      </c>
      <c r="J468" t="str">
        <f t="shared" si="21"/>
        <v/>
      </c>
      <c r="K468">
        <f t="shared" si="22"/>
        <v>0</v>
      </c>
      <c r="L468">
        <f>IF(C468&lt;&gt;"ST1","",IF(K468="","",K468*(1+参数设置!$B$6)))</f>
        <v>0</v>
      </c>
      <c r="M468" t="str">
        <f>IF(A468="","",参数设置!$B$7)</f>
        <v/>
      </c>
      <c r="N468" t="str">
        <f t="shared" si="23"/>
        <v/>
      </c>
    </row>
    <row r="469" spans="1:14" x14ac:dyDescent="0.25">
      <c r="A469">
        <v>94</v>
      </c>
      <c r="C469" t="s">
        <v>30</v>
      </c>
      <c r="J469" t="str">
        <f t="shared" si="21"/>
        <v/>
      </c>
      <c r="K469" t="str">
        <f t="shared" si="22"/>
        <v/>
      </c>
      <c r="L469" t="str">
        <f>IF(C469&lt;&gt;"ST1","",IF(K469="","",K469*(1+参数设置!$B$6)))</f>
        <v/>
      </c>
      <c r="M469" t="str">
        <f>IF(A469="","",参数设置!$B$7)</f>
        <v/>
      </c>
      <c r="N469" t="str">
        <f t="shared" si="23"/>
        <v/>
      </c>
    </row>
    <row r="470" spans="1:14" x14ac:dyDescent="0.25">
      <c r="A470">
        <v>94</v>
      </c>
      <c r="C470" t="s">
        <v>31</v>
      </c>
      <c r="J470" t="str">
        <f t="shared" si="21"/>
        <v/>
      </c>
      <c r="K470" t="str">
        <f t="shared" si="22"/>
        <v/>
      </c>
      <c r="L470" t="str">
        <f>IF(C470&lt;&gt;"ST1","",IF(K470="","",K470*(1+参数设置!$B$6)))</f>
        <v/>
      </c>
      <c r="M470" t="str">
        <f>IF(A470="","",参数设置!$B$7)</f>
        <v/>
      </c>
      <c r="N470" t="str">
        <f t="shared" si="23"/>
        <v/>
      </c>
    </row>
    <row r="471" spans="1:14" x14ac:dyDescent="0.25">
      <c r="A471">
        <v>94</v>
      </c>
      <c r="C471" t="s">
        <v>32</v>
      </c>
      <c r="J471" t="str">
        <f t="shared" si="21"/>
        <v/>
      </c>
      <c r="K471" t="str">
        <f t="shared" si="22"/>
        <v/>
      </c>
      <c r="L471" t="str">
        <f>IF(C471&lt;&gt;"ST1","",IF(K471="","",K471*(1+参数设置!$B$6)))</f>
        <v/>
      </c>
      <c r="M471" t="str">
        <f>IF(A471="","",参数设置!$B$7)</f>
        <v/>
      </c>
      <c r="N471" t="str">
        <f t="shared" si="23"/>
        <v/>
      </c>
    </row>
    <row r="472" spans="1:14" x14ac:dyDescent="0.25">
      <c r="A472">
        <v>94</v>
      </c>
      <c r="C472" t="s">
        <v>33</v>
      </c>
      <c r="J472" t="str">
        <f t="shared" si="21"/>
        <v/>
      </c>
      <c r="K472" t="str">
        <f t="shared" si="22"/>
        <v/>
      </c>
      <c r="L472" t="str">
        <f>IF(C472&lt;&gt;"ST1","",IF(K472="","",K472*(1+参数设置!$B$6)))</f>
        <v/>
      </c>
      <c r="M472" t="str">
        <f>IF(A472="","",参数设置!$B$7)</f>
        <v/>
      </c>
      <c r="N472" t="str">
        <f t="shared" si="23"/>
        <v/>
      </c>
    </row>
    <row r="473" spans="1:14" x14ac:dyDescent="0.25">
      <c r="A473">
        <v>95</v>
      </c>
      <c r="C473" t="s">
        <v>29</v>
      </c>
      <c r="J473" t="str">
        <f t="shared" si="21"/>
        <v/>
      </c>
      <c r="K473">
        <f t="shared" si="22"/>
        <v>0</v>
      </c>
      <c r="L473">
        <f>IF(C473&lt;&gt;"ST1","",IF(K473="","",K473*(1+参数设置!$B$6)))</f>
        <v>0</v>
      </c>
      <c r="M473" t="str">
        <f>IF(A473="","",参数设置!$B$7)</f>
        <v/>
      </c>
      <c r="N473" t="str">
        <f t="shared" si="23"/>
        <v/>
      </c>
    </row>
    <row r="474" spans="1:14" x14ac:dyDescent="0.25">
      <c r="A474">
        <v>95</v>
      </c>
      <c r="C474" t="s">
        <v>30</v>
      </c>
      <c r="J474" t="str">
        <f t="shared" si="21"/>
        <v/>
      </c>
      <c r="K474" t="str">
        <f t="shared" si="22"/>
        <v/>
      </c>
      <c r="L474" t="str">
        <f>IF(C474&lt;&gt;"ST1","",IF(K474="","",K474*(1+参数设置!$B$6)))</f>
        <v/>
      </c>
      <c r="M474" t="str">
        <f>IF(A474="","",参数设置!$B$7)</f>
        <v/>
      </c>
      <c r="N474" t="str">
        <f t="shared" si="23"/>
        <v/>
      </c>
    </row>
    <row r="475" spans="1:14" x14ac:dyDescent="0.25">
      <c r="A475">
        <v>95</v>
      </c>
      <c r="C475" t="s">
        <v>31</v>
      </c>
      <c r="J475" t="str">
        <f t="shared" si="21"/>
        <v/>
      </c>
      <c r="K475" t="str">
        <f t="shared" si="22"/>
        <v/>
      </c>
      <c r="L475" t="str">
        <f>IF(C475&lt;&gt;"ST1","",IF(K475="","",K475*(1+参数设置!$B$6)))</f>
        <v/>
      </c>
      <c r="M475" t="str">
        <f>IF(A475="","",参数设置!$B$7)</f>
        <v/>
      </c>
      <c r="N475" t="str">
        <f t="shared" si="23"/>
        <v/>
      </c>
    </row>
    <row r="476" spans="1:14" x14ac:dyDescent="0.25">
      <c r="A476">
        <v>95</v>
      </c>
      <c r="C476" t="s">
        <v>32</v>
      </c>
      <c r="J476" t="str">
        <f t="shared" si="21"/>
        <v/>
      </c>
      <c r="K476" t="str">
        <f t="shared" si="22"/>
        <v/>
      </c>
      <c r="L476" t="str">
        <f>IF(C476&lt;&gt;"ST1","",IF(K476="","",K476*(1+参数设置!$B$6)))</f>
        <v/>
      </c>
      <c r="M476" t="str">
        <f>IF(A476="","",参数设置!$B$7)</f>
        <v/>
      </c>
      <c r="N476" t="str">
        <f t="shared" si="23"/>
        <v/>
      </c>
    </row>
    <row r="477" spans="1:14" x14ac:dyDescent="0.25">
      <c r="A477">
        <v>95</v>
      </c>
      <c r="C477" t="s">
        <v>33</v>
      </c>
      <c r="J477" t="str">
        <f t="shared" si="21"/>
        <v/>
      </c>
      <c r="K477" t="str">
        <f t="shared" si="22"/>
        <v/>
      </c>
      <c r="L477" t="str">
        <f>IF(C477&lt;&gt;"ST1","",IF(K477="","",K477*(1+参数设置!$B$6)))</f>
        <v/>
      </c>
      <c r="M477" t="str">
        <f>IF(A477="","",参数设置!$B$7)</f>
        <v/>
      </c>
      <c r="N477" t="str">
        <f t="shared" si="23"/>
        <v/>
      </c>
    </row>
    <row r="478" spans="1:14" x14ac:dyDescent="0.25">
      <c r="A478">
        <v>96</v>
      </c>
      <c r="C478" t="s">
        <v>29</v>
      </c>
      <c r="J478" t="str">
        <f t="shared" si="21"/>
        <v/>
      </c>
      <c r="K478">
        <f t="shared" si="22"/>
        <v>0</v>
      </c>
      <c r="L478">
        <f>IF(C478&lt;&gt;"ST1","",IF(K478="","",K478*(1+参数设置!$B$6)))</f>
        <v>0</v>
      </c>
      <c r="M478" t="str">
        <f>IF(A478="","",参数设置!$B$7)</f>
        <v/>
      </c>
      <c r="N478" t="str">
        <f t="shared" si="23"/>
        <v/>
      </c>
    </row>
    <row r="479" spans="1:14" x14ac:dyDescent="0.25">
      <c r="A479">
        <v>96</v>
      </c>
      <c r="C479" t="s">
        <v>30</v>
      </c>
      <c r="J479" t="str">
        <f t="shared" si="21"/>
        <v/>
      </c>
      <c r="K479" t="str">
        <f t="shared" si="22"/>
        <v/>
      </c>
      <c r="L479" t="str">
        <f>IF(C479&lt;&gt;"ST1","",IF(K479="","",K479*(1+参数设置!$B$6)))</f>
        <v/>
      </c>
      <c r="M479" t="str">
        <f>IF(A479="","",参数设置!$B$7)</f>
        <v/>
      </c>
      <c r="N479" t="str">
        <f t="shared" si="23"/>
        <v/>
      </c>
    </row>
    <row r="480" spans="1:14" x14ac:dyDescent="0.25">
      <c r="A480">
        <v>96</v>
      </c>
      <c r="C480" t="s">
        <v>31</v>
      </c>
      <c r="J480" t="str">
        <f t="shared" si="21"/>
        <v/>
      </c>
      <c r="K480" t="str">
        <f t="shared" si="22"/>
        <v/>
      </c>
      <c r="L480" t="str">
        <f>IF(C480&lt;&gt;"ST1","",IF(K480="","",K480*(1+参数设置!$B$6)))</f>
        <v/>
      </c>
      <c r="M480" t="str">
        <f>IF(A480="","",参数设置!$B$7)</f>
        <v/>
      </c>
      <c r="N480" t="str">
        <f t="shared" si="23"/>
        <v/>
      </c>
    </row>
    <row r="481" spans="1:14" x14ac:dyDescent="0.25">
      <c r="A481">
        <v>96</v>
      </c>
      <c r="C481" t="s">
        <v>32</v>
      </c>
      <c r="J481" t="str">
        <f t="shared" si="21"/>
        <v/>
      </c>
      <c r="K481" t="str">
        <f t="shared" si="22"/>
        <v/>
      </c>
      <c r="L481" t="str">
        <f>IF(C481&lt;&gt;"ST1","",IF(K481="","",K481*(1+参数设置!$B$6)))</f>
        <v/>
      </c>
      <c r="M481" t="str">
        <f>IF(A481="","",参数设置!$B$7)</f>
        <v/>
      </c>
      <c r="N481" t="str">
        <f t="shared" si="23"/>
        <v/>
      </c>
    </row>
    <row r="482" spans="1:14" x14ac:dyDescent="0.25">
      <c r="A482">
        <v>96</v>
      </c>
      <c r="C482" t="s">
        <v>33</v>
      </c>
      <c r="J482" t="str">
        <f t="shared" si="21"/>
        <v/>
      </c>
      <c r="K482" t="str">
        <f t="shared" si="22"/>
        <v/>
      </c>
      <c r="L482" t="str">
        <f>IF(C482&lt;&gt;"ST1","",IF(K482="","",K482*(1+参数设置!$B$6)))</f>
        <v/>
      </c>
      <c r="M482" t="str">
        <f>IF(A482="","",参数设置!$B$7)</f>
        <v/>
      </c>
      <c r="N482" t="str">
        <f t="shared" si="23"/>
        <v/>
      </c>
    </row>
    <row r="483" spans="1:14" x14ac:dyDescent="0.25">
      <c r="A483">
        <v>97</v>
      </c>
      <c r="C483" t="s">
        <v>29</v>
      </c>
      <c r="J483" t="str">
        <f t="shared" si="21"/>
        <v/>
      </c>
      <c r="K483">
        <f t="shared" si="22"/>
        <v>0</v>
      </c>
      <c r="L483">
        <f>IF(C483&lt;&gt;"ST1","",IF(K483="","",K483*(1+参数设置!$B$6)))</f>
        <v>0</v>
      </c>
      <c r="M483" t="str">
        <f>IF(A483="","",参数设置!$B$7)</f>
        <v/>
      </c>
      <c r="N483" t="str">
        <f t="shared" si="23"/>
        <v/>
      </c>
    </row>
    <row r="484" spans="1:14" x14ac:dyDescent="0.25">
      <c r="A484">
        <v>97</v>
      </c>
      <c r="C484" t="s">
        <v>30</v>
      </c>
      <c r="J484" t="str">
        <f t="shared" si="21"/>
        <v/>
      </c>
      <c r="K484" t="str">
        <f t="shared" si="22"/>
        <v/>
      </c>
      <c r="L484" t="str">
        <f>IF(C484&lt;&gt;"ST1","",IF(K484="","",K484*(1+参数设置!$B$6)))</f>
        <v/>
      </c>
      <c r="M484" t="str">
        <f>IF(A484="","",参数设置!$B$7)</f>
        <v/>
      </c>
      <c r="N484" t="str">
        <f t="shared" si="23"/>
        <v/>
      </c>
    </row>
    <row r="485" spans="1:14" x14ac:dyDescent="0.25">
      <c r="A485">
        <v>97</v>
      </c>
      <c r="C485" t="s">
        <v>31</v>
      </c>
      <c r="J485" t="str">
        <f t="shared" si="21"/>
        <v/>
      </c>
      <c r="K485" t="str">
        <f t="shared" si="22"/>
        <v/>
      </c>
      <c r="L485" t="str">
        <f>IF(C485&lt;&gt;"ST1","",IF(K485="","",K485*(1+参数设置!$B$6)))</f>
        <v/>
      </c>
      <c r="M485" t="str">
        <f>IF(A485="","",参数设置!$B$7)</f>
        <v/>
      </c>
      <c r="N485" t="str">
        <f t="shared" si="23"/>
        <v/>
      </c>
    </row>
    <row r="486" spans="1:14" x14ac:dyDescent="0.25">
      <c r="A486">
        <v>97</v>
      </c>
      <c r="C486" t="s">
        <v>32</v>
      </c>
      <c r="J486" t="str">
        <f t="shared" si="21"/>
        <v/>
      </c>
      <c r="K486" t="str">
        <f t="shared" si="22"/>
        <v/>
      </c>
      <c r="L486" t="str">
        <f>IF(C486&lt;&gt;"ST1","",IF(K486="","",K486*(1+参数设置!$B$6)))</f>
        <v/>
      </c>
      <c r="M486" t="str">
        <f>IF(A486="","",参数设置!$B$7)</f>
        <v/>
      </c>
      <c r="N486" t="str">
        <f t="shared" si="23"/>
        <v/>
      </c>
    </row>
    <row r="487" spans="1:14" x14ac:dyDescent="0.25">
      <c r="A487">
        <v>97</v>
      </c>
      <c r="C487" t="s">
        <v>33</v>
      </c>
      <c r="J487" t="str">
        <f t="shared" si="21"/>
        <v/>
      </c>
      <c r="K487" t="str">
        <f t="shared" si="22"/>
        <v/>
      </c>
      <c r="L487" t="str">
        <f>IF(C487&lt;&gt;"ST1","",IF(K487="","",K487*(1+参数设置!$B$6)))</f>
        <v/>
      </c>
      <c r="M487" t="str">
        <f>IF(A487="","",参数设置!$B$7)</f>
        <v/>
      </c>
      <c r="N487" t="str">
        <f t="shared" si="23"/>
        <v/>
      </c>
    </row>
    <row r="488" spans="1:14" x14ac:dyDescent="0.25">
      <c r="A488">
        <v>98</v>
      </c>
      <c r="C488" t="s">
        <v>29</v>
      </c>
      <c r="J488" t="str">
        <f t="shared" si="21"/>
        <v/>
      </c>
      <c r="K488">
        <f t="shared" si="22"/>
        <v>0</v>
      </c>
      <c r="L488">
        <f>IF(C488&lt;&gt;"ST1","",IF(K488="","",K488*(1+参数设置!$B$6)))</f>
        <v>0</v>
      </c>
      <c r="M488" t="str">
        <f>IF(A488="","",参数设置!$B$7)</f>
        <v/>
      </c>
      <c r="N488" t="str">
        <f t="shared" si="23"/>
        <v/>
      </c>
    </row>
    <row r="489" spans="1:14" x14ac:dyDescent="0.25">
      <c r="A489">
        <v>98</v>
      </c>
      <c r="C489" t="s">
        <v>30</v>
      </c>
      <c r="J489" t="str">
        <f t="shared" si="21"/>
        <v/>
      </c>
      <c r="K489" t="str">
        <f t="shared" si="22"/>
        <v/>
      </c>
      <c r="L489" t="str">
        <f>IF(C489&lt;&gt;"ST1","",IF(K489="","",K489*(1+参数设置!$B$6)))</f>
        <v/>
      </c>
      <c r="M489" t="str">
        <f>IF(A489="","",参数设置!$B$7)</f>
        <v/>
      </c>
      <c r="N489" t="str">
        <f t="shared" si="23"/>
        <v/>
      </c>
    </row>
    <row r="490" spans="1:14" x14ac:dyDescent="0.25">
      <c r="A490">
        <v>98</v>
      </c>
      <c r="C490" t="s">
        <v>31</v>
      </c>
      <c r="J490" t="str">
        <f t="shared" si="21"/>
        <v/>
      </c>
      <c r="K490" t="str">
        <f t="shared" si="22"/>
        <v/>
      </c>
      <c r="L490" t="str">
        <f>IF(C490&lt;&gt;"ST1","",IF(K490="","",K490*(1+参数设置!$B$6)))</f>
        <v/>
      </c>
      <c r="M490" t="str">
        <f>IF(A490="","",参数设置!$B$7)</f>
        <v/>
      </c>
      <c r="N490" t="str">
        <f t="shared" si="23"/>
        <v/>
      </c>
    </row>
    <row r="491" spans="1:14" x14ac:dyDescent="0.25">
      <c r="A491">
        <v>98</v>
      </c>
      <c r="C491" t="s">
        <v>32</v>
      </c>
      <c r="J491" t="str">
        <f t="shared" si="21"/>
        <v/>
      </c>
      <c r="K491" t="str">
        <f t="shared" si="22"/>
        <v/>
      </c>
      <c r="L491" t="str">
        <f>IF(C491&lt;&gt;"ST1","",IF(K491="","",K491*(1+参数设置!$B$6)))</f>
        <v/>
      </c>
      <c r="M491" t="str">
        <f>IF(A491="","",参数设置!$B$7)</f>
        <v/>
      </c>
      <c r="N491" t="str">
        <f t="shared" si="23"/>
        <v/>
      </c>
    </row>
    <row r="492" spans="1:14" x14ac:dyDescent="0.25">
      <c r="A492">
        <v>98</v>
      </c>
      <c r="C492" t="s">
        <v>33</v>
      </c>
      <c r="J492" t="str">
        <f t="shared" si="21"/>
        <v/>
      </c>
      <c r="K492" t="str">
        <f t="shared" si="22"/>
        <v/>
      </c>
      <c r="L492" t="str">
        <f>IF(C492&lt;&gt;"ST1","",IF(K492="","",K492*(1+参数设置!$B$6)))</f>
        <v/>
      </c>
      <c r="M492" t="str">
        <f>IF(A492="","",参数设置!$B$7)</f>
        <v/>
      </c>
      <c r="N492" t="str">
        <f t="shared" si="23"/>
        <v/>
      </c>
    </row>
    <row r="493" spans="1:14" x14ac:dyDescent="0.25">
      <c r="A493">
        <v>99</v>
      </c>
      <c r="C493" t="s">
        <v>29</v>
      </c>
      <c r="J493" t="str">
        <f t="shared" si="21"/>
        <v/>
      </c>
      <c r="K493">
        <f t="shared" si="22"/>
        <v>0</v>
      </c>
      <c r="L493">
        <f>IF(C493&lt;&gt;"ST1","",IF(K493="","",K493*(1+参数设置!$B$6)))</f>
        <v>0</v>
      </c>
      <c r="M493" t="str">
        <f>IF(A493="","",参数设置!$B$7)</f>
        <v/>
      </c>
      <c r="N493" t="str">
        <f t="shared" si="23"/>
        <v/>
      </c>
    </row>
    <row r="494" spans="1:14" x14ac:dyDescent="0.25">
      <c r="A494">
        <v>99</v>
      </c>
      <c r="C494" t="s">
        <v>30</v>
      </c>
      <c r="J494" t="str">
        <f t="shared" si="21"/>
        <v/>
      </c>
      <c r="K494" t="str">
        <f t="shared" si="22"/>
        <v/>
      </c>
      <c r="L494" t="str">
        <f>IF(C494&lt;&gt;"ST1","",IF(K494="","",K494*(1+参数设置!$B$6)))</f>
        <v/>
      </c>
      <c r="M494" t="str">
        <f>IF(A494="","",参数设置!$B$7)</f>
        <v/>
      </c>
      <c r="N494" t="str">
        <f t="shared" si="23"/>
        <v/>
      </c>
    </row>
    <row r="495" spans="1:14" x14ac:dyDescent="0.25">
      <c r="A495">
        <v>99</v>
      </c>
      <c r="C495" t="s">
        <v>31</v>
      </c>
      <c r="J495" t="str">
        <f t="shared" si="21"/>
        <v/>
      </c>
      <c r="K495" t="str">
        <f t="shared" si="22"/>
        <v/>
      </c>
      <c r="L495" t="str">
        <f>IF(C495&lt;&gt;"ST1","",IF(K495="","",K495*(1+参数设置!$B$6)))</f>
        <v/>
      </c>
      <c r="M495" t="str">
        <f>IF(A495="","",参数设置!$B$7)</f>
        <v/>
      </c>
      <c r="N495" t="str">
        <f t="shared" si="23"/>
        <v/>
      </c>
    </row>
    <row r="496" spans="1:14" x14ac:dyDescent="0.25">
      <c r="A496">
        <v>99</v>
      </c>
      <c r="C496" t="s">
        <v>32</v>
      </c>
      <c r="J496" t="str">
        <f t="shared" si="21"/>
        <v/>
      </c>
      <c r="K496" t="str">
        <f t="shared" si="22"/>
        <v/>
      </c>
      <c r="L496" t="str">
        <f>IF(C496&lt;&gt;"ST1","",IF(K496="","",K496*(1+参数设置!$B$6)))</f>
        <v/>
      </c>
      <c r="M496" t="str">
        <f>IF(A496="","",参数设置!$B$7)</f>
        <v/>
      </c>
      <c r="N496" t="str">
        <f t="shared" si="23"/>
        <v/>
      </c>
    </row>
    <row r="497" spans="1:14" x14ac:dyDescent="0.25">
      <c r="A497">
        <v>99</v>
      </c>
      <c r="C497" t="s">
        <v>33</v>
      </c>
      <c r="J497" t="str">
        <f t="shared" si="21"/>
        <v/>
      </c>
      <c r="K497" t="str">
        <f t="shared" si="22"/>
        <v/>
      </c>
      <c r="L497" t="str">
        <f>IF(C497&lt;&gt;"ST1","",IF(K497="","",K497*(1+参数设置!$B$6)))</f>
        <v/>
      </c>
      <c r="M497" t="str">
        <f>IF(A497="","",参数设置!$B$7)</f>
        <v/>
      </c>
      <c r="N497" t="str">
        <f t="shared" si="23"/>
        <v/>
      </c>
    </row>
    <row r="498" spans="1:14" x14ac:dyDescent="0.25">
      <c r="A498">
        <v>100</v>
      </c>
      <c r="C498" t="s">
        <v>29</v>
      </c>
      <c r="J498" t="str">
        <f t="shared" si="21"/>
        <v/>
      </c>
      <c r="K498">
        <f t="shared" si="22"/>
        <v>0</v>
      </c>
      <c r="L498">
        <f>IF(C498&lt;&gt;"ST1","",IF(K498="","",K498*(1+参数设置!$B$6)))</f>
        <v>0</v>
      </c>
      <c r="M498" t="str">
        <f>IF(A498="","",参数设置!$B$7)</f>
        <v/>
      </c>
      <c r="N498" t="str">
        <f t="shared" si="23"/>
        <v/>
      </c>
    </row>
    <row r="499" spans="1:14" x14ac:dyDescent="0.25">
      <c r="A499">
        <v>100</v>
      </c>
      <c r="C499" t="s">
        <v>30</v>
      </c>
      <c r="J499" t="str">
        <f t="shared" si="21"/>
        <v/>
      </c>
      <c r="K499" t="str">
        <f t="shared" si="22"/>
        <v/>
      </c>
      <c r="L499" t="str">
        <f>IF(C499&lt;&gt;"ST1","",IF(K499="","",K499*(1+参数设置!$B$6)))</f>
        <v/>
      </c>
      <c r="M499" t="str">
        <f>IF(A499="","",参数设置!$B$7)</f>
        <v/>
      </c>
      <c r="N499" t="str">
        <f t="shared" si="23"/>
        <v/>
      </c>
    </row>
    <row r="500" spans="1:14" x14ac:dyDescent="0.25">
      <c r="A500">
        <v>100</v>
      </c>
      <c r="C500" t="s">
        <v>31</v>
      </c>
      <c r="J500" t="str">
        <f t="shared" si="21"/>
        <v/>
      </c>
      <c r="K500" t="str">
        <f t="shared" si="22"/>
        <v/>
      </c>
      <c r="L500" t="str">
        <f>IF(C500&lt;&gt;"ST1","",IF(K500="","",K500*(1+参数设置!$B$6)))</f>
        <v/>
      </c>
      <c r="M500" t="str">
        <f>IF(A500="","",参数设置!$B$7)</f>
        <v/>
      </c>
      <c r="N500" t="str">
        <f t="shared" si="23"/>
        <v/>
      </c>
    </row>
    <row r="501" spans="1:14" x14ac:dyDescent="0.25">
      <c r="A501">
        <v>100</v>
      </c>
      <c r="C501" t="s">
        <v>32</v>
      </c>
      <c r="J501" t="str">
        <f t="shared" si="21"/>
        <v/>
      </c>
      <c r="K501" t="str">
        <f t="shared" si="22"/>
        <v/>
      </c>
      <c r="L501" t="str">
        <f>IF(C501&lt;&gt;"ST1","",IF(K501="","",K501*(1+参数设置!$B$6)))</f>
        <v/>
      </c>
      <c r="M501" t="str">
        <f>IF(A501="","",参数设置!$B$7)</f>
        <v/>
      </c>
      <c r="N501" t="str">
        <f t="shared" si="23"/>
        <v/>
      </c>
    </row>
    <row r="502" spans="1:14" x14ac:dyDescent="0.25">
      <c r="A502">
        <v>100</v>
      </c>
      <c r="C502" t="s">
        <v>33</v>
      </c>
      <c r="J502" t="str">
        <f t="shared" si="21"/>
        <v/>
      </c>
      <c r="K502" t="str">
        <f t="shared" si="22"/>
        <v/>
      </c>
      <c r="L502" t="str">
        <f>IF(C502&lt;&gt;"ST1","",IF(K502="","",K502*(1+参数设置!$B$6)))</f>
        <v/>
      </c>
      <c r="M502" t="str">
        <f>IF(A502="","",参数设置!$B$7)</f>
        <v/>
      </c>
      <c r="N502" t="str">
        <f t="shared" si="23"/>
        <v/>
      </c>
    </row>
    <row r="503" spans="1:14" x14ac:dyDescent="0.25">
      <c r="A503">
        <v>101</v>
      </c>
      <c r="C503" t="s">
        <v>29</v>
      </c>
      <c r="J503" t="str">
        <f t="shared" si="21"/>
        <v/>
      </c>
      <c r="K503">
        <f t="shared" si="22"/>
        <v>0</v>
      </c>
      <c r="L503">
        <f>IF(C503&lt;&gt;"ST1","",IF(K503="","",K503*(1+参数设置!$B$6)))</f>
        <v>0</v>
      </c>
      <c r="M503" t="str">
        <f>IF(A503="","",参数设置!$B$7)</f>
        <v/>
      </c>
      <c r="N503" t="str">
        <f t="shared" si="23"/>
        <v/>
      </c>
    </row>
    <row r="504" spans="1:14" x14ac:dyDescent="0.25">
      <c r="A504">
        <v>101</v>
      </c>
      <c r="C504" t="s">
        <v>30</v>
      </c>
      <c r="J504" t="str">
        <f t="shared" si="21"/>
        <v/>
      </c>
      <c r="K504" t="str">
        <f t="shared" si="22"/>
        <v/>
      </c>
      <c r="L504" t="str">
        <f>IF(C504&lt;&gt;"ST1","",IF(K504="","",K504*(1+参数设置!$B$6)))</f>
        <v/>
      </c>
      <c r="M504" t="str">
        <f>IF(A504="","",参数设置!$B$7)</f>
        <v/>
      </c>
      <c r="N504" t="str">
        <f t="shared" si="23"/>
        <v/>
      </c>
    </row>
    <row r="505" spans="1:14" x14ac:dyDescent="0.25">
      <c r="A505">
        <v>101</v>
      </c>
      <c r="C505" t="s">
        <v>31</v>
      </c>
      <c r="J505" t="str">
        <f t="shared" si="21"/>
        <v/>
      </c>
      <c r="K505" t="str">
        <f t="shared" si="22"/>
        <v/>
      </c>
      <c r="L505" t="str">
        <f>IF(C505&lt;&gt;"ST1","",IF(K505="","",K505*(1+参数设置!$B$6)))</f>
        <v/>
      </c>
      <c r="M505" t="str">
        <f>IF(A505="","",参数设置!$B$7)</f>
        <v/>
      </c>
      <c r="N505" t="str">
        <f t="shared" si="23"/>
        <v/>
      </c>
    </row>
    <row r="506" spans="1:14" x14ac:dyDescent="0.25">
      <c r="A506">
        <v>101</v>
      </c>
      <c r="C506" t="s">
        <v>32</v>
      </c>
      <c r="J506" t="str">
        <f t="shared" si="21"/>
        <v/>
      </c>
      <c r="K506" t="str">
        <f t="shared" si="22"/>
        <v/>
      </c>
      <c r="L506" t="str">
        <f>IF(C506&lt;&gt;"ST1","",IF(K506="","",K506*(1+参数设置!$B$6)))</f>
        <v/>
      </c>
      <c r="M506" t="str">
        <f>IF(A506="","",参数设置!$B$7)</f>
        <v/>
      </c>
      <c r="N506" t="str">
        <f t="shared" si="23"/>
        <v/>
      </c>
    </row>
    <row r="507" spans="1:14" x14ac:dyDescent="0.25">
      <c r="A507">
        <v>101</v>
      </c>
      <c r="C507" t="s">
        <v>33</v>
      </c>
      <c r="J507" t="str">
        <f t="shared" si="21"/>
        <v/>
      </c>
      <c r="K507" t="str">
        <f t="shared" si="22"/>
        <v/>
      </c>
      <c r="L507" t="str">
        <f>IF(C507&lt;&gt;"ST1","",IF(K507="","",K507*(1+参数设置!$B$6)))</f>
        <v/>
      </c>
      <c r="M507" t="str">
        <f>IF(A507="","",参数设置!$B$7)</f>
        <v/>
      </c>
      <c r="N507" t="str">
        <f t="shared" si="23"/>
        <v/>
      </c>
    </row>
    <row r="508" spans="1:14" x14ac:dyDescent="0.25">
      <c r="A508">
        <v>102</v>
      </c>
      <c r="C508" t="s">
        <v>29</v>
      </c>
      <c r="J508" t="str">
        <f t="shared" si="21"/>
        <v/>
      </c>
      <c r="K508">
        <f t="shared" si="22"/>
        <v>0</v>
      </c>
      <c r="L508">
        <f>IF(C508&lt;&gt;"ST1","",IF(K508="","",K508*(1+参数设置!$B$6)))</f>
        <v>0</v>
      </c>
      <c r="M508" t="str">
        <f>IF(A508="","",参数设置!$B$7)</f>
        <v/>
      </c>
      <c r="N508" t="str">
        <f t="shared" si="23"/>
        <v/>
      </c>
    </row>
    <row r="509" spans="1:14" x14ac:dyDescent="0.25">
      <c r="A509">
        <v>102</v>
      </c>
      <c r="C509" t="s">
        <v>30</v>
      </c>
      <c r="J509" t="str">
        <f t="shared" si="21"/>
        <v/>
      </c>
      <c r="K509" t="str">
        <f t="shared" si="22"/>
        <v/>
      </c>
      <c r="L509" t="str">
        <f>IF(C509&lt;&gt;"ST1","",IF(K509="","",K509*(1+参数设置!$B$6)))</f>
        <v/>
      </c>
      <c r="M509" t="str">
        <f>IF(A509="","",参数设置!$B$7)</f>
        <v/>
      </c>
      <c r="N509" t="str">
        <f t="shared" si="23"/>
        <v/>
      </c>
    </row>
    <row r="510" spans="1:14" x14ac:dyDescent="0.25">
      <c r="A510">
        <v>102</v>
      </c>
      <c r="C510" t="s">
        <v>31</v>
      </c>
      <c r="J510" t="str">
        <f t="shared" si="21"/>
        <v/>
      </c>
      <c r="K510" t="str">
        <f t="shared" si="22"/>
        <v/>
      </c>
      <c r="L510" t="str">
        <f>IF(C510&lt;&gt;"ST1","",IF(K510="","",K510*(1+参数设置!$B$6)))</f>
        <v/>
      </c>
      <c r="M510" t="str">
        <f>IF(A510="","",参数设置!$B$7)</f>
        <v/>
      </c>
      <c r="N510" t="str">
        <f t="shared" si="23"/>
        <v/>
      </c>
    </row>
    <row r="511" spans="1:14" x14ac:dyDescent="0.25">
      <c r="A511">
        <v>102</v>
      </c>
      <c r="C511" t="s">
        <v>32</v>
      </c>
      <c r="J511" t="str">
        <f t="shared" si="21"/>
        <v/>
      </c>
      <c r="K511" t="str">
        <f t="shared" si="22"/>
        <v/>
      </c>
      <c r="L511" t="str">
        <f>IF(C511&lt;&gt;"ST1","",IF(K511="","",K511*(1+参数设置!$B$6)))</f>
        <v/>
      </c>
      <c r="M511" t="str">
        <f>IF(A511="","",参数设置!$B$7)</f>
        <v/>
      </c>
      <c r="N511" t="str">
        <f t="shared" si="23"/>
        <v/>
      </c>
    </row>
    <row r="512" spans="1:14" x14ac:dyDescent="0.25">
      <c r="A512">
        <v>102</v>
      </c>
      <c r="C512" t="s">
        <v>33</v>
      </c>
      <c r="J512" t="str">
        <f t="shared" si="21"/>
        <v/>
      </c>
      <c r="K512" t="str">
        <f t="shared" si="22"/>
        <v/>
      </c>
      <c r="L512" t="str">
        <f>IF(C512&lt;&gt;"ST1","",IF(K512="","",K512*(1+参数设置!$B$6)))</f>
        <v/>
      </c>
      <c r="M512" t="str">
        <f>IF(A512="","",参数设置!$B$7)</f>
        <v/>
      </c>
      <c r="N512" t="str">
        <f t="shared" si="23"/>
        <v/>
      </c>
    </row>
    <row r="513" spans="1:14" x14ac:dyDescent="0.25">
      <c r="A513">
        <v>103</v>
      </c>
      <c r="C513" t="s">
        <v>29</v>
      </c>
      <c r="J513" t="str">
        <f t="shared" si="21"/>
        <v/>
      </c>
      <c r="K513">
        <f t="shared" si="22"/>
        <v>0</v>
      </c>
      <c r="L513">
        <f>IF(C513&lt;&gt;"ST1","",IF(K513="","",K513*(1+参数设置!$B$6)))</f>
        <v>0</v>
      </c>
      <c r="M513" t="str">
        <f>IF(A513="","",参数设置!$B$7)</f>
        <v/>
      </c>
      <c r="N513" t="str">
        <f t="shared" si="23"/>
        <v/>
      </c>
    </row>
    <row r="514" spans="1:14" x14ac:dyDescent="0.25">
      <c r="A514">
        <v>103</v>
      </c>
      <c r="C514" t="s">
        <v>30</v>
      </c>
      <c r="J514" t="str">
        <f t="shared" si="21"/>
        <v/>
      </c>
      <c r="K514" t="str">
        <f t="shared" si="22"/>
        <v/>
      </c>
      <c r="L514" t="str">
        <f>IF(C514&lt;&gt;"ST1","",IF(K514="","",K514*(1+参数设置!$B$6)))</f>
        <v/>
      </c>
      <c r="M514" t="str">
        <f>IF(A514="","",参数设置!$B$7)</f>
        <v/>
      </c>
      <c r="N514" t="str">
        <f t="shared" si="23"/>
        <v/>
      </c>
    </row>
    <row r="515" spans="1:14" x14ac:dyDescent="0.25">
      <c r="A515">
        <v>103</v>
      </c>
      <c r="C515" t="s">
        <v>31</v>
      </c>
      <c r="J515" t="str">
        <f t="shared" ref="J515:J578" si="24">IF(COUNT(E515:I515)=0,"",AVERAGE(E515:I515))</f>
        <v/>
      </c>
      <c r="K515" t="str">
        <f t="shared" ref="K515:K578" si="25">IF(C515&lt;&gt;"ST1","",IF(COUNTIFS($A:$A,A515,$J:$J,"&lt;&gt;")=0,"",SUMIFS($J:$J,$A:$A,A515)))</f>
        <v/>
      </c>
      <c r="L515" t="str">
        <f>IF(C515&lt;&gt;"ST1","",IF(K515="","",K515*(1+参数设置!$B$6)))</f>
        <v/>
      </c>
      <c r="M515" t="str">
        <f>IF(A515="","",参数设置!$B$7)</f>
        <v/>
      </c>
      <c r="N515" t="str">
        <f t="shared" ref="N515:N578" si="26">IF(K515="","",IF(M515="","",IF(K515&gt;M515,"超节拍",IF(K515&gt;=M515*0.9,"接近上限","正常"))))</f>
        <v/>
      </c>
    </row>
    <row r="516" spans="1:14" x14ac:dyDescent="0.25">
      <c r="A516">
        <v>103</v>
      </c>
      <c r="C516" t="s">
        <v>32</v>
      </c>
      <c r="J516" t="str">
        <f t="shared" si="24"/>
        <v/>
      </c>
      <c r="K516" t="str">
        <f t="shared" si="25"/>
        <v/>
      </c>
      <c r="L516" t="str">
        <f>IF(C516&lt;&gt;"ST1","",IF(K516="","",K516*(1+参数设置!$B$6)))</f>
        <v/>
      </c>
      <c r="M516" t="str">
        <f>IF(A516="","",参数设置!$B$7)</f>
        <v/>
      </c>
      <c r="N516" t="str">
        <f t="shared" si="26"/>
        <v/>
      </c>
    </row>
    <row r="517" spans="1:14" x14ac:dyDescent="0.25">
      <c r="A517">
        <v>103</v>
      </c>
      <c r="C517" t="s">
        <v>33</v>
      </c>
      <c r="J517" t="str">
        <f t="shared" si="24"/>
        <v/>
      </c>
      <c r="K517" t="str">
        <f t="shared" si="25"/>
        <v/>
      </c>
      <c r="L517" t="str">
        <f>IF(C517&lt;&gt;"ST1","",IF(K517="","",K517*(1+参数设置!$B$6)))</f>
        <v/>
      </c>
      <c r="M517" t="str">
        <f>IF(A517="","",参数设置!$B$7)</f>
        <v/>
      </c>
      <c r="N517" t="str">
        <f t="shared" si="26"/>
        <v/>
      </c>
    </row>
    <row r="518" spans="1:14" x14ac:dyDescent="0.25">
      <c r="A518">
        <v>104</v>
      </c>
      <c r="C518" t="s">
        <v>29</v>
      </c>
      <c r="J518" t="str">
        <f t="shared" si="24"/>
        <v/>
      </c>
      <c r="K518">
        <f t="shared" si="25"/>
        <v>0</v>
      </c>
      <c r="L518">
        <f>IF(C518&lt;&gt;"ST1","",IF(K518="","",K518*(1+参数设置!$B$6)))</f>
        <v>0</v>
      </c>
      <c r="M518" t="str">
        <f>IF(A518="","",参数设置!$B$7)</f>
        <v/>
      </c>
      <c r="N518" t="str">
        <f t="shared" si="26"/>
        <v/>
      </c>
    </row>
    <row r="519" spans="1:14" x14ac:dyDescent="0.25">
      <c r="A519">
        <v>104</v>
      </c>
      <c r="C519" t="s">
        <v>30</v>
      </c>
      <c r="J519" t="str">
        <f t="shared" si="24"/>
        <v/>
      </c>
      <c r="K519" t="str">
        <f t="shared" si="25"/>
        <v/>
      </c>
      <c r="L519" t="str">
        <f>IF(C519&lt;&gt;"ST1","",IF(K519="","",K519*(1+参数设置!$B$6)))</f>
        <v/>
      </c>
      <c r="M519" t="str">
        <f>IF(A519="","",参数设置!$B$7)</f>
        <v/>
      </c>
      <c r="N519" t="str">
        <f t="shared" si="26"/>
        <v/>
      </c>
    </row>
    <row r="520" spans="1:14" x14ac:dyDescent="0.25">
      <c r="A520">
        <v>104</v>
      </c>
      <c r="C520" t="s">
        <v>31</v>
      </c>
      <c r="J520" t="str">
        <f t="shared" si="24"/>
        <v/>
      </c>
      <c r="K520" t="str">
        <f t="shared" si="25"/>
        <v/>
      </c>
      <c r="L520" t="str">
        <f>IF(C520&lt;&gt;"ST1","",IF(K520="","",K520*(1+参数设置!$B$6)))</f>
        <v/>
      </c>
      <c r="M520" t="str">
        <f>IF(A520="","",参数设置!$B$7)</f>
        <v/>
      </c>
      <c r="N520" t="str">
        <f t="shared" si="26"/>
        <v/>
      </c>
    </row>
    <row r="521" spans="1:14" x14ac:dyDescent="0.25">
      <c r="A521">
        <v>104</v>
      </c>
      <c r="C521" t="s">
        <v>32</v>
      </c>
      <c r="J521" t="str">
        <f t="shared" si="24"/>
        <v/>
      </c>
      <c r="K521" t="str">
        <f t="shared" si="25"/>
        <v/>
      </c>
      <c r="L521" t="str">
        <f>IF(C521&lt;&gt;"ST1","",IF(K521="","",K521*(1+参数设置!$B$6)))</f>
        <v/>
      </c>
      <c r="M521" t="str">
        <f>IF(A521="","",参数设置!$B$7)</f>
        <v/>
      </c>
      <c r="N521" t="str">
        <f t="shared" si="26"/>
        <v/>
      </c>
    </row>
    <row r="522" spans="1:14" x14ac:dyDescent="0.25">
      <c r="A522">
        <v>104</v>
      </c>
      <c r="C522" t="s">
        <v>33</v>
      </c>
      <c r="J522" t="str">
        <f t="shared" si="24"/>
        <v/>
      </c>
      <c r="K522" t="str">
        <f t="shared" si="25"/>
        <v/>
      </c>
      <c r="L522" t="str">
        <f>IF(C522&lt;&gt;"ST1","",IF(K522="","",K522*(1+参数设置!$B$6)))</f>
        <v/>
      </c>
      <c r="M522" t="str">
        <f>IF(A522="","",参数设置!$B$7)</f>
        <v/>
      </c>
      <c r="N522" t="str">
        <f t="shared" si="26"/>
        <v/>
      </c>
    </row>
    <row r="523" spans="1:14" x14ac:dyDescent="0.25">
      <c r="A523">
        <v>105</v>
      </c>
      <c r="C523" t="s">
        <v>29</v>
      </c>
      <c r="J523" t="str">
        <f t="shared" si="24"/>
        <v/>
      </c>
      <c r="K523">
        <f t="shared" si="25"/>
        <v>0</v>
      </c>
      <c r="L523">
        <f>IF(C523&lt;&gt;"ST1","",IF(K523="","",K523*(1+参数设置!$B$6)))</f>
        <v>0</v>
      </c>
      <c r="M523" t="str">
        <f>IF(A523="","",参数设置!$B$7)</f>
        <v/>
      </c>
      <c r="N523" t="str">
        <f t="shared" si="26"/>
        <v/>
      </c>
    </row>
    <row r="524" spans="1:14" x14ac:dyDescent="0.25">
      <c r="A524">
        <v>105</v>
      </c>
      <c r="C524" t="s">
        <v>30</v>
      </c>
      <c r="J524" t="str">
        <f t="shared" si="24"/>
        <v/>
      </c>
      <c r="K524" t="str">
        <f t="shared" si="25"/>
        <v/>
      </c>
      <c r="L524" t="str">
        <f>IF(C524&lt;&gt;"ST1","",IF(K524="","",K524*(1+参数设置!$B$6)))</f>
        <v/>
      </c>
      <c r="M524" t="str">
        <f>IF(A524="","",参数设置!$B$7)</f>
        <v/>
      </c>
      <c r="N524" t="str">
        <f t="shared" si="26"/>
        <v/>
      </c>
    </row>
    <row r="525" spans="1:14" x14ac:dyDescent="0.25">
      <c r="A525">
        <v>105</v>
      </c>
      <c r="C525" t="s">
        <v>31</v>
      </c>
      <c r="J525" t="str">
        <f t="shared" si="24"/>
        <v/>
      </c>
      <c r="K525" t="str">
        <f t="shared" si="25"/>
        <v/>
      </c>
      <c r="L525" t="str">
        <f>IF(C525&lt;&gt;"ST1","",IF(K525="","",K525*(1+参数设置!$B$6)))</f>
        <v/>
      </c>
      <c r="M525" t="str">
        <f>IF(A525="","",参数设置!$B$7)</f>
        <v/>
      </c>
      <c r="N525" t="str">
        <f t="shared" si="26"/>
        <v/>
      </c>
    </row>
    <row r="526" spans="1:14" x14ac:dyDescent="0.25">
      <c r="A526">
        <v>105</v>
      </c>
      <c r="C526" t="s">
        <v>32</v>
      </c>
      <c r="J526" t="str">
        <f t="shared" si="24"/>
        <v/>
      </c>
      <c r="K526" t="str">
        <f t="shared" si="25"/>
        <v/>
      </c>
      <c r="L526" t="str">
        <f>IF(C526&lt;&gt;"ST1","",IF(K526="","",K526*(1+参数设置!$B$6)))</f>
        <v/>
      </c>
      <c r="M526" t="str">
        <f>IF(A526="","",参数设置!$B$7)</f>
        <v/>
      </c>
      <c r="N526" t="str">
        <f t="shared" si="26"/>
        <v/>
      </c>
    </row>
    <row r="527" spans="1:14" x14ac:dyDescent="0.25">
      <c r="A527">
        <v>105</v>
      </c>
      <c r="C527" t="s">
        <v>33</v>
      </c>
      <c r="J527" t="str">
        <f t="shared" si="24"/>
        <v/>
      </c>
      <c r="K527" t="str">
        <f t="shared" si="25"/>
        <v/>
      </c>
      <c r="L527" t="str">
        <f>IF(C527&lt;&gt;"ST1","",IF(K527="","",K527*(1+参数设置!$B$6)))</f>
        <v/>
      </c>
      <c r="M527" t="str">
        <f>IF(A527="","",参数设置!$B$7)</f>
        <v/>
      </c>
      <c r="N527" t="str">
        <f t="shared" si="26"/>
        <v/>
      </c>
    </row>
    <row r="528" spans="1:14" x14ac:dyDescent="0.25">
      <c r="A528">
        <v>106</v>
      </c>
      <c r="C528" t="s">
        <v>29</v>
      </c>
      <c r="J528" t="str">
        <f t="shared" si="24"/>
        <v/>
      </c>
      <c r="K528">
        <f t="shared" si="25"/>
        <v>0</v>
      </c>
      <c r="L528">
        <f>IF(C528&lt;&gt;"ST1","",IF(K528="","",K528*(1+参数设置!$B$6)))</f>
        <v>0</v>
      </c>
      <c r="M528" t="str">
        <f>IF(A528="","",参数设置!$B$7)</f>
        <v/>
      </c>
      <c r="N528" t="str">
        <f t="shared" si="26"/>
        <v/>
      </c>
    </row>
    <row r="529" spans="1:14" x14ac:dyDescent="0.25">
      <c r="A529">
        <v>106</v>
      </c>
      <c r="C529" t="s">
        <v>30</v>
      </c>
      <c r="J529" t="str">
        <f t="shared" si="24"/>
        <v/>
      </c>
      <c r="K529" t="str">
        <f t="shared" si="25"/>
        <v/>
      </c>
      <c r="L529" t="str">
        <f>IF(C529&lt;&gt;"ST1","",IF(K529="","",K529*(1+参数设置!$B$6)))</f>
        <v/>
      </c>
      <c r="M529" t="str">
        <f>IF(A529="","",参数设置!$B$7)</f>
        <v/>
      </c>
      <c r="N529" t="str">
        <f t="shared" si="26"/>
        <v/>
      </c>
    </row>
    <row r="530" spans="1:14" x14ac:dyDescent="0.25">
      <c r="A530">
        <v>106</v>
      </c>
      <c r="C530" t="s">
        <v>31</v>
      </c>
      <c r="J530" t="str">
        <f t="shared" si="24"/>
        <v/>
      </c>
      <c r="K530" t="str">
        <f t="shared" si="25"/>
        <v/>
      </c>
      <c r="L530" t="str">
        <f>IF(C530&lt;&gt;"ST1","",IF(K530="","",K530*(1+参数设置!$B$6)))</f>
        <v/>
      </c>
      <c r="M530" t="str">
        <f>IF(A530="","",参数设置!$B$7)</f>
        <v/>
      </c>
      <c r="N530" t="str">
        <f t="shared" si="26"/>
        <v/>
      </c>
    </row>
    <row r="531" spans="1:14" x14ac:dyDescent="0.25">
      <c r="A531">
        <v>106</v>
      </c>
      <c r="C531" t="s">
        <v>32</v>
      </c>
      <c r="J531" t="str">
        <f t="shared" si="24"/>
        <v/>
      </c>
      <c r="K531" t="str">
        <f t="shared" si="25"/>
        <v/>
      </c>
      <c r="L531" t="str">
        <f>IF(C531&lt;&gt;"ST1","",IF(K531="","",K531*(1+参数设置!$B$6)))</f>
        <v/>
      </c>
      <c r="M531" t="str">
        <f>IF(A531="","",参数设置!$B$7)</f>
        <v/>
      </c>
      <c r="N531" t="str">
        <f t="shared" si="26"/>
        <v/>
      </c>
    </row>
    <row r="532" spans="1:14" x14ac:dyDescent="0.25">
      <c r="A532">
        <v>106</v>
      </c>
      <c r="C532" t="s">
        <v>33</v>
      </c>
      <c r="J532" t="str">
        <f t="shared" si="24"/>
        <v/>
      </c>
      <c r="K532" t="str">
        <f t="shared" si="25"/>
        <v/>
      </c>
      <c r="L532" t="str">
        <f>IF(C532&lt;&gt;"ST1","",IF(K532="","",K532*(1+参数设置!$B$6)))</f>
        <v/>
      </c>
      <c r="M532" t="str">
        <f>IF(A532="","",参数设置!$B$7)</f>
        <v/>
      </c>
      <c r="N532" t="str">
        <f t="shared" si="26"/>
        <v/>
      </c>
    </row>
    <row r="533" spans="1:14" x14ac:dyDescent="0.25">
      <c r="A533">
        <v>107</v>
      </c>
      <c r="C533" t="s">
        <v>29</v>
      </c>
      <c r="J533" t="str">
        <f t="shared" si="24"/>
        <v/>
      </c>
      <c r="K533">
        <f t="shared" si="25"/>
        <v>0</v>
      </c>
      <c r="L533">
        <f>IF(C533&lt;&gt;"ST1","",IF(K533="","",K533*(1+参数设置!$B$6)))</f>
        <v>0</v>
      </c>
      <c r="M533" t="str">
        <f>IF(A533="","",参数设置!$B$7)</f>
        <v/>
      </c>
      <c r="N533" t="str">
        <f t="shared" si="26"/>
        <v/>
      </c>
    </row>
    <row r="534" spans="1:14" x14ac:dyDescent="0.25">
      <c r="A534">
        <v>107</v>
      </c>
      <c r="C534" t="s">
        <v>30</v>
      </c>
      <c r="J534" t="str">
        <f t="shared" si="24"/>
        <v/>
      </c>
      <c r="K534" t="str">
        <f t="shared" si="25"/>
        <v/>
      </c>
      <c r="L534" t="str">
        <f>IF(C534&lt;&gt;"ST1","",IF(K534="","",K534*(1+参数设置!$B$6)))</f>
        <v/>
      </c>
      <c r="M534" t="str">
        <f>IF(A534="","",参数设置!$B$7)</f>
        <v/>
      </c>
      <c r="N534" t="str">
        <f t="shared" si="26"/>
        <v/>
      </c>
    </row>
    <row r="535" spans="1:14" x14ac:dyDescent="0.25">
      <c r="A535">
        <v>107</v>
      </c>
      <c r="C535" t="s">
        <v>31</v>
      </c>
      <c r="J535" t="str">
        <f t="shared" si="24"/>
        <v/>
      </c>
      <c r="K535" t="str">
        <f t="shared" si="25"/>
        <v/>
      </c>
      <c r="L535" t="str">
        <f>IF(C535&lt;&gt;"ST1","",IF(K535="","",K535*(1+参数设置!$B$6)))</f>
        <v/>
      </c>
      <c r="M535" t="str">
        <f>IF(A535="","",参数设置!$B$7)</f>
        <v/>
      </c>
      <c r="N535" t="str">
        <f t="shared" si="26"/>
        <v/>
      </c>
    </row>
    <row r="536" spans="1:14" x14ac:dyDescent="0.25">
      <c r="A536">
        <v>107</v>
      </c>
      <c r="C536" t="s">
        <v>32</v>
      </c>
      <c r="J536" t="str">
        <f t="shared" si="24"/>
        <v/>
      </c>
      <c r="K536" t="str">
        <f t="shared" si="25"/>
        <v/>
      </c>
      <c r="L536" t="str">
        <f>IF(C536&lt;&gt;"ST1","",IF(K536="","",K536*(1+参数设置!$B$6)))</f>
        <v/>
      </c>
      <c r="M536" t="str">
        <f>IF(A536="","",参数设置!$B$7)</f>
        <v/>
      </c>
      <c r="N536" t="str">
        <f t="shared" si="26"/>
        <v/>
      </c>
    </row>
    <row r="537" spans="1:14" x14ac:dyDescent="0.25">
      <c r="A537">
        <v>107</v>
      </c>
      <c r="C537" t="s">
        <v>33</v>
      </c>
      <c r="J537" t="str">
        <f t="shared" si="24"/>
        <v/>
      </c>
      <c r="K537" t="str">
        <f t="shared" si="25"/>
        <v/>
      </c>
      <c r="L537" t="str">
        <f>IF(C537&lt;&gt;"ST1","",IF(K537="","",K537*(1+参数设置!$B$6)))</f>
        <v/>
      </c>
      <c r="M537" t="str">
        <f>IF(A537="","",参数设置!$B$7)</f>
        <v/>
      </c>
      <c r="N537" t="str">
        <f t="shared" si="26"/>
        <v/>
      </c>
    </row>
    <row r="538" spans="1:14" x14ac:dyDescent="0.25">
      <c r="A538">
        <v>108</v>
      </c>
      <c r="C538" t="s">
        <v>29</v>
      </c>
      <c r="J538" t="str">
        <f t="shared" si="24"/>
        <v/>
      </c>
      <c r="K538">
        <f t="shared" si="25"/>
        <v>0</v>
      </c>
      <c r="L538">
        <f>IF(C538&lt;&gt;"ST1","",IF(K538="","",K538*(1+参数设置!$B$6)))</f>
        <v>0</v>
      </c>
      <c r="M538" t="str">
        <f>IF(A538="","",参数设置!$B$7)</f>
        <v/>
      </c>
      <c r="N538" t="str">
        <f t="shared" si="26"/>
        <v/>
      </c>
    </row>
    <row r="539" spans="1:14" x14ac:dyDescent="0.25">
      <c r="A539">
        <v>108</v>
      </c>
      <c r="C539" t="s">
        <v>30</v>
      </c>
      <c r="J539" t="str">
        <f t="shared" si="24"/>
        <v/>
      </c>
      <c r="K539" t="str">
        <f t="shared" si="25"/>
        <v/>
      </c>
      <c r="L539" t="str">
        <f>IF(C539&lt;&gt;"ST1","",IF(K539="","",K539*(1+参数设置!$B$6)))</f>
        <v/>
      </c>
      <c r="M539" t="str">
        <f>IF(A539="","",参数设置!$B$7)</f>
        <v/>
      </c>
      <c r="N539" t="str">
        <f t="shared" si="26"/>
        <v/>
      </c>
    </row>
    <row r="540" spans="1:14" x14ac:dyDescent="0.25">
      <c r="A540">
        <v>108</v>
      </c>
      <c r="C540" t="s">
        <v>31</v>
      </c>
      <c r="J540" t="str">
        <f t="shared" si="24"/>
        <v/>
      </c>
      <c r="K540" t="str">
        <f t="shared" si="25"/>
        <v/>
      </c>
      <c r="L540" t="str">
        <f>IF(C540&lt;&gt;"ST1","",IF(K540="","",K540*(1+参数设置!$B$6)))</f>
        <v/>
      </c>
      <c r="M540" t="str">
        <f>IF(A540="","",参数设置!$B$7)</f>
        <v/>
      </c>
      <c r="N540" t="str">
        <f t="shared" si="26"/>
        <v/>
      </c>
    </row>
    <row r="541" spans="1:14" x14ac:dyDescent="0.25">
      <c r="A541">
        <v>108</v>
      </c>
      <c r="C541" t="s">
        <v>32</v>
      </c>
      <c r="J541" t="str">
        <f t="shared" si="24"/>
        <v/>
      </c>
      <c r="K541" t="str">
        <f t="shared" si="25"/>
        <v/>
      </c>
      <c r="L541" t="str">
        <f>IF(C541&lt;&gt;"ST1","",IF(K541="","",K541*(1+参数设置!$B$6)))</f>
        <v/>
      </c>
      <c r="M541" t="str">
        <f>IF(A541="","",参数设置!$B$7)</f>
        <v/>
      </c>
      <c r="N541" t="str">
        <f t="shared" si="26"/>
        <v/>
      </c>
    </row>
    <row r="542" spans="1:14" x14ac:dyDescent="0.25">
      <c r="A542">
        <v>108</v>
      </c>
      <c r="C542" t="s">
        <v>33</v>
      </c>
      <c r="J542" t="str">
        <f t="shared" si="24"/>
        <v/>
      </c>
      <c r="K542" t="str">
        <f t="shared" si="25"/>
        <v/>
      </c>
      <c r="L542" t="str">
        <f>IF(C542&lt;&gt;"ST1","",IF(K542="","",K542*(1+参数设置!$B$6)))</f>
        <v/>
      </c>
      <c r="M542" t="str">
        <f>IF(A542="","",参数设置!$B$7)</f>
        <v/>
      </c>
      <c r="N542" t="str">
        <f t="shared" si="26"/>
        <v/>
      </c>
    </row>
    <row r="543" spans="1:14" x14ac:dyDescent="0.25">
      <c r="A543">
        <v>109</v>
      </c>
      <c r="C543" t="s">
        <v>29</v>
      </c>
      <c r="J543" t="str">
        <f t="shared" si="24"/>
        <v/>
      </c>
      <c r="K543">
        <f t="shared" si="25"/>
        <v>0</v>
      </c>
      <c r="L543">
        <f>IF(C543&lt;&gt;"ST1","",IF(K543="","",K543*(1+参数设置!$B$6)))</f>
        <v>0</v>
      </c>
      <c r="M543" t="str">
        <f>IF(A543="","",参数设置!$B$7)</f>
        <v/>
      </c>
      <c r="N543" t="str">
        <f t="shared" si="26"/>
        <v/>
      </c>
    </row>
    <row r="544" spans="1:14" x14ac:dyDescent="0.25">
      <c r="A544">
        <v>109</v>
      </c>
      <c r="C544" t="s">
        <v>30</v>
      </c>
      <c r="J544" t="str">
        <f t="shared" si="24"/>
        <v/>
      </c>
      <c r="K544" t="str">
        <f t="shared" si="25"/>
        <v/>
      </c>
      <c r="L544" t="str">
        <f>IF(C544&lt;&gt;"ST1","",IF(K544="","",K544*(1+参数设置!$B$6)))</f>
        <v/>
      </c>
      <c r="M544" t="str">
        <f>IF(A544="","",参数设置!$B$7)</f>
        <v/>
      </c>
      <c r="N544" t="str">
        <f t="shared" si="26"/>
        <v/>
      </c>
    </row>
    <row r="545" spans="1:14" x14ac:dyDescent="0.25">
      <c r="A545">
        <v>109</v>
      </c>
      <c r="C545" t="s">
        <v>31</v>
      </c>
      <c r="J545" t="str">
        <f t="shared" si="24"/>
        <v/>
      </c>
      <c r="K545" t="str">
        <f t="shared" si="25"/>
        <v/>
      </c>
      <c r="L545" t="str">
        <f>IF(C545&lt;&gt;"ST1","",IF(K545="","",K545*(1+参数设置!$B$6)))</f>
        <v/>
      </c>
      <c r="M545" t="str">
        <f>IF(A545="","",参数设置!$B$7)</f>
        <v/>
      </c>
      <c r="N545" t="str">
        <f t="shared" si="26"/>
        <v/>
      </c>
    </row>
    <row r="546" spans="1:14" x14ac:dyDescent="0.25">
      <c r="A546">
        <v>109</v>
      </c>
      <c r="C546" t="s">
        <v>32</v>
      </c>
      <c r="J546" t="str">
        <f t="shared" si="24"/>
        <v/>
      </c>
      <c r="K546" t="str">
        <f t="shared" si="25"/>
        <v/>
      </c>
      <c r="L546" t="str">
        <f>IF(C546&lt;&gt;"ST1","",IF(K546="","",K546*(1+参数设置!$B$6)))</f>
        <v/>
      </c>
      <c r="M546" t="str">
        <f>IF(A546="","",参数设置!$B$7)</f>
        <v/>
      </c>
      <c r="N546" t="str">
        <f t="shared" si="26"/>
        <v/>
      </c>
    </row>
    <row r="547" spans="1:14" x14ac:dyDescent="0.25">
      <c r="A547">
        <v>109</v>
      </c>
      <c r="C547" t="s">
        <v>33</v>
      </c>
      <c r="J547" t="str">
        <f t="shared" si="24"/>
        <v/>
      </c>
      <c r="K547" t="str">
        <f t="shared" si="25"/>
        <v/>
      </c>
      <c r="L547" t="str">
        <f>IF(C547&lt;&gt;"ST1","",IF(K547="","",K547*(1+参数设置!$B$6)))</f>
        <v/>
      </c>
      <c r="M547" t="str">
        <f>IF(A547="","",参数设置!$B$7)</f>
        <v/>
      </c>
      <c r="N547" t="str">
        <f t="shared" si="26"/>
        <v/>
      </c>
    </row>
    <row r="548" spans="1:14" x14ac:dyDescent="0.25">
      <c r="A548">
        <v>110</v>
      </c>
      <c r="C548" t="s">
        <v>29</v>
      </c>
      <c r="J548" t="str">
        <f t="shared" si="24"/>
        <v/>
      </c>
      <c r="K548">
        <f t="shared" si="25"/>
        <v>0</v>
      </c>
      <c r="L548">
        <f>IF(C548&lt;&gt;"ST1","",IF(K548="","",K548*(1+参数设置!$B$6)))</f>
        <v>0</v>
      </c>
      <c r="M548" t="str">
        <f>IF(A548="","",参数设置!$B$7)</f>
        <v/>
      </c>
      <c r="N548" t="str">
        <f t="shared" si="26"/>
        <v/>
      </c>
    </row>
    <row r="549" spans="1:14" x14ac:dyDescent="0.25">
      <c r="A549">
        <v>110</v>
      </c>
      <c r="C549" t="s">
        <v>30</v>
      </c>
      <c r="J549" t="str">
        <f t="shared" si="24"/>
        <v/>
      </c>
      <c r="K549" t="str">
        <f t="shared" si="25"/>
        <v/>
      </c>
      <c r="L549" t="str">
        <f>IF(C549&lt;&gt;"ST1","",IF(K549="","",K549*(1+参数设置!$B$6)))</f>
        <v/>
      </c>
      <c r="M549" t="str">
        <f>IF(A549="","",参数设置!$B$7)</f>
        <v/>
      </c>
      <c r="N549" t="str">
        <f t="shared" si="26"/>
        <v/>
      </c>
    </row>
    <row r="550" spans="1:14" x14ac:dyDescent="0.25">
      <c r="A550">
        <v>110</v>
      </c>
      <c r="C550" t="s">
        <v>31</v>
      </c>
      <c r="J550" t="str">
        <f t="shared" si="24"/>
        <v/>
      </c>
      <c r="K550" t="str">
        <f t="shared" si="25"/>
        <v/>
      </c>
      <c r="L550" t="str">
        <f>IF(C550&lt;&gt;"ST1","",IF(K550="","",K550*(1+参数设置!$B$6)))</f>
        <v/>
      </c>
      <c r="M550" t="str">
        <f>IF(A550="","",参数设置!$B$7)</f>
        <v/>
      </c>
      <c r="N550" t="str">
        <f t="shared" si="26"/>
        <v/>
      </c>
    </row>
    <row r="551" spans="1:14" x14ac:dyDescent="0.25">
      <c r="A551">
        <v>110</v>
      </c>
      <c r="C551" t="s">
        <v>32</v>
      </c>
      <c r="J551" t="str">
        <f t="shared" si="24"/>
        <v/>
      </c>
      <c r="K551" t="str">
        <f t="shared" si="25"/>
        <v/>
      </c>
      <c r="L551" t="str">
        <f>IF(C551&lt;&gt;"ST1","",IF(K551="","",K551*(1+参数设置!$B$6)))</f>
        <v/>
      </c>
      <c r="M551" t="str">
        <f>IF(A551="","",参数设置!$B$7)</f>
        <v/>
      </c>
      <c r="N551" t="str">
        <f t="shared" si="26"/>
        <v/>
      </c>
    </row>
    <row r="552" spans="1:14" x14ac:dyDescent="0.25">
      <c r="A552">
        <v>110</v>
      </c>
      <c r="C552" t="s">
        <v>33</v>
      </c>
      <c r="J552" t="str">
        <f t="shared" si="24"/>
        <v/>
      </c>
      <c r="K552" t="str">
        <f t="shared" si="25"/>
        <v/>
      </c>
      <c r="L552" t="str">
        <f>IF(C552&lt;&gt;"ST1","",IF(K552="","",K552*(1+参数设置!$B$6)))</f>
        <v/>
      </c>
      <c r="M552" t="str">
        <f>IF(A552="","",参数设置!$B$7)</f>
        <v/>
      </c>
      <c r="N552" t="str">
        <f t="shared" si="26"/>
        <v/>
      </c>
    </row>
    <row r="553" spans="1:14" x14ac:dyDescent="0.25">
      <c r="A553">
        <v>111</v>
      </c>
      <c r="C553" t="s">
        <v>29</v>
      </c>
      <c r="J553" t="str">
        <f t="shared" si="24"/>
        <v/>
      </c>
      <c r="K553">
        <f t="shared" si="25"/>
        <v>0</v>
      </c>
      <c r="L553">
        <f>IF(C553&lt;&gt;"ST1","",IF(K553="","",K553*(1+参数设置!$B$6)))</f>
        <v>0</v>
      </c>
      <c r="M553" t="str">
        <f>IF(A553="","",参数设置!$B$7)</f>
        <v/>
      </c>
      <c r="N553" t="str">
        <f t="shared" si="26"/>
        <v/>
      </c>
    </row>
    <row r="554" spans="1:14" x14ac:dyDescent="0.25">
      <c r="A554">
        <v>111</v>
      </c>
      <c r="C554" t="s">
        <v>30</v>
      </c>
      <c r="J554" t="str">
        <f t="shared" si="24"/>
        <v/>
      </c>
      <c r="K554" t="str">
        <f t="shared" si="25"/>
        <v/>
      </c>
      <c r="L554" t="str">
        <f>IF(C554&lt;&gt;"ST1","",IF(K554="","",K554*(1+参数设置!$B$6)))</f>
        <v/>
      </c>
      <c r="M554" t="str">
        <f>IF(A554="","",参数设置!$B$7)</f>
        <v/>
      </c>
      <c r="N554" t="str">
        <f t="shared" si="26"/>
        <v/>
      </c>
    </row>
    <row r="555" spans="1:14" x14ac:dyDescent="0.25">
      <c r="A555">
        <v>111</v>
      </c>
      <c r="C555" t="s">
        <v>31</v>
      </c>
      <c r="J555" t="str">
        <f t="shared" si="24"/>
        <v/>
      </c>
      <c r="K555" t="str">
        <f t="shared" si="25"/>
        <v/>
      </c>
      <c r="L555" t="str">
        <f>IF(C555&lt;&gt;"ST1","",IF(K555="","",K555*(1+参数设置!$B$6)))</f>
        <v/>
      </c>
      <c r="M555" t="str">
        <f>IF(A555="","",参数设置!$B$7)</f>
        <v/>
      </c>
      <c r="N555" t="str">
        <f t="shared" si="26"/>
        <v/>
      </c>
    </row>
    <row r="556" spans="1:14" x14ac:dyDescent="0.25">
      <c r="A556">
        <v>111</v>
      </c>
      <c r="C556" t="s">
        <v>32</v>
      </c>
      <c r="J556" t="str">
        <f t="shared" si="24"/>
        <v/>
      </c>
      <c r="K556" t="str">
        <f t="shared" si="25"/>
        <v/>
      </c>
      <c r="L556" t="str">
        <f>IF(C556&lt;&gt;"ST1","",IF(K556="","",K556*(1+参数设置!$B$6)))</f>
        <v/>
      </c>
      <c r="M556" t="str">
        <f>IF(A556="","",参数设置!$B$7)</f>
        <v/>
      </c>
      <c r="N556" t="str">
        <f t="shared" si="26"/>
        <v/>
      </c>
    </row>
    <row r="557" spans="1:14" x14ac:dyDescent="0.25">
      <c r="A557">
        <v>111</v>
      </c>
      <c r="C557" t="s">
        <v>33</v>
      </c>
      <c r="J557" t="str">
        <f t="shared" si="24"/>
        <v/>
      </c>
      <c r="K557" t="str">
        <f t="shared" si="25"/>
        <v/>
      </c>
      <c r="L557" t="str">
        <f>IF(C557&lt;&gt;"ST1","",IF(K557="","",K557*(1+参数设置!$B$6)))</f>
        <v/>
      </c>
      <c r="M557" t="str">
        <f>IF(A557="","",参数设置!$B$7)</f>
        <v/>
      </c>
      <c r="N557" t="str">
        <f t="shared" si="26"/>
        <v/>
      </c>
    </row>
    <row r="558" spans="1:14" x14ac:dyDescent="0.25">
      <c r="A558">
        <v>112</v>
      </c>
      <c r="C558" t="s">
        <v>29</v>
      </c>
      <c r="J558" t="str">
        <f t="shared" si="24"/>
        <v/>
      </c>
      <c r="K558">
        <f t="shared" si="25"/>
        <v>0</v>
      </c>
      <c r="L558">
        <f>IF(C558&lt;&gt;"ST1","",IF(K558="","",K558*(1+参数设置!$B$6)))</f>
        <v>0</v>
      </c>
      <c r="M558" t="str">
        <f>IF(A558="","",参数设置!$B$7)</f>
        <v/>
      </c>
      <c r="N558" t="str">
        <f t="shared" si="26"/>
        <v/>
      </c>
    </row>
    <row r="559" spans="1:14" x14ac:dyDescent="0.25">
      <c r="A559">
        <v>112</v>
      </c>
      <c r="C559" t="s">
        <v>30</v>
      </c>
      <c r="J559" t="str">
        <f t="shared" si="24"/>
        <v/>
      </c>
      <c r="K559" t="str">
        <f t="shared" si="25"/>
        <v/>
      </c>
      <c r="L559" t="str">
        <f>IF(C559&lt;&gt;"ST1","",IF(K559="","",K559*(1+参数设置!$B$6)))</f>
        <v/>
      </c>
      <c r="M559" t="str">
        <f>IF(A559="","",参数设置!$B$7)</f>
        <v/>
      </c>
      <c r="N559" t="str">
        <f t="shared" si="26"/>
        <v/>
      </c>
    </row>
    <row r="560" spans="1:14" x14ac:dyDescent="0.25">
      <c r="A560">
        <v>112</v>
      </c>
      <c r="C560" t="s">
        <v>31</v>
      </c>
      <c r="J560" t="str">
        <f t="shared" si="24"/>
        <v/>
      </c>
      <c r="K560" t="str">
        <f t="shared" si="25"/>
        <v/>
      </c>
      <c r="L560" t="str">
        <f>IF(C560&lt;&gt;"ST1","",IF(K560="","",K560*(1+参数设置!$B$6)))</f>
        <v/>
      </c>
      <c r="M560" t="str">
        <f>IF(A560="","",参数设置!$B$7)</f>
        <v/>
      </c>
      <c r="N560" t="str">
        <f t="shared" si="26"/>
        <v/>
      </c>
    </row>
    <row r="561" spans="1:14" x14ac:dyDescent="0.25">
      <c r="A561">
        <v>112</v>
      </c>
      <c r="C561" t="s">
        <v>32</v>
      </c>
      <c r="J561" t="str">
        <f t="shared" si="24"/>
        <v/>
      </c>
      <c r="K561" t="str">
        <f t="shared" si="25"/>
        <v/>
      </c>
      <c r="L561" t="str">
        <f>IF(C561&lt;&gt;"ST1","",IF(K561="","",K561*(1+参数设置!$B$6)))</f>
        <v/>
      </c>
      <c r="M561" t="str">
        <f>IF(A561="","",参数设置!$B$7)</f>
        <v/>
      </c>
      <c r="N561" t="str">
        <f t="shared" si="26"/>
        <v/>
      </c>
    </row>
    <row r="562" spans="1:14" x14ac:dyDescent="0.25">
      <c r="A562">
        <v>112</v>
      </c>
      <c r="C562" t="s">
        <v>33</v>
      </c>
      <c r="J562" t="str">
        <f t="shared" si="24"/>
        <v/>
      </c>
      <c r="K562" t="str">
        <f t="shared" si="25"/>
        <v/>
      </c>
      <c r="L562" t="str">
        <f>IF(C562&lt;&gt;"ST1","",IF(K562="","",K562*(1+参数设置!$B$6)))</f>
        <v/>
      </c>
      <c r="M562" t="str">
        <f>IF(A562="","",参数设置!$B$7)</f>
        <v/>
      </c>
      <c r="N562" t="str">
        <f t="shared" si="26"/>
        <v/>
      </c>
    </row>
    <row r="563" spans="1:14" x14ac:dyDescent="0.25">
      <c r="A563">
        <v>113</v>
      </c>
      <c r="C563" t="s">
        <v>29</v>
      </c>
      <c r="J563" t="str">
        <f t="shared" si="24"/>
        <v/>
      </c>
      <c r="K563">
        <f t="shared" si="25"/>
        <v>0</v>
      </c>
      <c r="L563">
        <f>IF(C563&lt;&gt;"ST1","",IF(K563="","",K563*(1+参数设置!$B$6)))</f>
        <v>0</v>
      </c>
      <c r="M563" t="str">
        <f>IF(A563="","",参数设置!$B$7)</f>
        <v/>
      </c>
      <c r="N563" t="str">
        <f t="shared" si="26"/>
        <v/>
      </c>
    </row>
    <row r="564" spans="1:14" x14ac:dyDescent="0.25">
      <c r="A564">
        <v>113</v>
      </c>
      <c r="C564" t="s">
        <v>30</v>
      </c>
      <c r="J564" t="str">
        <f t="shared" si="24"/>
        <v/>
      </c>
      <c r="K564" t="str">
        <f t="shared" si="25"/>
        <v/>
      </c>
      <c r="L564" t="str">
        <f>IF(C564&lt;&gt;"ST1","",IF(K564="","",K564*(1+参数设置!$B$6)))</f>
        <v/>
      </c>
      <c r="M564" t="str">
        <f>IF(A564="","",参数设置!$B$7)</f>
        <v/>
      </c>
      <c r="N564" t="str">
        <f t="shared" si="26"/>
        <v/>
      </c>
    </row>
    <row r="565" spans="1:14" x14ac:dyDescent="0.25">
      <c r="A565">
        <v>113</v>
      </c>
      <c r="C565" t="s">
        <v>31</v>
      </c>
      <c r="J565" t="str">
        <f t="shared" si="24"/>
        <v/>
      </c>
      <c r="K565" t="str">
        <f t="shared" si="25"/>
        <v/>
      </c>
      <c r="L565" t="str">
        <f>IF(C565&lt;&gt;"ST1","",IF(K565="","",K565*(1+参数设置!$B$6)))</f>
        <v/>
      </c>
      <c r="M565" t="str">
        <f>IF(A565="","",参数设置!$B$7)</f>
        <v/>
      </c>
      <c r="N565" t="str">
        <f t="shared" si="26"/>
        <v/>
      </c>
    </row>
    <row r="566" spans="1:14" x14ac:dyDescent="0.25">
      <c r="A566">
        <v>113</v>
      </c>
      <c r="C566" t="s">
        <v>32</v>
      </c>
      <c r="J566" t="str">
        <f t="shared" si="24"/>
        <v/>
      </c>
      <c r="K566" t="str">
        <f t="shared" si="25"/>
        <v/>
      </c>
      <c r="L566" t="str">
        <f>IF(C566&lt;&gt;"ST1","",IF(K566="","",K566*(1+参数设置!$B$6)))</f>
        <v/>
      </c>
      <c r="M566" t="str">
        <f>IF(A566="","",参数设置!$B$7)</f>
        <v/>
      </c>
      <c r="N566" t="str">
        <f t="shared" si="26"/>
        <v/>
      </c>
    </row>
    <row r="567" spans="1:14" x14ac:dyDescent="0.25">
      <c r="A567">
        <v>113</v>
      </c>
      <c r="C567" t="s">
        <v>33</v>
      </c>
      <c r="J567" t="str">
        <f t="shared" si="24"/>
        <v/>
      </c>
      <c r="K567" t="str">
        <f t="shared" si="25"/>
        <v/>
      </c>
      <c r="L567" t="str">
        <f>IF(C567&lt;&gt;"ST1","",IF(K567="","",K567*(1+参数设置!$B$6)))</f>
        <v/>
      </c>
      <c r="M567" t="str">
        <f>IF(A567="","",参数设置!$B$7)</f>
        <v/>
      </c>
      <c r="N567" t="str">
        <f t="shared" si="26"/>
        <v/>
      </c>
    </row>
    <row r="568" spans="1:14" x14ac:dyDescent="0.25">
      <c r="A568">
        <v>114</v>
      </c>
      <c r="C568" t="s">
        <v>29</v>
      </c>
      <c r="J568" t="str">
        <f t="shared" si="24"/>
        <v/>
      </c>
      <c r="K568">
        <f t="shared" si="25"/>
        <v>0</v>
      </c>
      <c r="L568">
        <f>IF(C568&lt;&gt;"ST1","",IF(K568="","",K568*(1+参数设置!$B$6)))</f>
        <v>0</v>
      </c>
      <c r="M568" t="str">
        <f>IF(A568="","",参数设置!$B$7)</f>
        <v/>
      </c>
      <c r="N568" t="str">
        <f t="shared" si="26"/>
        <v/>
      </c>
    </row>
    <row r="569" spans="1:14" x14ac:dyDescent="0.25">
      <c r="A569">
        <v>114</v>
      </c>
      <c r="C569" t="s">
        <v>30</v>
      </c>
      <c r="J569" t="str">
        <f t="shared" si="24"/>
        <v/>
      </c>
      <c r="K569" t="str">
        <f t="shared" si="25"/>
        <v/>
      </c>
      <c r="L569" t="str">
        <f>IF(C569&lt;&gt;"ST1","",IF(K569="","",K569*(1+参数设置!$B$6)))</f>
        <v/>
      </c>
      <c r="M569" t="str">
        <f>IF(A569="","",参数设置!$B$7)</f>
        <v/>
      </c>
      <c r="N569" t="str">
        <f t="shared" si="26"/>
        <v/>
      </c>
    </row>
    <row r="570" spans="1:14" x14ac:dyDescent="0.25">
      <c r="A570">
        <v>114</v>
      </c>
      <c r="C570" t="s">
        <v>31</v>
      </c>
      <c r="J570" t="str">
        <f t="shared" si="24"/>
        <v/>
      </c>
      <c r="K570" t="str">
        <f t="shared" si="25"/>
        <v/>
      </c>
      <c r="L570" t="str">
        <f>IF(C570&lt;&gt;"ST1","",IF(K570="","",K570*(1+参数设置!$B$6)))</f>
        <v/>
      </c>
      <c r="M570" t="str">
        <f>IF(A570="","",参数设置!$B$7)</f>
        <v/>
      </c>
      <c r="N570" t="str">
        <f t="shared" si="26"/>
        <v/>
      </c>
    </row>
    <row r="571" spans="1:14" x14ac:dyDescent="0.25">
      <c r="A571">
        <v>114</v>
      </c>
      <c r="C571" t="s">
        <v>32</v>
      </c>
      <c r="J571" t="str">
        <f t="shared" si="24"/>
        <v/>
      </c>
      <c r="K571" t="str">
        <f t="shared" si="25"/>
        <v/>
      </c>
      <c r="L571" t="str">
        <f>IF(C571&lt;&gt;"ST1","",IF(K571="","",K571*(1+参数设置!$B$6)))</f>
        <v/>
      </c>
      <c r="M571" t="str">
        <f>IF(A571="","",参数设置!$B$7)</f>
        <v/>
      </c>
      <c r="N571" t="str">
        <f t="shared" si="26"/>
        <v/>
      </c>
    </row>
    <row r="572" spans="1:14" x14ac:dyDescent="0.25">
      <c r="A572">
        <v>114</v>
      </c>
      <c r="C572" t="s">
        <v>33</v>
      </c>
      <c r="J572" t="str">
        <f t="shared" si="24"/>
        <v/>
      </c>
      <c r="K572" t="str">
        <f t="shared" si="25"/>
        <v/>
      </c>
      <c r="L572" t="str">
        <f>IF(C572&lt;&gt;"ST1","",IF(K572="","",K572*(1+参数设置!$B$6)))</f>
        <v/>
      </c>
      <c r="M572" t="str">
        <f>IF(A572="","",参数设置!$B$7)</f>
        <v/>
      </c>
      <c r="N572" t="str">
        <f t="shared" si="26"/>
        <v/>
      </c>
    </row>
    <row r="573" spans="1:14" x14ac:dyDescent="0.25">
      <c r="A573">
        <v>115</v>
      </c>
      <c r="C573" t="s">
        <v>29</v>
      </c>
      <c r="J573" t="str">
        <f t="shared" si="24"/>
        <v/>
      </c>
      <c r="K573">
        <f t="shared" si="25"/>
        <v>0</v>
      </c>
      <c r="L573">
        <f>IF(C573&lt;&gt;"ST1","",IF(K573="","",K573*(1+参数设置!$B$6)))</f>
        <v>0</v>
      </c>
      <c r="M573" t="str">
        <f>IF(A573="","",参数设置!$B$7)</f>
        <v/>
      </c>
      <c r="N573" t="str">
        <f t="shared" si="26"/>
        <v/>
      </c>
    </row>
    <row r="574" spans="1:14" x14ac:dyDescent="0.25">
      <c r="A574">
        <v>115</v>
      </c>
      <c r="C574" t="s">
        <v>30</v>
      </c>
      <c r="J574" t="str">
        <f t="shared" si="24"/>
        <v/>
      </c>
      <c r="K574" t="str">
        <f t="shared" si="25"/>
        <v/>
      </c>
      <c r="L574" t="str">
        <f>IF(C574&lt;&gt;"ST1","",IF(K574="","",K574*(1+参数设置!$B$6)))</f>
        <v/>
      </c>
      <c r="M574" t="str">
        <f>IF(A574="","",参数设置!$B$7)</f>
        <v/>
      </c>
      <c r="N574" t="str">
        <f t="shared" si="26"/>
        <v/>
      </c>
    </row>
    <row r="575" spans="1:14" x14ac:dyDescent="0.25">
      <c r="A575">
        <v>115</v>
      </c>
      <c r="C575" t="s">
        <v>31</v>
      </c>
      <c r="J575" t="str">
        <f t="shared" si="24"/>
        <v/>
      </c>
      <c r="K575" t="str">
        <f t="shared" si="25"/>
        <v/>
      </c>
      <c r="L575" t="str">
        <f>IF(C575&lt;&gt;"ST1","",IF(K575="","",K575*(1+参数设置!$B$6)))</f>
        <v/>
      </c>
      <c r="M575" t="str">
        <f>IF(A575="","",参数设置!$B$7)</f>
        <v/>
      </c>
      <c r="N575" t="str">
        <f t="shared" si="26"/>
        <v/>
      </c>
    </row>
    <row r="576" spans="1:14" x14ac:dyDescent="0.25">
      <c r="A576">
        <v>115</v>
      </c>
      <c r="C576" t="s">
        <v>32</v>
      </c>
      <c r="J576" t="str">
        <f t="shared" si="24"/>
        <v/>
      </c>
      <c r="K576" t="str">
        <f t="shared" si="25"/>
        <v/>
      </c>
      <c r="L576" t="str">
        <f>IF(C576&lt;&gt;"ST1","",IF(K576="","",K576*(1+参数设置!$B$6)))</f>
        <v/>
      </c>
      <c r="M576" t="str">
        <f>IF(A576="","",参数设置!$B$7)</f>
        <v/>
      </c>
      <c r="N576" t="str">
        <f t="shared" si="26"/>
        <v/>
      </c>
    </row>
    <row r="577" spans="1:14" x14ac:dyDescent="0.25">
      <c r="A577">
        <v>115</v>
      </c>
      <c r="C577" t="s">
        <v>33</v>
      </c>
      <c r="J577" t="str">
        <f t="shared" si="24"/>
        <v/>
      </c>
      <c r="K577" t="str">
        <f t="shared" si="25"/>
        <v/>
      </c>
      <c r="L577" t="str">
        <f>IF(C577&lt;&gt;"ST1","",IF(K577="","",K577*(1+参数设置!$B$6)))</f>
        <v/>
      </c>
      <c r="M577" t="str">
        <f>IF(A577="","",参数设置!$B$7)</f>
        <v/>
      </c>
      <c r="N577" t="str">
        <f t="shared" si="26"/>
        <v/>
      </c>
    </row>
    <row r="578" spans="1:14" x14ac:dyDescent="0.25">
      <c r="A578">
        <v>116</v>
      </c>
      <c r="C578" t="s">
        <v>29</v>
      </c>
      <c r="J578" t="str">
        <f t="shared" si="24"/>
        <v/>
      </c>
      <c r="K578">
        <f t="shared" si="25"/>
        <v>0</v>
      </c>
      <c r="L578">
        <f>IF(C578&lt;&gt;"ST1","",IF(K578="","",K578*(1+参数设置!$B$6)))</f>
        <v>0</v>
      </c>
      <c r="M578" t="str">
        <f>IF(A578="","",参数设置!$B$7)</f>
        <v/>
      </c>
      <c r="N578" t="str">
        <f t="shared" si="26"/>
        <v/>
      </c>
    </row>
    <row r="579" spans="1:14" x14ac:dyDescent="0.25">
      <c r="A579">
        <v>116</v>
      </c>
      <c r="C579" t="s">
        <v>30</v>
      </c>
      <c r="J579" t="str">
        <f t="shared" ref="J579:J642" si="27">IF(COUNT(E579:I579)=0,"",AVERAGE(E579:I579))</f>
        <v/>
      </c>
      <c r="K579" t="str">
        <f t="shared" ref="K579:K642" si="28">IF(C579&lt;&gt;"ST1","",IF(COUNTIFS($A:$A,A579,$J:$J,"&lt;&gt;")=0,"",SUMIFS($J:$J,$A:$A,A579)))</f>
        <v/>
      </c>
      <c r="L579" t="str">
        <f>IF(C579&lt;&gt;"ST1","",IF(K579="","",K579*(1+参数设置!$B$6)))</f>
        <v/>
      </c>
      <c r="M579" t="str">
        <f>IF(A579="","",参数设置!$B$7)</f>
        <v/>
      </c>
      <c r="N579" t="str">
        <f t="shared" ref="N579:N642" si="29">IF(K579="","",IF(M579="","",IF(K579&gt;M579,"超节拍",IF(K579&gt;=M579*0.9,"接近上限","正常"))))</f>
        <v/>
      </c>
    </row>
    <row r="580" spans="1:14" x14ac:dyDescent="0.25">
      <c r="A580">
        <v>116</v>
      </c>
      <c r="C580" t="s">
        <v>31</v>
      </c>
      <c r="J580" t="str">
        <f t="shared" si="27"/>
        <v/>
      </c>
      <c r="K580" t="str">
        <f t="shared" si="28"/>
        <v/>
      </c>
      <c r="L580" t="str">
        <f>IF(C580&lt;&gt;"ST1","",IF(K580="","",K580*(1+参数设置!$B$6)))</f>
        <v/>
      </c>
      <c r="M580" t="str">
        <f>IF(A580="","",参数设置!$B$7)</f>
        <v/>
      </c>
      <c r="N580" t="str">
        <f t="shared" si="29"/>
        <v/>
      </c>
    </row>
    <row r="581" spans="1:14" x14ac:dyDescent="0.25">
      <c r="A581">
        <v>116</v>
      </c>
      <c r="C581" t="s">
        <v>32</v>
      </c>
      <c r="J581" t="str">
        <f t="shared" si="27"/>
        <v/>
      </c>
      <c r="K581" t="str">
        <f t="shared" si="28"/>
        <v/>
      </c>
      <c r="L581" t="str">
        <f>IF(C581&lt;&gt;"ST1","",IF(K581="","",K581*(1+参数设置!$B$6)))</f>
        <v/>
      </c>
      <c r="M581" t="str">
        <f>IF(A581="","",参数设置!$B$7)</f>
        <v/>
      </c>
      <c r="N581" t="str">
        <f t="shared" si="29"/>
        <v/>
      </c>
    </row>
    <row r="582" spans="1:14" x14ac:dyDescent="0.25">
      <c r="A582">
        <v>116</v>
      </c>
      <c r="C582" t="s">
        <v>33</v>
      </c>
      <c r="J582" t="str">
        <f t="shared" si="27"/>
        <v/>
      </c>
      <c r="K582" t="str">
        <f t="shared" si="28"/>
        <v/>
      </c>
      <c r="L582" t="str">
        <f>IF(C582&lt;&gt;"ST1","",IF(K582="","",K582*(1+参数设置!$B$6)))</f>
        <v/>
      </c>
      <c r="M582" t="str">
        <f>IF(A582="","",参数设置!$B$7)</f>
        <v/>
      </c>
      <c r="N582" t="str">
        <f t="shared" si="29"/>
        <v/>
      </c>
    </row>
    <row r="583" spans="1:14" x14ac:dyDescent="0.25">
      <c r="A583">
        <v>117</v>
      </c>
      <c r="C583" t="s">
        <v>29</v>
      </c>
      <c r="J583" t="str">
        <f t="shared" si="27"/>
        <v/>
      </c>
      <c r="K583">
        <f t="shared" si="28"/>
        <v>0</v>
      </c>
      <c r="L583">
        <f>IF(C583&lt;&gt;"ST1","",IF(K583="","",K583*(1+参数设置!$B$6)))</f>
        <v>0</v>
      </c>
      <c r="M583" t="str">
        <f>IF(A583="","",参数设置!$B$7)</f>
        <v/>
      </c>
      <c r="N583" t="str">
        <f t="shared" si="29"/>
        <v/>
      </c>
    </row>
    <row r="584" spans="1:14" x14ac:dyDescent="0.25">
      <c r="A584">
        <v>117</v>
      </c>
      <c r="C584" t="s">
        <v>30</v>
      </c>
      <c r="J584" t="str">
        <f t="shared" si="27"/>
        <v/>
      </c>
      <c r="K584" t="str">
        <f t="shared" si="28"/>
        <v/>
      </c>
      <c r="L584" t="str">
        <f>IF(C584&lt;&gt;"ST1","",IF(K584="","",K584*(1+参数设置!$B$6)))</f>
        <v/>
      </c>
      <c r="M584" t="str">
        <f>IF(A584="","",参数设置!$B$7)</f>
        <v/>
      </c>
      <c r="N584" t="str">
        <f t="shared" si="29"/>
        <v/>
      </c>
    </row>
    <row r="585" spans="1:14" x14ac:dyDescent="0.25">
      <c r="A585">
        <v>117</v>
      </c>
      <c r="C585" t="s">
        <v>31</v>
      </c>
      <c r="J585" t="str">
        <f t="shared" si="27"/>
        <v/>
      </c>
      <c r="K585" t="str">
        <f t="shared" si="28"/>
        <v/>
      </c>
      <c r="L585" t="str">
        <f>IF(C585&lt;&gt;"ST1","",IF(K585="","",K585*(1+参数设置!$B$6)))</f>
        <v/>
      </c>
      <c r="M585" t="str">
        <f>IF(A585="","",参数设置!$B$7)</f>
        <v/>
      </c>
      <c r="N585" t="str">
        <f t="shared" si="29"/>
        <v/>
      </c>
    </row>
    <row r="586" spans="1:14" x14ac:dyDescent="0.25">
      <c r="A586">
        <v>117</v>
      </c>
      <c r="C586" t="s">
        <v>32</v>
      </c>
      <c r="J586" t="str">
        <f t="shared" si="27"/>
        <v/>
      </c>
      <c r="K586" t="str">
        <f t="shared" si="28"/>
        <v/>
      </c>
      <c r="L586" t="str">
        <f>IF(C586&lt;&gt;"ST1","",IF(K586="","",K586*(1+参数设置!$B$6)))</f>
        <v/>
      </c>
      <c r="M586" t="str">
        <f>IF(A586="","",参数设置!$B$7)</f>
        <v/>
      </c>
      <c r="N586" t="str">
        <f t="shared" si="29"/>
        <v/>
      </c>
    </row>
    <row r="587" spans="1:14" x14ac:dyDescent="0.25">
      <c r="A587">
        <v>117</v>
      </c>
      <c r="C587" t="s">
        <v>33</v>
      </c>
      <c r="J587" t="str">
        <f t="shared" si="27"/>
        <v/>
      </c>
      <c r="K587" t="str">
        <f t="shared" si="28"/>
        <v/>
      </c>
      <c r="L587" t="str">
        <f>IF(C587&lt;&gt;"ST1","",IF(K587="","",K587*(1+参数设置!$B$6)))</f>
        <v/>
      </c>
      <c r="M587" t="str">
        <f>IF(A587="","",参数设置!$B$7)</f>
        <v/>
      </c>
      <c r="N587" t="str">
        <f t="shared" si="29"/>
        <v/>
      </c>
    </row>
    <row r="588" spans="1:14" x14ac:dyDescent="0.25">
      <c r="A588">
        <v>118</v>
      </c>
      <c r="C588" t="s">
        <v>29</v>
      </c>
      <c r="J588" t="str">
        <f t="shared" si="27"/>
        <v/>
      </c>
      <c r="K588">
        <f t="shared" si="28"/>
        <v>0</v>
      </c>
      <c r="L588">
        <f>IF(C588&lt;&gt;"ST1","",IF(K588="","",K588*(1+参数设置!$B$6)))</f>
        <v>0</v>
      </c>
      <c r="M588" t="str">
        <f>IF(A588="","",参数设置!$B$7)</f>
        <v/>
      </c>
      <c r="N588" t="str">
        <f t="shared" si="29"/>
        <v/>
      </c>
    </row>
    <row r="589" spans="1:14" x14ac:dyDescent="0.25">
      <c r="A589">
        <v>118</v>
      </c>
      <c r="C589" t="s">
        <v>30</v>
      </c>
      <c r="J589" t="str">
        <f t="shared" si="27"/>
        <v/>
      </c>
      <c r="K589" t="str">
        <f t="shared" si="28"/>
        <v/>
      </c>
      <c r="L589" t="str">
        <f>IF(C589&lt;&gt;"ST1","",IF(K589="","",K589*(1+参数设置!$B$6)))</f>
        <v/>
      </c>
      <c r="M589" t="str">
        <f>IF(A589="","",参数设置!$B$7)</f>
        <v/>
      </c>
      <c r="N589" t="str">
        <f t="shared" si="29"/>
        <v/>
      </c>
    </row>
    <row r="590" spans="1:14" x14ac:dyDescent="0.25">
      <c r="A590">
        <v>118</v>
      </c>
      <c r="C590" t="s">
        <v>31</v>
      </c>
      <c r="J590" t="str">
        <f t="shared" si="27"/>
        <v/>
      </c>
      <c r="K590" t="str">
        <f t="shared" si="28"/>
        <v/>
      </c>
      <c r="L590" t="str">
        <f>IF(C590&lt;&gt;"ST1","",IF(K590="","",K590*(1+参数设置!$B$6)))</f>
        <v/>
      </c>
      <c r="M590" t="str">
        <f>IF(A590="","",参数设置!$B$7)</f>
        <v/>
      </c>
      <c r="N590" t="str">
        <f t="shared" si="29"/>
        <v/>
      </c>
    </row>
    <row r="591" spans="1:14" x14ac:dyDescent="0.25">
      <c r="A591">
        <v>118</v>
      </c>
      <c r="C591" t="s">
        <v>32</v>
      </c>
      <c r="J591" t="str">
        <f t="shared" si="27"/>
        <v/>
      </c>
      <c r="K591" t="str">
        <f t="shared" si="28"/>
        <v/>
      </c>
      <c r="L591" t="str">
        <f>IF(C591&lt;&gt;"ST1","",IF(K591="","",K591*(1+参数设置!$B$6)))</f>
        <v/>
      </c>
      <c r="M591" t="str">
        <f>IF(A591="","",参数设置!$B$7)</f>
        <v/>
      </c>
      <c r="N591" t="str">
        <f t="shared" si="29"/>
        <v/>
      </c>
    </row>
    <row r="592" spans="1:14" x14ac:dyDescent="0.25">
      <c r="A592">
        <v>118</v>
      </c>
      <c r="C592" t="s">
        <v>33</v>
      </c>
      <c r="J592" t="str">
        <f t="shared" si="27"/>
        <v/>
      </c>
      <c r="K592" t="str">
        <f t="shared" si="28"/>
        <v/>
      </c>
      <c r="L592" t="str">
        <f>IF(C592&lt;&gt;"ST1","",IF(K592="","",K592*(1+参数设置!$B$6)))</f>
        <v/>
      </c>
      <c r="M592" t="str">
        <f>IF(A592="","",参数设置!$B$7)</f>
        <v/>
      </c>
      <c r="N592" t="str">
        <f t="shared" si="29"/>
        <v/>
      </c>
    </row>
    <row r="593" spans="1:14" x14ac:dyDescent="0.25">
      <c r="A593">
        <v>119</v>
      </c>
      <c r="C593" t="s">
        <v>29</v>
      </c>
      <c r="J593" t="str">
        <f t="shared" si="27"/>
        <v/>
      </c>
      <c r="K593">
        <f t="shared" si="28"/>
        <v>0</v>
      </c>
      <c r="L593">
        <f>IF(C593&lt;&gt;"ST1","",IF(K593="","",K593*(1+参数设置!$B$6)))</f>
        <v>0</v>
      </c>
      <c r="M593" t="str">
        <f>IF(A593="","",参数设置!$B$7)</f>
        <v/>
      </c>
      <c r="N593" t="str">
        <f t="shared" si="29"/>
        <v/>
      </c>
    </row>
    <row r="594" spans="1:14" x14ac:dyDescent="0.25">
      <c r="A594">
        <v>119</v>
      </c>
      <c r="C594" t="s">
        <v>30</v>
      </c>
      <c r="J594" t="str">
        <f t="shared" si="27"/>
        <v/>
      </c>
      <c r="K594" t="str">
        <f t="shared" si="28"/>
        <v/>
      </c>
      <c r="L594" t="str">
        <f>IF(C594&lt;&gt;"ST1","",IF(K594="","",K594*(1+参数设置!$B$6)))</f>
        <v/>
      </c>
      <c r="M594" t="str">
        <f>IF(A594="","",参数设置!$B$7)</f>
        <v/>
      </c>
      <c r="N594" t="str">
        <f t="shared" si="29"/>
        <v/>
      </c>
    </row>
    <row r="595" spans="1:14" x14ac:dyDescent="0.25">
      <c r="A595">
        <v>119</v>
      </c>
      <c r="C595" t="s">
        <v>31</v>
      </c>
      <c r="J595" t="str">
        <f t="shared" si="27"/>
        <v/>
      </c>
      <c r="K595" t="str">
        <f t="shared" si="28"/>
        <v/>
      </c>
      <c r="L595" t="str">
        <f>IF(C595&lt;&gt;"ST1","",IF(K595="","",K595*(1+参数设置!$B$6)))</f>
        <v/>
      </c>
      <c r="M595" t="str">
        <f>IF(A595="","",参数设置!$B$7)</f>
        <v/>
      </c>
      <c r="N595" t="str">
        <f t="shared" si="29"/>
        <v/>
      </c>
    </row>
    <row r="596" spans="1:14" x14ac:dyDescent="0.25">
      <c r="A596">
        <v>119</v>
      </c>
      <c r="C596" t="s">
        <v>32</v>
      </c>
      <c r="J596" t="str">
        <f t="shared" si="27"/>
        <v/>
      </c>
      <c r="K596" t="str">
        <f t="shared" si="28"/>
        <v/>
      </c>
      <c r="L596" t="str">
        <f>IF(C596&lt;&gt;"ST1","",IF(K596="","",K596*(1+参数设置!$B$6)))</f>
        <v/>
      </c>
      <c r="M596" t="str">
        <f>IF(A596="","",参数设置!$B$7)</f>
        <v/>
      </c>
      <c r="N596" t="str">
        <f t="shared" si="29"/>
        <v/>
      </c>
    </row>
    <row r="597" spans="1:14" x14ac:dyDescent="0.25">
      <c r="A597">
        <v>119</v>
      </c>
      <c r="C597" t="s">
        <v>33</v>
      </c>
      <c r="J597" t="str">
        <f t="shared" si="27"/>
        <v/>
      </c>
      <c r="K597" t="str">
        <f t="shared" si="28"/>
        <v/>
      </c>
      <c r="L597" t="str">
        <f>IF(C597&lt;&gt;"ST1","",IF(K597="","",K597*(1+参数设置!$B$6)))</f>
        <v/>
      </c>
      <c r="M597" t="str">
        <f>IF(A597="","",参数设置!$B$7)</f>
        <v/>
      </c>
      <c r="N597" t="str">
        <f t="shared" si="29"/>
        <v/>
      </c>
    </row>
    <row r="598" spans="1:14" x14ac:dyDescent="0.25">
      <c r="A598">
        <v>120</v>
      </c>
      <c r="C598" t="s">
        <v>29</v>
      </c>
      <c r="J598" t="str">
        <f t="shared" si="27"/>
        <v/>
      </c>
      <c r="K598">
        <f t="shared" si="28"/>
        <v>0</v>
      </c>
      <c r="L598">
        <f>IF(C598&lt;&gt;"ST1","",IF(K598="","",K598*(1+参数设置!$B$6)))</f>
        <v>0</v>
      </c>
      <c r="M598" t="str">
        <f>IF(A598="","",参数设置!$B$7)</f>
        <v/>
      </c>
      <c r="N598" t="str">
        <f t="shared" si="29"/>
        <v/>
      </c>
    </row>
    <row r="599" spans="1:14" x14ac:dyDescent="0.25">
      <c r="A599">
        <v>120</v>
      </c>
      <c r="C599" t="s">
        <v>30</v>
      </c>
      <c r="J599" t="str">
        <f t="shared" si="27"/>
        <v/>
      </c>
      <c r="K599" t="str">
        <f t="shared" si="28"/>
        <v/>
      </c>
      <c r="L599" t="str">
        <f>IF(C599&lt;&gt;"ST1","",IF(K599="","",K599*(1+参数设置!$B$6)))</f>
        <v/>
      </c>
      <c r="M599" t="str">
        <f>IF(A599="","",参数设置!$B$7)</f>
        <v/>
      </c>
      <c r="N599" t="str">
        <f t="shared" si="29"/>
        <v/>
      </c>
    </row>
    <row r="600" spans="1:14" x14ac:dyDescent="0.25">
      <c r="A600">
        <v>120</v>
      </c>
      <c r="C600" t="s">
        <v>31</v>
      </c>
      <c r="J600" t="str">
        <f t="shared" si="27"/>
        <v/>
      </c>
      <c r="K600" t="str">
        <f t="shared" si="28"/>
        <v/>
      </c>
      <c r="L600" t="str">
        <f>IF(C600&lt;&gt;"ST1","",IF(K600="","",K600*(1+参数设置!$B$6)))</f>
        <v/>
      </c>
      <c r="M600" t="str">
        <f>IF(A600="","",参数设置!$B$7)</f>
        <v/>
      </c>
      <c r="N600" t="str">
        <f t="shared" si="29"/>
        <v/>
      </c>
    </row>
    <row r="601" spans="1:14" x14ac:dyDescent="0.25">
      <c r="A601">
        <v>120</v>
      </c>
      <c r="C601" t="s">
        <v>32</v>
      </c>
      <c r="J601" t="str">
        <f t="shared" si="27"/>
        <v/>
      </c>
      <c r="K601" t="str">
        <f t="shared" si="28"/>
        <v/>
      </c>
      <c r="L601" t="str">
        <f>IF(C601&lt;&gt;"ST1","",IF(K601="","",K601*(1+参数设置!$B$6)))</f>
        <v/>
      </c>
      <c r="M601" t="str">
        <f>IF(A601="","",参数设置!$B$7)</f>
        <v/>
      </c>
      <c r="N601" t="str">
        <f t="shared" si="29"/>
        <v/>
      </c>
    </row>
    <row r="602" spans="1:14" x14ac:dyDescent="0.25">
      <c r="A602">
        <v>120</v>
      </c>
      <c r="C602" t="s">
        <v>33</v>
      </c>
      <c r="J602" t="str">
        <f t="shared" si="27"/>
        <v/>
      </c>
      <c r="K602" t="str">
        <f t="shared" si="28"/>
        <v/>
      </c>
      <c r="L602" t="str">
        <f>IF(C602&lt;&gt;"ST1","",IF(K602="","",K602*(1+参数设置!$B$6)))</f>
        <v/>
      </c>
      <c r="M602" t="str">
        <f>IF(A602="","",参数设置!$B$7)</f>
        <v/>
      </c>
      <c r="N602" t="str">
        <f t="shared" si="29"/>
        <v/>
      </c>
    </row>
    <row r="603" spans="1:14" x14ac:dyDescent="0.25">
      <c r="A603">
        <v>121</v>
      </c>
      <c r="C603" t="s">
        <v>29</v>
      </c>
      <c r="J603" t="str">
        <f t="shared" si="27"/>
        <v/>
      </c>
      <c r="K603">
        <f t="shared" si="28"/>
        <v>0</v>
      </c>
      <c r="L603">
        <f>IF(C603&lt;&gt;"ST1","",IF(K603="","",K603*(1+参数设置!$B$6)))</f>
        <v>0</v>
      </c>
      <c r="M603" t="str">
        <f>IF(A603="","",参数设置!$B$7)</f>
        <v/>
      </c>
      <c r="N603" t="str">
        <f t="shared" si="29"/>
        <v/>
      </c>
    </row>
    <row r="604" spans="1:14" x14ac:dyDescent="0.25">
      <c r="A604">
        <v>121</v>
      </c>
      <c r="C604" t="s">
        <v>30</v>
      </c>
      <c r="J604" t="str">
        <f t="shared" si="27"/>
        <v/>
      </c>
      <c r="K604" t="str">
        <f t="shared" si="28"/>
        <v/>
      </c>
      <c r="L604" t="str">
        <f>IF(C604&lt;&gt;"ST1","",IF(K604="","",K604*(1+参数设置!$B$6)))</f>
        <v/>
      </c>
      <c r="M604" t="str">
        <f>IF(A604="","",参数设置!$B$7)</f>
        <v/>
      </c>
      <c r="N604" t="str">
        <f t="shared" si="29"/>
        <v/>
      </c>
    </row>
    <row r="605" spans="1:14" x14ac:dyDescent="0.25">
      <c r="A605">
        <v>121</v>
      </c>
      <c r="C605" t="s">
        <v>31</v>
      </c>
      <c r="J605" t="str">
        <f t="shared" si="27"/>
        <v/>
      </c>
      <c r="K605" t="str">
        <f t="shared" si="28"/>
        <v/>
      </c>
      <c r="L605" t="str">
        <f>IF(C605&lt;&gt;"ST1","",IF(K605="","",K605*(1+参数设置!$B$6)))</f>
        <v/>
      </c>
      <c r="M605" t="str">
        <f>IF(A605="","",参数设置!$B$7)</f>
        <v/>
      </c>
      <c r="N605" t="str">
        <f t="shared" si="29"/>
        <v/>
      </c>
    </row>
    <row r="606" spans="1:14" x14ac:dyDescent="0.25">
      <c r="A606">
        <v>121</v>
      </c>
      <c r="C606" t="s">
        <v>32</v>
      </c>
      <c r="J606" t="str">
        <f t="shared" si="27"/>
        <v/>
      </c>
      <c r="K606" t="str">
        <f t="shared" si="28"/>
        <v/>
      </c>
      <c r="L606" t="str">
        <f>IF(C606&lt;&gt;"ST1","",IF(K606="","",K606*(1+参数设置!$B$6)))</f>
        <v/>
      </c>
      <c r="M606" t="str">
        <f>IF(A606="","",参数设置!$B$7)</f>
        <v/>
      </c>
      <c r="N606" t="str">
        <f t="shared" si="29"/>
        <v/>
      </c>
    </row>
    <row r="607" spans="1:14" x14ac:dyDescent="0.25">
      <c r="A607">
        <v>121</v>
      </c>
      <c r="C607" t="s">
        <v>33</v>
      </c>
      <c r="J607" t="str">
        <f t="shared" si="27"/>
        <v/>
      </c>
      <c r="K607" t="str">
        <f t="shared" si="28"/>
        <v/>
      </c>
      <c r="L607" t="str">
        <f>IF(C607&lt;&gt;"ST1","",IF(K607="","",K607*(1+参数设置!$B$6)))</f>
        <v/>
      </c>
      <c r="M607" t="str">
        <f>IF(A607="","",参数设置!$B$7)</f>
        <v/>
      </c>
      <c r="N607" t="str">
        <f t="shared" si="29"/>
        <v/>
      </c>
    </row>
    <row r="608" spans="1:14" x14ac:dyDescent="0.25">
      <c r="A608">
        <v>122</v>
      </c>
      <c r="C608" t="s">
        <v>29</v>
      </c>
      <c r="J608" t="str">
        <f t="shared" si="27"/>
        <v/>
      </c>
      <c r="K608">
        <f t="shared" si="28"/>
        <v>0</v>
      </c>
      <c r="L608">
        <f>IF(C608&lt;&gt;"ST1","",IF(K608="","",K608*(1+参数设置!$B$6)))</f>
        <v>0</v>
      </c>
      <c r="M608" t="str">
        <f>IF(A608="","",参数设置!$B$7)</f>
        <v/>
      </c>
      <c r="N608" t="str">
        <f t="shared" si="29"/>
        <v/>
      </c>
    </row>
    <row r="609" spans="1:14" x14ac:dyDescent="0.25">
      <c r="A609">
        <v>122</v>
      </c>
      <c r="C609" t="s">
        <v>30</v>
      </c>
      <c r="J609" t="str">
        <f t="shared" si="27"/>
        <v/>
      </c>
      <c r="K609" t="str">
        <f t="shared" si="28"/>
        <v/>
      </c>
      <c r="L609" t="str">
        <f>IF(C609&lt;&gt;"ST1","",IF(K609="","",K609*(1+参数设置!$B$6)))</f>
        <v/>
      </c>
      <c r="M609" t="str">
        <f>IF(A609="","",参数设置!$B$7)</f>
        <v/>
      </c>
      <c r="N609" t="str">
        <f t="shared" si="29"/>
        <v/>
      </c>
    </row>
    <row r="610" spans="1:14" x14ac:dyDescent="0.25">
      <c r="A610">
        <v>122</v>
      </c>
      <c r="C610" t="s">
        <v>31</v>
      </c>
      <c r="J610" t="str">
        <f t="shared" si="27"/>
        <v/>
      </c>
      <c r="K610" t="str">
        <f t="shared" si="28"/>
        <v/>
      </c>
      <c r="L610" t="str">
        <f>IF(C610&lt;&gt;"ST1","",IF(K610="","",K610*(1+参数设置!$B$6)))</f>
        <v/>
      </c>
      <c r="M610" t="str">
        <f>IF(A610="","",参数设置!$B$7)</f>
        <v/>
      </c>
      <c r="N610" t="str">
        <f t="shared" si="29"/>
        <v/>
      </c>
    </row>
    <row r="611" spans="1:14" x14ac:dyDescent="0.25">
      <c r="A611">
        <v>122</v>
      </c>
      <c r="C611" t="s">
        <v>32</v>
      </c>
      <c r="J611" t="str">
        <f t="shared" si="27"/>
        <v/>
      </c>
      <c r="K611" t="str">
        <f t="shared" si="28"/>
        <v/>
      </c>
      <c r="L611" t="str">
        <f>IF(C611&lt;&gt;"ST1","",IF(K611="","",K611*(1+参数设置!$B$6)))</f>
        <v/>
      </c>
      <c r="M611" t="str">
        <f>IF(A611="","",参数设置!$B$7)</f>
        <v/>
      </c>
      <c r="N611" t="str">
        <f t="shared" si="29"/>
        <v/>
      </c>
    </row>
    <row r="612" spans="1:14" x14ac:dyDescent="0.25">
      <c r="A612">
        <v>122</v>
      </c>
      <c r="C612" t="s">
        <v>33</v>
      </c>
      <c r="J612" t="str">
        <f t="shared" si="27"/>
        <v/>
      </c>
      <c r="K612" t="str">
        <f t="shared" si="28"/>
        <v/>
      </c>
      <c r="L612" t="str">
        <f>IF(C612&lt;&gt;"ST1","",IF(K612="","",K612*(1+参数设置!$B$6)))</f>
        <v/>
      </c>
      <c r="M612" t="str">
        <f>IF(A612="","",参数设置!$B$7)</f>
        <v/>
      </c>
      <c r="N612" t="str">
        <f t="shared" si="29"/>
        <v/>
      </c>
    </row>
    <row r="613" spans="1:14" x14ac:dyDescent="0.25">
      <c r="A613">
        <v>123</v>
      </c>
      <c r="C613" t="s">
        <v>29</v>
      </c>
      <c r="J613" t="str">
        <f t="shared" si="27"/>
        <v/>
      </c>
      <c r="K613">
        <f t="shared" si="28"/>
        <v>0</v>
      </c>
      <c r="L613">
        <f>IF(C613&lt;&gt;"ST1","",IF(K613="","",K613*(1+参数设置!$B$6)))</f>
        <v>0</v>
      </c>
      <c r="M613" t="str">
        <f>IF(A613="","",参数设置!$B$7)</f>
        <v/>
      </c>
      <c r="N613" t="str">
        <f t="shared" si="29"/>
        <v/>
      </c>
    </row>
    <row r="614" spans="1:14" x14ac:dyDescent="0.25">
      <c r="A614">
        <v>123</v>
      </c>
      <c r="C614" t="s">
        <v>30</v>
      </c>
      <c r="J614" t="str">
        <f t="shared" si="27"/>
        <v/>
      </c>
      <c r="K614" t="str">
        <f t="shared" si="28"/>
        <v/>
      </c>
      <c r="L614" t="str">
        <f>IF(C614&lt;&gt;"ST1","",IF(K614="","",K614*(1+参数设置!$B$6)))</f>
        <v/>
      </c>
      <c r="M614" t="str">
        <f>IF(A614="","",参数设置!$B$7)</f>
        <v/>
      </c>
      <c r="N614" t="str">
        <f t="shared" si="29"/>
        <v/>
      </c>
    </row>
    <row r="615" spans="1:14" x14ac:dyDescent="0.25">
      <c r="A615">
        <v>123</v>
      </c>
      <c r="C615" t="s">
        <v>31</v>
      </c>
      <c r="J615" t="str">
        <f t="shared" si="27"/>
        <v/>
      </c>
      <c r="K615" t="str">
        <f t="shared" si="28"/>
        <v/>
      </c>
      <c r="L615" t="str">
        <f>IF(C615&lt;&gt;"ST1","",IF(K615="","",K615*(1+参数设置!$B$6)))</f>
        <v/>
      </c>
      <c r="M615" t="str">
        <f>IF(A615="","",参数设置!$B$7)</f>
        <v/>
      </c>
      <c r="N615" t="str">
        <f t="shared" si="29"/>
        <v/>
      </c>
    </row>
    <row r="616" spans="1:14" x14ac:dyDescent="0.25">
      <c r="A616">
        <v>123</v>
      </c>
      <c r="C616" t="s">
        <v>32</v>
      </c>
      <c r="J616" t="str">
        <f t="shared" si="27"/>
        <v/>
      </c>
      <c r="K616" t="str">
        <f t="shared" si="28"/>
        <v/>
      </c>
      <c r="L616" t="str">
        <f>IF(C616&lt;&gt;"ST1","",IF(K616="","",K616*(1+参数设置!$B$6)))</f>
        <v/>
      </c>
      <c r="M616" t="str">
        <f>IF(A616="","",参数设置!$B$7)</f>
        <v/>
      </c>
      <c r="N616" t="str">
        <f t="shared" si="29"/>
        <v/>
      </c>
    </row>
    <row r="617" spans="1:14" x14ac:dyDescent="0.25">
      <c r="A617">
        <v>123</v>
      </c>
      <c r="C617" t="s">
        <v>33</v>
      </c>
      <c r="J617" t="str">
        <f t="shared" si="27"/>
        <v/>
      </c>
      <c r="K617" t="str">
        <f t="shared" si="28"/>
        <v/>
      </c>
      <c r="L617" t="str">
        <f>IF(C617&lt;&gt;"ST1","",IF(K617="","",K617*(1+参数设置!$B$6)))</f>
        <v/>
      </c>
      <c r="M617" t="str">
        <f>IF(A617="","",参数设置!$B$7)</f>
        <v/>
      </c>
      <c r="N617" t="str">
        <f t="shared" si="29"/>
        <v/>
      </c>
    </row>
    <row r="618" spans="1:14" x14ac:dyDescent="0.25">
      <c r="A618">
        <v>124</v>
      </c>
      <c r="C618" t="s">
        <v>29</v>
      </c>
      <c r="J618" t="str">
        <f t="shared" si="27"/>
        <v/>
      </c>
      <c r="K618">
        <f t="shared" si="28"/>
        <v>0</v>
      </c>
      <c r="L618">
        <f>IF(C618&lt;&gt;"ST1","",IF(K618="","",K618*(1+参数设置!$B$6)))</f>
        <v>0</v>
      </c>
      <c r="M618" t="str">
        <f>IF(A618="","",参数设置!$B$7)</f>
        <v/>
      </c>
      <c r="N618" t="str">
        <f t="shared" si="29"/>
        <v/>
      </c>
    </row>
    <row r="619" spans="1:14" x14ac:dyDescent="0.25">
      <c r="A619">
        <v>124</v>
      </c>
      <c r="C619" t="s">
        <v>30</v>
      </c>
      <c r="J619" t="str">
        <f t="shared" si="27"/>
        <v/>
      </c>
      <c r="K619" t="str">
        <f t="shared" si="28"/>
        <v/>
      </c>
      <c r="L619" t="str">
        <f>IF(C619&lt;&gt;"ST1","",IF(K619="","",K619*(1+参数设置!$B$6)))</f>
        <v/>
      </c>
      <c r="M619" t="str">
        <f>IF(A619="","",参数设置!$B$7)</f>
        <v/>
      </c>
      <c r="N619" t="str">
        <f t="shared" si="29"/>
        <v/>
      </c>
    </row>
    <row r="620" spans="1:14" x14ac:dyDescent="0.25">
      <c r="A620">
        <v>124</v>
      </c>
      <c r="C620" t="s">
        <v>31</v>
      </c>
      <c r="J620" t="str">
        <f t="shared" si="27"/>
        <v/>
      </c>
      <c r="K620" t="str">
        <f t="shared" si="28"/>
        <v/>
      </c>
      <c r="L620" t="str">
        <f>IF(C620&lt;&gt;"ST1","",IF(K620="","",K620*(1+参数设置!$B$6)))</f>
        <v/>
      </c>
      <c r="M620" t="str">
        <f>IF(A620="","",参数设置!$B$7)</f>
        <v/>
      </c>
      <c r="N620" t="str">
        <f t="shared" si="29"/>
        <v/>
      </c>
    </row>
    <row r="621" spans="1:14" x14ac:dyDescent="0.25">
      <c r="A621">
        <v>124</v>
      </c>
      <c r="C621" t="s">
        <v>32</v>
      </c>
      <c r="J621" t="str">
        <f t="shared" si="27"/>
        <v/>
      </c>
      <c r="K621" t="str">
        <f t="shared" si="28"/>
        <v/>
      </c>
      <c r="L621" t="str">
        <f>IF(C621&lt;&gt;"ST1","",IF(K621="","",K621*(1+参数设置!$B$6)))</f>
        <v/>
      </c>
      <c r="M621" t="str">
        <f>IF(A621="","",参数设置!$B$7)</f>
        <v/>
      </c>
      <c r="N621" t="str">
        <f t="shared" si="29"/>
        <v/>
      </c>
    </row>
    <row r="622" spans="1:14" x14ac:dyDescent="0.25">
      <c r="A622">
        <v>124</v>
      </c>
      <c r="C622" t="s">
        <v>33</v>
      </c>
      <c r="J622" t="str">
        <f t="shared" si="27"/>
        <v/>
      </c>
      <c r="K622" t="str">
        <f t="shared" si="28"/>
        <v/>
      </c>
      <c r="L622" t="str">
        <f>IF(C622&lt;&gt;"ST1","",IF(K622="","",K622*(1+参数设置!$B$6)))</f>
        <v/>
      </c>
      <c r="M622" t="str">
        <f>IF(A622="","",参数设置!$B$7)</f>
        <v/>
      </c>
      <c r="N622" t="str">
        <f t="shared" si="29"/>
        <v/>
      </c>
    </row>
    <row r="623" spans="1:14" x14ac:dyDescent="0.25">
      <c r="A623">
        <v>125</v>
      </c>
      <c r="C623" t="s">
        <v>29</v>
      </c>
      <c r="J623" t="str">
        <f t="shared" si="27"/>
        <v/>
      </c>
      <c r="K623">
        <f t="shared" si="28"/>
        <v>0</v>
      </c>
      <c r="L623">
        <f>IF(C623&lt;&gt;"ST1","",IF(K623="","",K623*(1+参数设置!$B$6)))</f>
        <v>0</v>
      </c>
      <c r="M623" t="str">
        <f>IF(A623="","",参数设置!$B$7)</f>
        <v/>
      </c>
      <c r="N623" t="str">
        <f t="shared" si="29"/>
        <v/>
      </c>
    </row>
    <row r="624" spans="1:14" x14ac:dyDescent="0.25">
      <c r="A624">
        <v>125</v>
      </c>
      <c r="C624" t="s">
        <v>30</v>
      </c>
      <c r="J624" t="str">
        <f t="shared" si="27"/>
        <v/>
      </c>
      <c r="K624" t="str">
        <f t="shared" si="28"/>
        <v/>
      </c>
      <c r="L624" t="str">
        <f>IF(C624&lt;&gt;"ST1","",IF(K624="","",K624*(1+参数设置!$B$6)))</f>
        <v/>
      </c>
      <c r="M624" t="str">
        <f>IF(A624="","",参数设置!$B$7)</f>
        <v/>
      </c>
      <c r="N624" t="str">
        <f t="shared" si="29"/>
        <v/>
      </c>
    </row>
    <row r="625" spans="1:14" x14ac:dyDescent="0.25">
      <c r="A625">
        <v>125</v>
      </c>
      <c r="C625" t="s">
        <v>31</v>
      </c>
      <c r="J625" t="str">
        <f t="shared" si="27"/>
        <v/>
      </c>
      <c r="K625" t="str">
        <f t="shared" si="28"/>
        <v/>
      </c>
      <c r="L625" t="str">
        <f>IF(C625&lt;&gt;"ST1","",IF(K625="","",K625*(1+参数设置!$B$6)))</f>
        <v/>
      </c>
      <c r="M625" t="str">
        <f>IF(A625="","",参数设置!$B$7)</f>
        <v/>
      </c>
      <c r="N625" t="str">
        <f t="shared" si="29"/>
        <v/>
      </c>
    </row>
    <row r="626" spans="1:14" x14ac:dyDescent="0.25">
      <c r="A626">
        <v>125</v>
      </c>
      <c r="C626" t="s">
        <v>32</v>
      </c>
      <c r="J626" t="str">
        <f t="shared" si="27"/>
        <v/>
      </c>
      <c r="K626" t="str">
        <f t="shared" si="28"/>
        <v/>
      </c>
      <c r="L626" t="str">
        <f>IF(C626&lt;&gt;"ST1","",IF(K626="","",K626*(1+参数设置!$B$6)))</f>
        <v/>
      </c>
      <c r="M626" t="str">
        <f>IF(A626="","",参数设置!$B$7)</f>
        <v/>
      </c>
      <c r="N626" t="str">
        <f t="shared" si="29"/>
        <v/>
      </c>
    </row>
    <row r="627" spans="1:14" x14ac:dyDescent="0.25">
      <c r="A627">
        <v>125</v>
      </c>
      <c r="C627" t="s">
        <v>33</v>
      </c>
      <c r="J627" t="str">
        <f t="shared" si="27"/>
        <v/>
      </c>
      <c r="K627" t="str">
        <f t="shared" si="28"/>
        <v/>
      </c>
      <c r="L627" t="str">
        <f>IF(C627&lt;&gt;"ST1","",IF(K627="","",K627*(1+参数设置!$B$6)))</f>
        <v/>
      </c>
      <c r="M627" t="str">
        <f>IF(A627="","",参数设置!$B$7)</f>
        <v/>
      </c>
      <c r="N627" t="str">
        <f t="shared" si="29"/>
        <v/>
      </c>
    </row>
    <row r="628" spans="1:14" x14ac:dyDescent="0.25">
      <c r="A628">
        <v>126</v>
      </c>
      <c r="C628" t="s">
        <v>29</v>
      </c>
      <c r="J628" t="str">
        <f t="shared" si="27"/>
        <v/>
      </c>
      <c r="K628">
        <f t="shared" si="28"/>
        <v>0</v>
      </c>
      <c r="L628">
        <f>IF(C628&lt;&gt;"ST1","",IF(K628="","",K628*(1+参数设置!$B$6)))</f>
        <v>0</v>
      </c>
      <c r="M628" t="str">
        <f>IF(A628="","",参数设置!$B$7)</f>
        <v/>
      </c>
      <c r="N628" t="str">
        <f t="shared" si="29"/>
        <v/>
      </c>
    </row>
    <row r="629" spans="1:14" x14ac:dyDescent="0.25">
      <c r="A629">
        <v>126</v>
      </c>
      <c r="C629" t="s">
        <v>30</v>
      </c>
      <c r="J629" t="str">
        <f t="shared" si="27"/>
        <v/>
      </c>
      <c r="K629" t="str">
        <f t="shared" si="28"/>
        <v/>
      </c>
      <c r="L629" t="str">
        <f>IF(C629&lt;&gt;"ST1","",IF(K629="","",K629*(1+参数设置!$B$6)))</f>
        <v/>
      </c>
      <c r="M629" t="str">
        <f>IF(A629="","",参数设置!$B$7)</f>
        <v/>
      </c>
      <c r="N629" t="str">
        <f t="shared" si="29"/>
        <v/>
      </c>
    </row>
    <row r="630" spans="1:14" x14ac:dyDescent="0.25">
      <c r="A630">
        <v>126</v>
      </c>
      <c r="C630" t="s">
        <v>31</v>
      </c>
      <c r="J630" t="str">
        <f t="shared" si="27"/>
        <v/>
      </c>
      <c r="K630" t="str">
        <f t="shared" si="28"/>
        <v/>
      </c>
      <c r="L630" t="str">
        <f>IF(C630&lt;&gt;"ST1","",IF(K630="","",K630*(1+参数设置!$B$6)))</f>
        <v/>
      </c>
      <c r="M630" t="str">
        <f>IF(A630="","",参数设置!$B$7)</f>
        <v/>
      </c>
      <c r="N630" t="str">
        <f t="shared" si="29"/>
        <v/>
      </c>
    </row>
    <row r="631" spans="1:14" x14ac:dyDescent="0.25">
      <c r="A631">
        <v>126</v>
      </c>
      <c r="C631" t="s">
        <v>32</v>
      </c>
      <c r="J631" t="str">
        <f t="shared" si="27"/>
        <v/>
      </c>
      <c r="K631" t="str">
        <f t="shared" si="28"/>
        <v/>
      </c>
      <c r="L631" t="str">
        <f>IF(C631&lt;&gt;"ST1","",IF(K631="","",K631*(1+参数设置!$B$6)))</f>
        <v/>
      </c>
      <c r="M631" t="str">
        <f>IF(A631="","",参数设置!$B$7)</f>
        <v/>
      </c>
      <c r="N631" t="str">
        <f t="shared" si="29"/>
        <v/>
      </c>
    </row>
    <row r="632" spans="1:14" x14ac:dyDescent="0.25">
      <c r="A632">
        <v>126</v>
      </c>
      <c r="C632" t="s">
        <v>33</v>
      </c>
      <c r="J632" t="str">
        <f t="shared" si="27"/>
        <v/>
      </c>
      <c r="K632" t="str">
        <f t="shared" si="28"/>
        <v/>
      </c>
      <c r="L632" t="str">
        <f>IF(C632&lt;&gt;"ST1","",IF(K632="","",K632*(1+参数设置!$B$6)))</f>
        <v/>
      </c>
      <c r="M632" t="str">
        <f>IF(A632="","",参数设置!$B$7)</f>
        <v/>
      </c>
      <c r="N632" t="str">
        <f t="shared" si="29"/>
        <v/>
      </c>
    </row>
    <row r="633" spans="1:14" x14ac:dyDescent="0.25">
      <c r="A633">
        <v>127</v>
      </c>
      <c r="C633" t="s">
        <v>29</v>
      </c>
      <c r="J633" t="str">
        <f t="shared" si="27"/>
        <v/>
      </c>
      <c r="K633">
        <f t="shared" si="28"/>
        <v>0</v>
      </c>
      <c r="L633">
        <f>IF(C633&lt;&gt;"ST1","",IF(K633="","",K633*(1+参数设置!$B$6)))</f>
        <v>0</v>
      </c>
      <c r="M633" t="str">
        <f>IF(A633="","",参数设置!$B$7)</f>
        <v/>
      </c>
      <c r="N633" t="str">
        <f t="shared" si="29"/>
        <v/>
      </c>
    </row>
    <row r="634" spans="1:14" x14ac:dyDescent="0.25">
      <c r="A634">
        <v>127</v>
      </c>
      <c r="C634" t="s">
        <v>30</v>
      </c>
      <c r="J634" t="str">
        <f t="shared" si="27"/>
        <v/>
      </c>
      <c r="K634" t="str">
        <f t="shared" si="28"/>
        <v/>
      </c>
      <c r="L634" t="str">
        <f>IF(C634&lt;&gt;"ST1","",IF(K634="","",K634*(1+参数设置!$B$6)))</f>
        <v/>
      </c>
      <c r="M634" t="str">
        <f>IF(A634="","",参数设置!$B$7)</f>
        <v/>
      </c>
      <c r="N634" t="str">
        <f t="shared" si="29"/>
        <v/>
      </c>
    </row>
    <row r="635" spans="1:14" x14ac:dyDescent="0.25">
      <c r="A635">
        <v>127</v>
      </c>
      <c r="C635" t="s">
        <v>31</v>
      </c>
      <c r="J635" t="str">
        <f t="shared" si="27"/>
        <v/>
      </c>
      <c r="K635" t="str">
        <f t="shared" si="28"/>
        <v/>
      </c>
      <c r="L635" t="str">
        <f>IF(C635&lt;&gt;"ST1","",IF(K635="","",K635*(1+参数设置!$B$6)))</f>
        <v/>
      </c>
      <c r="M635" t="str">
        <f>IF(A635="","",参数设置!$B$7)</f>
        <v/>
      </c>
      <c r="N635" t="str">
        <f t="shared" si="29"/>
        <v/>
      </c>
    </row>
    <row r="636" spans="1:14" x14ac:dyDescent="0.25">
      <c r="A636">
        <v>127</v>
      </c>
      <c r="C636" t="s">
        <v>32</v>
      </c>
      <c r="J636" t="str">
        <f t="shared" si="27"/>
        <v/>
      </c>
      <c r="K636" t="str">
        <f t="shared" si="28"/>
        <v/>
      </c>
      <c r="L636" t="str">
        <f>IF(C636&lt;&gt;"ST1","",IF(K636="","",K636*(1+参数设置!$B$6)))</f>
        <v/>
      </c>
      <c r="M636" t="str">
        <f>IF(A636="","",参数设置!$B$7)</f>
        <v/>
      </c>
      <c r="N636" t="str">
        <f t="shared" si="29"/>
        <v/>
      </c>
    </row>
    <row r="637" spans="1:14" x14ac:dyDescent="0.25">
      <c r="A637">
        <v>127</v>
      </c>
      <c r="C637" t="s">
        <v>33</v>
      </c>
      <c r="J637" t="str">
        <f t="shared" si="27"/>
        <v/>
      </c>
      <c r="K637" t="str">
        <f t="shared" si="28"/>
        <v/>
      </c>
      <c r="L637" t="str">
        <f>IF(C637&lt;&gt;"ST1","",IF(K637="","",K637*(1+参数设置!$B$6)))</f>
        <v/>
      </c>
      <c r="M637" t="str">
        <f>IF(A637="","",参数设置!$B$7)</f>
        <v/>
      </c>
      <c r="N637" t="str">
        <f t="shared" si="29"/>
        <v/>
      </c>
    </row>
    <row r="638" spans="1:14" x14ac:dyDescent="0.25">
      <c r="A638">
        <v>128</v>
      </c>
      <c r="C638" t="s">
        <v>29</v>
      </c>
      <c r="J638" t="str">
        <f t="shared" si="27"/>
        <v/>
      </c>
      <c r="K638">
        <f t="shared" si="28"/>
        <v>0</v>
      </c>
      <c r="L638">
        <f>IF(C638&lt;&gt;"ST1","",IF(K638="","",K638*(1+参数设置!$B$6)))</f>
        <v>0</v>
      </c>
      <c r="M638" t="str">
        <f>IF(A638="","",参数设置!$B$7)</f>
        <v/>
      </c>
      <c r="N638" t="str">
        <f t="shared" si="29"/>
        <v/>
      </c>
    </row>
    <row r="639" spans="1:14" x14ac:dyDescent="0.25">
      <c r="A639">
        <v>128</v>
      </c>
      <c r="C639" t="s">
        <v>30</v>
      </c>
      <c r="J639" t="str">
        <f t="shared" si="27"/>
        <v/>
      </c>
      <c r="K639" t="str">
        <f t="shared" si="28"/>
        <v/>
      </c>
      <c r="L639" t="str">
        <f>IF(C639&lt;&gt;"ST1","",IF(K639="","",K639*(1+参数设置!$B$6)))</f>
        <v/>
      </c>
      <c r="M639" t="str">
        <f>IF(A639="","",参数设置!$B$7)</f>
        <v/>
      </c>
      <c r="N639" t="str">
        <f t="shared" si="29"/>
        <v/>
      </c>
    </row>
    <row r="640" spans="1:14" x14ac:dyDescent="0.25">
      <c r="A640">
        <v>128</v>
      </c>
      <c r="C640" t="s">
        <v>31</v>
      </c>
      <c r="J640" t="str">
        <f t="shared" si="27"/>
        <v/>
      </c>
      <c r="K640" t="str">
        <f t="shared" si="28"/>
        <v/>
      </c>
      <c r="L640" t="str">
        <f>IF(C640&lt;&gt;"ST1","",IF(K640="","",K640*(1+参数设置!$B$6)))</f>
        <v/>
      </c>
      <c r="M640" t="str">
        <f>IF(A640="","",参数设置!$B$7)</f>
        <v/>
      </c>
      <c r="N640" t="str">
        <f t="shared" si="29"/>
        <v/>
      </c>
    </row>
    <row r="641" spans="1:14" x14ac:dyDescent="0.25">
      <c r="A641">
        <v>128</v>
      </c>
      <c r="C641" t="s">
        <v>32</v>
      </c>
      <c r="J641" t="str">
        <f t="shared" si="27"/>
        <v/>
      </c>
      <c r="K641" t="str">
        <f t="shared" si="28"/>
        <v/>
      </c>
      <c r="L641" t="str">
        <f>IF(C641&lt;&gt;"ST1","",IF(K641="","",K641*(1+参数设置!$B$6)))</f>
        <v/>
      </c>
      <c r="M641" t="str">
        <f>IF(A641="","",参数设置!$B$7)</f>
        <v/>
      </c>
      <c r="N641" t="str">
        <f t="shared" si="29"/>
        <v/>
      </c>
    </row>
    <row r="642" spans="1:14" x14ac:dyDescent="0.25">
      <c r="A642">
        <v>128</v>
      </c>
      <c r="C642" t="s">
        <v>33</v>
      </c>
      <c r="J642" t="str">
        <f t="shared" si="27"/>
        <v/>
      </c>
      <c r="K642" t="str">
        <f t="shared" si="28"/>
        <v/>
      </c>
      <c r="L642" t="str">
        <f>IF(C642&lt;&gt;"ST1","",IF(K642="","",K642*(1+参数设置!$B$6)))</f>
        <v/>
      </c>
      <c r="M642" t="str">
        <f>IF(A642="","",参数设置!$B$7)</f>
        <v/>
      </c>
      <c r="N642" t="str">
        <f t="shared" si="29"/>
        <v/>
      </c>
    </row>
    <row r="643" spans="1:14" x14ac:dyDescent="0.25">
      <c r="A643">
        <v>129</v>
      </c>
      <c r="C643" t="s">
        <v>29</v>
      </c>
      <c r="J643" t="str">
        <f t="shared" ref="J643:J706" si="30">IF(COUNT(E643:I643)=0,"",AVERAGE(E643:I643))</f>
        <v/>
      </c>
      <c r="K643">
        <f t="shared" ref="K643:K702" si="31">IF(C643&lt;&gt;"ST1","",IF(COUNTIFS($A:$A,A643,$J:$J,"&lt;&gt;")=0,"",SUMIFS($J:$J,$A:$A,A643)))</f>
        <v>0</v>
      </c>
      <c r="L643">
        <f>IF(C643&lt;&gt;"ST1","",IF(K643="","",K643*(1+参数设置!$B$6)))</f>
        <v>0</v>
      </c>
      <c r="M643" t="str">
        <f>IF(A643="","",参数设置!$B$7)</f>
        <v/>
      </c>
      <c r="N643" t="str">
        <f t="shared" ref="N643:N706" si="32">IF(K643="","",IF(M643="","",IF(K643&gt;M643,"超节拍",IF(K643&gt;=M643*0.9,"接近上限","正常"))))</f>
        <v/>
      </c>
    </row>
    <row r="644" spans="1:14" x14ac:dyDescent="0.25">
      <c r="A644">
        <v>129</v>
      </c>
      <c r="C644" t="s">
        <v>30</v>
      </c>
      <c r="J644" t="str">
        <f t="shared" si="30"/>
        <v/>
      </c>
      <c r="K644" t="str">
        <f t="shared" si="31"/>
        <v/>
      </c>
      <c r="L644" t="str">
        <f>IF(C644&lt;&gt;"ST1","",IF(K644="","",K644*(1+参数设置!$B$6)))</f>
        <v/>
      </c>
      <c r="M644" t="str">
        <f>IF(A644="","",参数设置!$B$7)</f>
        <v/>
      </c>
      <c r="N644" t="str">
        <f t="shared" si="32"/>
        <v/>
      </c>
    </row>
    <row r="645" spans="1:14" x14ac:dyDescent="0.25">
      <c r="A645">
        <v>129</v>
      </c>
      <c r="C645" t="s">
        <v>31</v>
      </c>
      <c r="J645" t="str">
        <f t="shared" si="30"/>
        <v/>
      </c>
      <c r="K645" t="str">
        <f t="shared" si="31"/>
        <v/>
      </c>
      <c r="L645" t="str">
        <f>IF(C645&lt;&gt;"ST1","",IF(K645="","",K645*(1+参数设置!$B$6)))</f>
        <v/>
      </c>
      <c r="M645" t="str">
        <f>IF(A645="","",参数设置!$B$7)</f>
        <v/>
      </c>
      <c r="N645" t="str">
        <f t="shared" si="32"/>
        <v/>
      </c>
    </row>
    <row r="646" spans="1:14" x14ac:dyDescent="0.25">
      <c r="A646">
        <v>129</v>
      </c>
      <c r="C646" t="s">
        <v>32</v>
      </c>
      <c r="J646" t="str">
        <f t="shared" si="30"/>
        <v/>
      </c>
      <c r="K646" t="str">
        <f t="shared" si="31"/>
        <v/>
      </c>
      <c r="L646" t="str">
        <f>IF(C646&lt;&gt;"ST1","",IF(K646="","",K646*(1+参数设置!$B$6)))</f>
        <v/>
      </c>
      <c r="M646" t="str">
        <f>IF(A646="","",参数设置!$B$7)</f>
        <v/>
      </c>
      <c r="N646" t="str">
        <f t="shared" si="32"/>
        <v/>
      </c>
    </row>
    <row r="647" spans="1:14" x14ac:dyDescent="0.25">
      <c r="A647">
        <v>129</v>
      </c>
      <c r="C647" t="s">
        <v>33</v>
      </c>
      <c r="J647" t="str">
        <f t="shared" si="30"/>
        <v/>
      </c>
      <c r="K647" t="str">
        <f t="shared" si="31"/>
        <v/>
      </c>
      <c r="L647" t="str">
        <f>IF(C647&lt;&gt;"ST1","",IF(K647="","",K647*(1+参数设置!$B$6)))</f>
        <v/>
      </c>
      <c r="M647" t="str">
        <f>IF(A647="","",参数设置!$B$7)</f>
        <v/>
      </c>
      <c r="N647" t="str">
        <f t="shared" si="32"/>
        <v/>
      </c>
    </row>
    <row r="648" spans="1:14" x14ac:dyDescent="0.25">
      <c r="A648">
        <v>130</v>
      </c>
      <c r="C648" t="s">
        <v>29</v>
      </c>
      <c r="J648" t="str">
        <f t="shared" si="30"/>
        <v/>
      </c>
      <c r="K648">
        <f t="shared" si="31"/>
        <v>0</v>
      </c>
      <c r="L648">
        <f>IF(C648&lt;&gt;"ST1","",IF(K648="","",K648*(1+参数设置!$B$6)))</f>
        <v>0</v>
      </c>
      <c r="M648" t="str">
        <f>IF(A648="","",参数设置!$B$7)</f>
        <v/>
      </c>
      <c r="N648" t="str">
        <f t="shared" si="32"/>
        <v/>
      </c>
    </row>
    <row r="649" spans="1:14" x14ac:dyDescent="0.25">
      <c r="A649">
        <v>130</v>
      </c>
      <c r="C649" t="s">
        <v>30</v>
      </c>
      <c r="J649" t="str">
        <f t="shared" si="30"/>
        <v/>
      </c>
      <c r="K649" t="str">
        <f t="shared" si="31"/>
        <v/>
      </c>
      <c r="L649" t="str">
        <f>IF(C649&lt;&gt;"ST1","",IF(K649="","",K649*(1+参数设置!$B$6)))</f>
        <v/>
      </c>
      <c r="M649" t="str">
        <f>IF(A649="","",参数设置!$B$7)</f>
        <v/>
      </c>
      <c r="N649" t="str">
        <f t="shared" si="32"/>
        <v/>
      </c>
    </row>
    <row r="650" spans="1:14" x14ac:dyDescent="0.25">
      <c r="A650">
        <v>130</v>
      </c>
      <c r="C650" t="s">
        <v>31</v>
      </c>
      <c r="J650" t="str">
        <f t="shared" si="30"/>
        <v/>
      </c>
      <c r="K650" t="str">
        <f t="shared" si="31"/>
        <v/>
      </c>
      <c r="L650" t="str">
        <f>IF(C650&lt;&gt;"ST1","",IF(K650="","",K650*(1+参数设置!$B$6)))</f>
        <v/>
      </c>
      <c r="M650" t="str">
        <f>IF(A650="","",参数设置!$B$7)</f>
        <v/>
      </c>
      <c r="N650" t="str">
        <f t="shared" si="32"/>
        <v/>
      </c>
    </row>
    <row r="651" spans="1:14" x14ac:dyDescent="0.25">
      <c r="A651">
        <v>130</v>
      </c>
      <c r="C651" t="s">
        <v>32</v>
      </c>
      <c r="J651" t="str">
        <f t="shared" si="30"/>
        <v/>
      </c>
      <c r="K651" t="str">
        <f t="shared" si="31"/>
        <v/>
      </c>
      <c r="L651" t="str">
        <f>IF(C651&lt;&gt;"ST1","",IF(K651="","",K651*(1+参数设置!$B$6)))</f>
        <v/>
      </c>
      <c r="M651" t="str">
        <f>IF(A651="","",参数设置!$B$7)</f>
        <v/>
      </c>
      <c r="N651" t="str">
        <f t="shared" si="32"/>
        <v/>
      </c>
    </row>
    <row r="652" spans="1:14" x14ac:dyDescent="0.25">
      <c r="A652">
        <v>130</v>
      </c>
      <c r="C652" t="s">
        <v>33</v>
      </c>
      <c r="J652" t="str">
        <f t="shared" si="30"/>
        <v/>
      </c>
      <c r="K652" t="str">
        <f t="shared" si="31"/>
        <v/>
      </c>
      <c r="L652" t="str">
        <f>IF(C652&lt;&gt;"ST1","",IF(K652="","",K652*(1+参数设置!$B$6)))</f>
        <v/>
      </c>
      <c r="M652" t="str">
        <f>IF(A652="","",参数设置!$B$7)</f>
        <v/>
      </c>
      <c r="N652" t="str">
        <f t="shared" si="32"/>
        <v/>
      </c>
    </row>
    <row r="653" spans="1:14" x14ac:dyDescent="0.25">
      <c r="A653">
        <v>131</v>
      </c>
      <c r="C653" t="s">
        <v>29</v>
      </c>
      <c r="J653" t="str">
        <f t="shared" si="30"/>
        <v/>
      </c>
      <c r="K653">
        <f t="shared" si="31"/>
        <v>0</v>
      </c>
      <c r="L653">
        <f>IF(C653&lt;&gt;"ST1","",IF(K653="","",K653*(1+参数设置!$B$6)))</f>
        <v>0</v>
      </c>
      <c r="M653" t="str">
        <f>IF(A653="","",参数设置!$B$7)</f>
        <v/>
      </c>
      <c r="N653" t="str">
        <f t="shared" si="32"/>
        <v/>
      </c>
    </row>
    <row r="654" spans="1:14" x14ac:dyDescent="0.25">
      <c r="A654">
        <v>131</v>
      </c>
      <c r="C654" t="s">
        <v>30</v>
      </c>
      <c r="J654" t="str">
        <f t="shared" si="30"/>
        <v/>
      </c>
      <c r="K654" t="str">
        <f t="shared" si="31"/>
        <v/>
      </c>
      <c r="L654" t="str">
        <f>IF(C654&lt;&gt;"ST1","",IF(K654="","",K654*(1+参数设置!$B$6)))</f>
        <v/>
      </c>
      <c r="M654" t="str">
        <f>IF(A654="","",参数设置!$B$7)</f>
        <v/>
      </c>
      <c r="N654" t="str">
        <f t="shared" si="32"/>
        <v/>
      </c>
    </row>
    <row r="655" spans="1:14" x14ac:dyDescent="0.25">
      <c r="A655">
        <v>131</v>
      </c>
      <c r="C655" t="s">
        <v>31</v>
      </c>
      <c r="J655" t="str">
        <f t="shared" si="30"/>
        <v/>
      </c>
      <c r="K655" t="str">
        <f t="shared" si="31"/>
        <v/>
      </c>
      <c r="L655" t="str">
        <f>IF(C655&lt;&gt;"ST1","",IF(K655="","",K655*(1+参数设置!$B$6)))</f>
        <v/>
      </c>
      <c r="M655" t="str">
        <f>IF(A655="","",参数设置!$B$7)</f>
        <v/>
      </c>
      <c r="N655" t="str">
        <f t="shared" si="32"/>
        <v/>
      </c>
    </row>
    <row r="656" spans="1:14" x14ac:dyDescent="0.25">
      <c r="A656">
        <v>131</v>
      </c>
      <c r="C656" t="s">
        <v>32</v>
      </c>
      <c r="J656" t="str">
        <f t="shared" si="30"/>
        <v/>
      </c>
      <c r="K656" t="str">
        <f t="shared" si="31"/>
        <v/>
      </c>
      <c r="L656" t="str">
        <f>IF(C656&lt;&gt;"ST1","",IF(K656="","",K656*(1+参数设置!$B$6)))</f>
        <v/>
      </c>
      <c r="M656" t="str">
        <f>IF(A656="","",参数设置!$B$7)</f>
        <v/>
      </c>
      <c r="N656" t="str">
        <f t="shared" si="32"/>
        <v/>
      </c>
    </row>
    <row r="657" spans="1:14" x14ac:dyDescent="0.25">
      <c r="A657">
        <v>131</v>
      </c>
      <c r="C657" t="s">
        <v>33</v>
      </c>
      <c r="J657" t="str">
        <f t="shared" si="30"/>
        <v/>
      </c>
      <c r="K657" t="str">
        <f t="shared" si="31"/>
        <v/>
      </c>
      <c r="L657" t="str">
        <f>IF(C657&lt;&gt;"ST1","",IF(K657="","",K657*(1+参数设置!$B$6)))</f>
        <v/>
      </c>
      <c r="M657" t="str">
        <f>IF(A657="","",参数设置!$B$7)</f>
        <v/>
      </c>
      <c r="N657" t="str">
        <f t="shared" si="32"/>
        <v/>
      </c>
    </row>
    <row r="658" spans="1:14" x14ac:dyDescent="0.25">
      <c r="A658">
        <v>132</v>
      </c>
      <c r="C658" t="s">
        <v>29</v>
      </c>
      <c r="J658" t="str">
        <f t="shared" si="30"/>
        <v/>
      </c>
      <c r="K658">
        <f t="shared" si="31"/>
        <v>0</v>
      </c>
      <c r="L658">
        <f>IF(C658&lt;&gt;"ST1","",IF(K658="","",K658*(1+参数设置!$B$6)))</f>
        <v>0</v>
      </c>
      <c r="M658" t="str">
        <f>IF(A658="","",参数设置!$B$7)</f>
        <v/>
      </c>
      <c r="N658" t="str">
        <f t="shared" si="32"/>
        <v/>
      </c>
    </row>
    <row r="659" spans="1:14" x14ac:dyDescent="0.25">
      <c r="A659">
        <v>132</v>
      </c>
      <c r="C659" t="s">
        <v>30</v>
      </c>
      <c r="J659" t="str">
        <f t="shared" si="30"/>
        <v/>
      </c>
      <c r="K659" t="str">
        <f t="shared" si="31"/>
        <v/>
      </c>
      <c r="L659" t="str">
        <f>IF(C659&lt;&gt;"ST1","",IF(K659="","",K659*(1+参数设置!$B$6)))</f>
        <v/>
      </c>
      <c r="M659" t="str">
        <f>IF(A659="","",参数设置!$B$7)</f>
        <v/>
      </c>
      <c r="N659" t="str">
        <f t="shared" si="32"/>
        <v/>
      </c>
    </row>
    <row r="660" spans="1:14" x14ac:dyDescent="0.25">
      <c r="A660">
        <v>132</v>
      </c>
      <c r="C660" t="s">
        <v>31</v>
      </c>
      <c r="J660" t="str">
        <f t="shared" si="30"/>
        <v/>
      </c>
      <c r="K660" t="str">
        <f t="shared" si="31"/>
        <v/>
      </c>
      <c r="L660" t="str">
        <f>IF(C660&lt;&gt;"ST1","",IF(K660="","",K660*(1+参数设置!$B$6)))</f>
        <v/>
      </c>
      <c r="M660" t="str">
        <f>IF(A660="","",参数设置!$B$7)</f>
        <v/>
      </c>
      <c r="N660" t="str">
        <f t="shared" si="32"/>
        <v/>
      </c>
    </row>
    <row r="661" spans="1:14" x14ac:dyDescent="0.25">
      <c r="A661">
        <v>132</v>
      </c>
      <c r="C661" t="s">
        <v>32</v>
      </c>
      <c r="J661" t="str">
        <f t="shared" si="30"/>
        <v/>
      </c>
      <c r="K661" t="str">
        <f t="shared" si="31"/>
        <v/>
      </c>
      <c r="L661" t="str">
        <f>IF(C661&lt;&gt;"ST1","",IF(K661="","",K661*(1+参数设置!$B$6)))</f>
        <v/>
      </c>
      <c r="M661" t="str">
        <f>IF(A661="","",参数设置!$B$7)</f>
        <v/>
      </c>
      <c r="N661" t="str">
        <f t="shared" si="32"/>
        <v/>
      </c>
    </row>
    <row r="662" spans="1:14" x14ac:dyDescent="0.25">
      <c r="A662">
        <v>132</v>
      </c>
      <c r="C662" t="s">
        <v>33</v>
      </c>
      <c r="J662" t="str">
        <f t="shared" si="30"/>
        <v/>
      </c>
      <c r="K662" t="str">
        <f t="shared" si="31"/>
        <v/>
      </c>
      <c r="L662" t="str">
        <f>IF(C662&lt;&gt;"ST1","",IF(K662="","",K662*(1+参数设置!$B$6)))</f>
        <v/>
      </c>
      <c r="M662" t="str">
        <f>IF(A662="","",参数设置!$B$7)</f>
        <v/>
      </c>
      <c r="N662" t="str">
        <f t="shared" si="32"/>
        <v/>
      </c>
    </row>
    <row r="663" spans="1:14" x14ac:dyDescent="0.25">
      <c r="A663">
        <v>133</v>
      </c>
      <c r="C663" t="s">
        <v>29</v>
      </c>
      <c r="J663" t="str">
        <f t="shared" si="30"/>
        <v/>
      </c>
      <c r="K663">
        <f t="shared" si="31"/>
        <v>0</v>
      </c>
      <c r="L663">
        <f>IF(C663&lt;&gt;"ST1","",IF(K663="","",K663*(1+参数设置!$B$6)))</f>
        <v>0</v>
      </c>
      <c r="M663" t="str">
        <f>IF(A663="","",参数设置!$B$7)</f>
        <v/>
      </c>
      <c r="N663" t="str">
        <f t="shared" si="32"/>
        <v/>
      </c>
    </row>
    <row r="664" spans="1:14" x14ac:dyDescent="0.25">
      <c r="A664">
        <v>133</v>
      </c>
      <c r="C664" t="s">
        <v>30</v>
      </c>
      <c r="J664" t="str">
        <f t="shared" si="30"/>
        <v/>
      </c>
      <c r="K664" t="str">
        <f t="shared" si="31"/>
        <v/>
      </c>
      <c r="L664" t="str">
        <f>IF(C664&lt;&gt;"ST1","",IF(K664="","",K664*(1+参数设置!$B$6)))</f>
        <v/>
      </c>
      <c r="M664" t="str">
        <f>IF(A664="","",参数设置!$B$7)</f>
        <v/>
      </c>
      <c r="N664" t="str">
        <f t="shared" si="32"/>
        <v/>
      </c>
    </row>
    <row r="665" spans="1:14" x14ac:dyDescent="0.25">
      <c r="A665">
        <v>133</v>
      </c>
      <c r="C665" t="s">
        <v>31</v>
      </c>
      <c r="J665" t="str">
        <f t="shared" si="30"/>
        <v/>
      </c>
      <c r="K665" t="str">
        <f t="shared" si="31"/>
        <v/>
      </c>
      <c r="L665" t="str">
        <f>IF(C665&lt;&gt;"ST1","",IF(K665="","",K665*(1+参数设置!$B$6)))</f>
        <v/>
      </c>
      <c r="M665" t="str">
        <f>IF(A665="","",参数设置!$B$7)</f>
        <v/>
      </c>
      <c r="N665" t="str">
        <f t="shared" si="32"/>
        <v/>
      </c>
    </row>
    <row r="666" spans="1:14" x14ac:dyDescent="0.25">
      <c r="A666">
        <v>133</v>
      </c>
      <c r="C666" t="s">
        <v>32</v>
      </c>
      <c r="J666" t="str">
        <f t="shared" si="30"/>
        <v/>
      </c>
      <c r="K666" t="str">
        <f t="shared" si="31"/>
        <v/>
      </c>
      <c r="L666" t="str">
        <f>IF(C666&lt;&gt;"ST1","",IF(K666="","",K666*(1+参数设置!$B$6)))</f>
        <v/>
      </c>
      <c r="M666" t="str">
        <f>IF(A666="","",参数设置!$B$7)</f>
        <v/>
      </c>
      <c r="N666" t="str">
        <f t="shared" si="32"/>
        <v/>
      </c>
    </row>
    <row r="667" spans="1:14" x14ac:dyDescent="0.25">
      <c r="A667">
        <v>133</v>
      </c>
      <c r="C667" t="s">
        <v>33</v>
      </c>
      <c r="J667" t="str">
        <f t="shared" si="30"/>
        <v/>
      </c>
      <c r="K667" t="str">
        <f t="shared" si="31"/>
        <v/>
      </c>
      <c r="L667" t="str">
        <f>IF(C667&lt;&gt;"ST1","",IF(K667="","",K667*(1+参数设置!$B$6)))</f>
        <v/>
      </c>
      <c r="M667" t="str">
        <f>IF(A667="","",参数设置!$B$7)</f>
        <v/>
      </c>
      <c r="N667" t="str">
        <f t="shared" si="32"/>
        <v/>
      </c>
    </row>
    <row r="668" spans="1:14" x14ac:dyDescent="0.25">
      <c r="A668">
        <v>134</v>
      </c>
      <c r="C668" t="s">
        <v>29</v>
      </c>
      <c r="J668" t="str">
        <f t="shared" si="30"/>
        <v/>
      </c>
      <c r="K668">
        <f t="shared" si="31"/>
        <v>0</v>
      </c>
      <c r="L668">
        <f>IF(C668&lt;&gt;"ST1","",IF(K668="","",K668*(1+参数设置!$B$6)))</f>
        <v>0</v>
      </c>
      <c r="M668" t="str">
        <f>IF(A668="","",参数设置!$B$7)</f>
        <v/>
      </c>
      <c r="N668" t="str">
        <f t="shared" si="32"/>
        <v/>
      </c>
    </row>
    <row r="669" spans="1:14" x14ac:dyDescent="0.25">
      <c r="A669">
        <v>134</v>
      </c>
      <c r="C669" t="s">
        <v>30</v>
      </c>
      <c r="J669" t="str">
        <f t="shared" si="30"/>
        <v/>
      </c>
      <c r="K669" t="str">
        <f t="shared" si="31"/>
        <v/>
      </c>
      <c r="L669" t="str">
        <f>IF(C669&lt;&gt;"ST1","",IF(K669="","",K669*(1+参数设置!$B$6)))</f>
        <v/>
      </c>
      <c r="M669" t="str">
        <f>IF(A669="","",参数设置!$B$7)</f>
        <v/>
      </c>
      <c r="N669" t="str">
        <f t="shared" si="32"/>
        <v/>
      </c>
    </row>
    <row r="670" spans="1:14" x14ac:dyDescent="0.25">
      <c r="A670">
        <v>134</v>
      </c>
      <c r="C670" t="s">
        <v>31</v>
      </c>
      <c r="J670" t="str">
        <f t="shared" si="30"/>
        <v/>
      </c>
      <c r="K670" t="str">
        <f t="shared" si="31"/>
        <v/>
      </c>
      <c r="L670" t="str">
        <f>IF(C670&lt;&gt;"ST1","",IF(K670="","",K670*(1+参数设置!$B$6)))</f>
        <v/>
      </c>
      <c r="M670" t="str">
        <f>IF(A670="","",参数设置!$B$7)</f>
        <v/>
      </c>
      <c r="N670" t="str">
        <f t="shared" si="32"/>
        <v/>
      </c>
    </row>
    <row r="671" spans="1:14" x14ac:dyDescent="0.25">
      <c r="A671">
        <v>134</v>
      </c>
      <c r="C671" t="s">
        <v>32</v>
      </c>
      <c r="J671" t="str">
        <f t="shared" si="30"/>
        <v/>
      </c>
      <c r="K671" t="str">
        <f t="shared" si="31"/>
        <v/>
      </c>
      <c r="L671" t="str">
        <f>IF(C671&lt;&gt;"ST1","",IF(K671="","",K671*(1+参数设置!$B$6)))</f>
        <v/>
      </c>
      <c r="M671" t="str">
        <f>IF(A671="","",参数设置!$B$7)</f>
        <v/>
      </c>
      <c r="N671" t="str">
        <f t="shared" si="32"/>
        <v/>
      </c>
    </row>
    <row r="672" spans="1:14" x14ac:dyDescent="0.25">
      <c r="A672">
        <v>134</v>
      </c>
      <c r="C672" t="s">
        <v>33</v>
      </c>
      <c r="J672" t="str">
        <f t="shared" si="30"/>
        <v/>
      </c>
      <c r="K672" t="str">
        <f t="shared" si="31"/>
        <v/>
      </c>
      <c r="L672" t="str">
        <f>IF(C672&lt;&gt;"ST1","",IF(K672="","",K672*(1+参数设置!$B$6)))</f>
        <v/>
      </c>
      <c r="M672" t="str">
        <f>IF(A672="","",参数设置!$B$7)</f>
        <v/>
      </c>
      <c r="N672" t="str">
        <f t="shared" si="32"/>
        <v/>
      </c>
    </row>
    <row r="673" spans="1:14" x14ac:dyDescent="0.25">
      <c r="A673">
        <v>135</v>
      </c>
      <c r="C673" t="s">
        <v>29</v>
      </c>
      <c r="J673" t="str">
        <f t="shared" si="30"/>
        <v/>
      </c>
      <c r="K673">
        <f t="shared" si="31"/>
        <v>0</v>
      </c>
      <c r="L673">
        <f>IF(C673&lt;&gt;"ST1","",IF(K673="","",K673*(1+参数设置!$B$6)))</f>
        <v>0</v>
      </c>
      <c r="M673" t="str">
        <f>IF(A673="","",参数设置!$B$7)</f>
        <v/>
      </c>
      <c r="N673" t="str">
        <f t="shared" si="32"/>
        <v/>
      </c>
    </row>
    <row r="674" spans="1:14" x14ac:dyDescent="0.25">
      <c r="A674">
        <v>135</v>
      </c>
      <c r="C674" t="s">
        <v>30</v>
      </c>
      <c r="J674" t="str">
        <f t="shared" si="30"/>
        <v/>
      </c>
      <c r="K674" t="str">
        <f t="shared" si="31"/>
        <v/>
      </c>
      <c r="L674" t="str">
        <f>IF(C674&lt;&gt;"ST1","",IF(K674="","",K674*(1+参数设置!$B$6)))</f>
        <v/>
      </c>
      <c r="M674" t="str">
        <f>IF(A674="","",参数设置!$B$7)</f>
        <v/>
      </c>
      <c r="N674" t="str">
        <f t="shared" si="32"/>
        <v/>
      </c>
    </row>
    <row r="675" spans="1:14" x14ac:dyDescent="0.25">
      <c r="A675">
        <v>135</v>
      </c>
      <c r="C675" t="s">
        <v>31</v>
      </c>
      <c r="J675" t="str">
        <f t="shared" si="30"/>
        <v/>
      </c>
      <c r="K675" t="str">
        <f t="shared" si="31"/>
        <v/>
      </c>
      <c r="L675" t="str">
        <f>IF(C675&lt;&gt;"ST1","",IF(K675="","",K675*(1+参数设置!$B$6)))</f>
        <v/>
      </c>
      <c r="M675" t="str">
        <f>IF(A675="","",参数设置!$B$7)</f>
        <v/>
      </c>
      <c r="N675" t="str">
        <f t="shared" si="32"/>
        <v/>
      </c>
    </row>
    <row r="676" spans="1:14" x14ac:dyDescent="0.25">
      <c r="A676">
        <v>135</v>
      </c>
      <c r="C676" t="s">
        <v>32</v>
      </c>
      <c r="J676" t="str">
        <f t="shared" si="30"/>
        <v/>
      </c>
      <c r="K676" t="str">
        <f t="shared" si="31"/>
        <v/>
      </c>
      <c r="L676" t="str">
        <f>IF(C676&lt;&gt;"ST1","",IF(K676="","",K676*(1+参数设置!$B$6)))</f>
        <v/>
      </c>
      <c r="M676" t="str">
        <f>IF(A676="","",参数设置!$B$7)</f>
        <v/>
      </c>
      <c r="N676" t="str">
        <f t="shared" si="32"/>
        <v/>
      </c>
    </row>
    <row r="677" spans="1:14" x14ac:dyDescent="0.25">
      <c r="A677">
        <v>135</v>
      </c>
      <c r="C677" t="s">
        <v>33</v>
      </c>
      <c r="J677" t="str">
        <f t="shared" si="30"/>
        <v/>
      </c>
      <c r="K677" t="str">
        <f t="shared" si="31"/>
        <v/>
      </c>
      <c r="L677" t="str">
        <f>IF(C677&lt;&gt;"ST1","",IF(K677="","",K677*(1+参数设置!$B$6)))</f>
        <v/>
      </c>
      <c r="M677" t="str">
        <f>IF(A677="","",参数设置!$B$7)</f>
        <v/>
      </c>
      <c r="N677" t="str">
        <f t="shared" si="32"/>
        <v/>
      </c>
    </row>
    <row r="678" spans="1:14" x14ac:dyDescent="0.25">
      <c r="A678">
        <v>136</v>
      </c>
      <c r="C678" t="s">
        <v>29</v>
      </c>
      <c r="J678" t="str">
        <f t="shared" si="30"/>
        <v/>
      </c>
      <c r="K678">
        <f t="shared" si="31"/>
        <v>0</v>
      </c>
      <c r="L678">
        <f>IF(C678&lt;&gt;"ST1","",IF(K678="","",K678*(1+参数设置!$B$6)))</f>
        <v>0</v>
      </c>
      <c r="M678" t="str">
        <f>IF(A678="","",参数设置!$B$7)</f>
        <v/>
      </c>
      <c r="N678" t="str">
        <f t="shared" si="32"/>
        <v/>
      </c>
    </row>
    <row r="679" spans="1:14" x14ac:dyDescent="0.25">
      <c r="A679">
        <v>136</v>
      </c>
      <c r="C679" t="s">
        <v>30</v>
      </c>
      <c r="J679" t="str">
        <f t="shared" si="30"/>
        <v/>
      </c>
      <c r="K679" t="str">
        <f t="shared" si="31"/>
        <v/>
      </c>
      <c r="L679" t="str">
        <f>IF(C679&lt;&gt;"ST1","",IF(K679="","",K679*(1+参数设置!$B$6)))</f>
        <v/>
      </c>
      <c r="M679" t="str">
        <f>IF(A679="","",参数设置!$B$7)</f>
        <v/>
      </c>
      <c r="N679" t="str">
        <f t="shared" si="32"/>
        <v/>
      </c>
    </row>
    <row r="680" spans="1:14" x14ac:dyDescent="0.25">
      <c r="A680">
        <v>136</v>
      </c>
      <c r="C680" t="s">
        <v>31</v>
      </c>
      <c r="J680" t="str">
        <f t="shared" si="30"/>
        <v/>
      </c>
      <c r="K680" t="str">
        <f t="shared" si="31"/>
        <v/>
      </c>
      <c r="L680" t="str">
        <f>IF(C680&lt;&gt;"ST1","",IF(K680="","",K680*(1+参数设置!$B$6)))</f>
        <v/>
      </c>
      <c r="M680" t="str">
        <f>IF(A680="","",参数设置!$B$7)</f>
        <v/>
      </c>
      <c r="N680" t="str">
        <f t="shared" si="32"/>
        <v/>
      </c>
    </row>
    <row r="681" spans="1:14" x14ac:dyDescent="0.25">
      <c r="A681">
        <v>136</v>
      </c>
      <c r="C681" t="s">
        <v>32</v>
      </c>
      <c r="J681" t="str">
        <f t="shared" si="30"/>
        <v/>
      </c>
      <c r="K681" t="str">
        <f t="shared" si="31"/>
        <v/>
      </c>
      <c r="L681" t="str">
        <f>IF(C681&lt;&gt;"ST1","",IF(K681="","",K681*(1+参数设置!$B$6)))</f>
        <v/>
      </c>
      <c r="M681" t="str">
        <f>IF(A681="","",参数设置!$B$7)</f>
        <v/>
      </c>
      <c r="N681" t="str">
        <f t="shared" si="32"/>
        <v/>
      </c>
    </row>
    <row r="682" spans="1:14" x14ac:dyDescent="0.25">
      <c r="A682">
        <v>136</v>
      </c>
      <c r="C682" t="s">
        <v>33</v>
      </c>
      <c r="J682" t="str">
        <f t="shared" si="30"/>
        <v/>
      </c>
      <c r="K682" t="str">
        <f t="shared" si="31"/>
        <v/>
      </c>
      <c r="L682" t="str">
        <f>IF(C682&lt;&gt;"ST1","",IF(K682="","",K682*(1+参数设置!$B$6)))</f>
        <v/>
      </c>
      <c r="M682" t="str">
        <f>IF(A682="","",参数设置!$B$7)</f>
        <v/>
      </c>
      <c r="N682" t="str">
        <f t="shared" si="32"/>
        <v/>
      </c>
    </row>
    <row r="683" spans="1:14" x14ac:dyDescent="0.25">
      <c r="A683">
        <v>137</v>
      </c>
      <c r="C683" t="s">
        <v>29</v>
      </c>
      <c r="J683" t="str">
        <f t="shared" si="30"/>
        <v/>
      </c>
      <c r="K683">
        <f t="shared" si="31"/>
        <v>0</v>
      </c>
      <c r="L683">
        <f>IF(C683&lt;&gt;"ST1","",IF(K683="","",K683*(1+参数设置!$B$6)))</f>
        <v>0</v>
      </c>
      <c r="M683" t="str">
        <f>IF(A683="","",参数设置!$B$7)</f>
        <v/>
      </c>
      <c r="N683" t="str">
        <f t="shared" si="32"/>
        <v/>
      </c>
    </row>
    <row r="684" spans="1:14" x14ac:dyDescent="0.25">
      <c r="A684">
        <v>137</v>
      </c>
      <c r="C684" t="s">
        <v>30</v>
      </c>
      <c r="J684" t="str">
        <f t="shared" si="30"/>
        <v/>
      </c>
      <c r="K684" t="str">
        <f t="shared" si="31"/>
        <v/>
      </c>
      <c r="L684" t="str">
        <f>IF(C684&lt;&gt;"ST1","",IF(K684="","",K684*(1+参数设置!$B$6)))</f>
        <v/>
      </c>
      <c r="M684" t="str">
        <f>IF(A684="","",参数设置!$B$7)</f>
        <v/>
      </c>
      <c r="N684" t="str">
        <f t="shared" si="32"/>
        <v/>
      </c>
    </row>
    <row r="685" spans="1:14" x14ac:dyDescent="0.25">
      <c r="A685">
        <v>137</v>
      </c>
      <c r="C685" t="s">
        <v>31</v>
      </c>
      <c r="J685" t="str">
        <f t="shared" si="30"/>
        <v/>
      </c>
      <c r="K685" t="str">
        <f t="shared" si="31"/>
        <v/>
      </c>
      <c r="L685" t="str">
        <f>IF(C685&lt;&gt;"ST1","",IF(K685="","",K685*(1+参数设置!$B$6)))</f>
        <v/>
      </c>
      <c r="M685" t="str">
        <f>IF(A685="","",参数设置!$B$7)</f>
        <v/>
      </c>
      <c r="N685" t="str">
        <f t="shared" si="32"/>
        <v/>
      </c>
    </row>
    <row r="686" spans="1:14" x14ac:dyDescent="0.25">
      <c r="A686">
        <v>137</v>
      </c>
      <c r="C686" t="s">
        <v>32</v>
      </c>
      <c r="J686" t="str">
        <f t="shared" si="30"/>
        <v/>
      </c>
      <c r="K686" t="str">
        <f t="shared" si="31"/>
        <v/>
      </c>
      <c r="L686" t="str">
        <f>IF(C686&lt;&gt;"ST1","",IF(K686="","",K686*(1+参数设置!$B$6)))</f>
        <v/>
      </c>
      <c r="M686" t="str">
        <f>IF(A686="","",参数设置!$B$7)</f>
        <v/>
      </c>
      <c r="N686" t="str">
        <f t="shared" si="32"/>
        <v/>
      </c>
    </row>
    <row r="687" spans="1:14" x14ac:dyDescent="0.25">
      <c r="A687">
        <v>137</v>
      </c>
      <c r="C687" t="s">
        <v>33</v>
      </c>
      <c r="J687" t="str">
        <f t="shared" si="30"/>
        <v/>
      </c>
      <c r="K687" t="str">
        <f t="shared" si="31"/>
        <v/>
      </c>
      <c r="L687" t="str">
        <f>IF(C687&lt;&gt;"ST1","",IF(K687="","",K687*(1+参数设置!$B$6)))</f>
        <v/>
      </c>
      <c r="M687" t="str">
        <f>IF(A687="","",参数设置!$B$7)</f>
        <v/>
      </c>
      <c r="N687" t="str">
        <f t="shared" si="32"/>
        <v/>
      </c>
    </row>
    <row r="688" spans="1:14" x14ac:dyDescent="0.25">
      <c r="A688">
        <v>138</v>
      </c>
      <c r="C688" t="s">
        <v>29</v>
      </c>
      <c r="J688" t="str">
        <f t="shared" si="30"/>
        <v/>
      </c>
      <c r="K688">
        <f t="shared" si="31"/>
        <v>0</v>
      </c>
      <c r="L688">
        <f>IF(C688&lt;&gt;"ST1","",IF(K688="","",K688*(1+参数设置!$B$6)))</f>
        <v>0</v>
      </c>
      <c r="M688" t="str">
        <f>IF(A688="","",参数设置!$B$7)</f>
        <v/>
      </c>
      <c r="N688" t="str">
        <f t="shared" si="32"/>
        <v/>
      </c>
    </row>
    <row r="689" spans="1:14" x14ac:dyDescent="0.25">
      <c r="A689">
        <v>138</v>
      </c>
      <c r="C689" t="s">
        <v>30</v>
      </c>
      <c r="J689" t="str">
        <f t="shared" si="30"/>
        <v/>
      </c>
      <c r="K689" t="str">
        <f t="shared" si="31"/>
        <v/>
      </c>
      <c r="L689" t="str">
        <f>IF(C689&lt;&gt;"ST1","",IF(K689="","",K689*(1+参数设置!$B$6)))</f>
        <v/>
      </c>
      <c r="M689" t="str">
        <f>IF(A689="","",参数设置!$B$7)</f>
        <v/>
      </c>
      <c r="N689" t="str">
        <f t="shared" si="32"/>
        <v/>
      </c>
    </row>
    <row r="690" spans="1:14" x14ac:dyDescent="0.25">
      <c r="A690">
        <v>138</v>
      </c>
      <c r="C690" t="s">
        <v>31</v>
      </c>
      <c r="J690" t="str">
        <f t="shared" si="30"/>
        <v/>
      </c>
      <c r="K690" t="str">
        <f t="shared" si="31"/>
        <v/>
      </c>
      <c r="L690" t="str">
        <f>IF(C690&lt;&gt;"ST1","",IF(K690="","",K690*(1+参数设置!$B$6)))</f>
        <v/>
      </c>
      <c r="M690" t="str">
        <f>IF(A690="","",参数设置!$B$7)</f>
        <v/>
      </c>
      <c r="N690" t="str">
        <f t="shared" si="32"/>
        <v/>
      </c>
    </row>
    <row r="691" spans="1:14" x14ac:dyDescent="0.25">
      <c r="A691">
        <v>138</v>
      </c>
      <c r="C691" t="s">
        <v>32</v>
      </c>
      <c r="J691" t="str">
        <f t="shared" si="30"/>
        <v/>
      </c>
      <c r="K691" t="str">
        <f t="shared" si="31"/>
        <v/>
      </c>
      <c r="L691" t="str">
        <f>IF(C691&lt;&gt;"ST1","",IF(K691="","",K691*(1+参数设置!$B$6)))</f>
        <v/>
      </c>
      <c r="M691" t="str">
        <f>IF(A691="","",参数设置!$B$7)</f>
        <v/>
      </c>
      <c r="N691" t="str">
        <f t="shared" si="32"/>
        <v/>
      </c>
    </row>
    <row r="692" spans="1:14" x14ac:dyDescent="0.25">
      <c r="A692">
        <v>138</v>
      </c>
      <c r="C692" t="s">
        <v>33</v>
      </c>
      <c r="J692" t="str">
        <f t="shared" si="30"/>
        <v/>
      </c>
      <c r="K692" t="str">
        <f t="shared" si="31"/>
        <v/>
      </c>
      <c r="L692" t="str">
        <f>IF(C692&lt;&gt;"ST1","",IF(K692="","",K692*(1+参数设置!$B$6)))</f>
        <v/>
      </c>
      <c r="M692" t="str">
        <f>IF(A692="","",参数设置!$B$7)</f>
        <v/>
      </c>
      <c r="N692" t="str">
        <f t="shared" si="32"/>
        <v/>
      </c>
    </row>
    <row r="693" spans="1:14" x14ac:dyDescent="0.25">
      <c r="A693">
        <v>139</v>
      </c>
      <c r="C693" t="s">
        <v>29</v>
      </c>
      <c r="J693" t="str">
        <f t="shared" si="30"/>
        <v/>
      </c>
      <c r="K693">
        <f t="shared" si="31"/>
        <v>0</v>
      </c>
      <c r="L693">
        <f>IF(C693&lt;&gt;"ST1","",IF(K693="","",K693*(1+参数设置!$B$6)))</f>
        <v>0</v>
      </c>
      <c r="M693" t="str">
        <f>IF(A693="","",参数设置!$B$7)</f>
        <v/>
      </c>
      <c r="N693" t="str">
        <f t="shared" si="32"/>
        <v/>
      </c>
    </row>
    <row r="694" spans="1:14" x14ac:dyDescent="0.25">
      <c r="A694">
        <v>139</v>
      </c>
      <c r="C694" t="s">
        <v>30</v>
      </c>
      <c r="J694" t="str">
        <f t="shared" si="30"/>
        <v/>
      </c>
      <c r="K694" t="str">
        <f t="shared" si="31"/>
        <v/>
      </c>
      <c r="L694" t="str">
        <f>IF(C694&lt;&gt;"ST1","",IF(K694="","",K694*(1+参数设置!$B$6)))</f>
        <v/>
      </c>
      <c r="M694" t="str">
        <f>IF(A694="","",参数设置!$B$7)</f>
        <v/>
      </c>
      <c r="N694" t="str">
        <f t="shared" si="32"/>
        <v/>
      </c>
    </row>
    <row r="695" spans="1:14" x14ac:dyDescent="0.25">
      <c r="A695">
        <v>139</v>
      </c>
      <c r="C695" t="s">
        <v>31</v>
      </c>
      <c r="J695" t="str">
        <f t="shared" si="30"/>
        <v/>
      </c>
      <c r="K695" t="str">
        <f t="shared" si="31"/>
        <v/>
      </c>
      <c r="L695" t="str">
        <f>IF(C695&lt;&gt;"ST1","",IF(K695="","",K695*(1+参数设置!$B$6)))</f>
        <v/>
      </c>
      <c r="M695" t="str">
        <f>IF(A695="","",参数设置!$B$7)</f>
        <v/>
      </c>
      <c r="N695" t="str">
        <f t="shared" si="32"/>
        <v/>
      </c>
    </row>
    <row r="696" spans="1:14" x14ac:dyDescent="0.25">
      <c r="A696">
        <v>139</v>
      </c>
      <c r="C696" t="s">
        <v>32</v>
      </c>
      <c r="J696" t="str">
        <f t="shared" si="30"/>
        <v/>
      </c>
      <c r="K696" t="str">
        <f t="shared" si="31"/>
        <v/>
      </c>
      <c r="L696" t="str">
        <f>IF(C696&lt;&gt;"ST1","",IF(K696="","",K696*(1+参数设置!$B$6)))</f>
        <v/>
      </c>
      <c r="M696" t="str">
        <f>IF(A696="","",参数设置!$B$7)</f>
        <v/>
      </c>
      <c r="N696" t="str">
        <f t="shared" si="32"/>
        <v/>
      </c>
    </row>
    <row r="697" spans="1:14" x14ac:dyDescent="0.25">
      <c r="A697">
        <v>139</v>
      </c>
      <c r="C697" t="s">
        <v>33</v>
      </c>
      <c r="J697" t="str">
        <f t="shared" si="30"/>
        <v/>
      </c>
      <c r="K697" t="str">
        <f t="shared" si="31"/>
        <v/>
      </c>
      <c r="L697" t="str">
        <f>IF(C697&lt;&gt;"ST1","",IF(K697="","",K697*(1+参数设置!$B$6)))</f>
        <v/>
      </c>
      <c r="M697" t="str">
        <f>IF(A697="","",参数设置!$B$7)</f>
        <v/>
      </c>
      <c r="N697" t="str">
        <f t="shared" si="32"/>
        <v/>
      </c>
    </row>
    <row r="698" spans="1:14" x14ac:dyDescent="0.25">
      <c r="A698">
        <v>140</v>
      </c>
      <c r="C698" t="s">
        <v>29</v>
      </c>
      <c r="J698" t="str">
        <f t="shared" si="30"/>
        <v/>
      </c>
      <c r="K698">
        <f t="shared" si="31"/>
        <v>0</v>
      </c>
      <c r="L698">
        <f>IF(C698&lt;&gt;"ST1","",IF(K698="","",K698*(1+参数设置!$B$6)))</f>
        <v>0</v>
      </c>
      <c r="M698" t="str">
        <f>IF(A698="","",参数设置!$B$7)</f>
        <v/>
      </c>
      <c r="N698" t="str">
        <f t="shared" si="32"/>
        <v/>
      </c>
    </row>
    <row r="699" spans="1:14" x14ac:dyDescent="0.25">
      <c r="A699">
        <v>140</v>
      </c>
      <c r="C699" t="s">
        <v>30</v>
      </c>
      <c r="J699" t="str">
        <f t="shared" si="30"/>
        <v/>
      </c>
      <c r="K699" t="str">
        <f t="shared" si="31"/>
        <v/>
      </c>
      <c r="L699" t="str">
        <f>IF(C699&lt;&gt;"ST1","",IF(K699="","",K699*(1+参数设置!$B$6)))</f>
        <v/>
      </c>
      <c r="M699" t="str">
        <f>IF(A699="","",参数设置!$B$7)</f>
        <v/>
      </c>
      <c r="N699" t="str">
        <f t="shared" si="32"/>
        <v/>
      </c>
    </row>
    <row r="700" spans="1:14" x14ac:dyDescent="0.25">
      <c r="A700">
        <v>140</v>
      </c>
      <c r="C700" t="s">
        <v>31</v>
      </c>
      <c r="J700" t="str">
        <f t="shared" si="30"/>
        <v/>
      </c>
      <c r="K700" t="str">
        <f t="shared" si="31"/>
        <v/>
      </c>
      <c r="L700" t="str">
        <f>IF(C700&lt;&gt;"ST1","",IF(K700="","",K700*(1+参数设置!$B$6)))</f>
        <v/>
      </c>
      <c r="M700" t="str">
        <f>IF(A700="","",参数设置!$B$7)</f>
        <v/>
      </c>
      <c r="N700" t="str">
        <f t="shared" si="32"/>
        <v/>
      </c>
    </row>
    <row r="701" spans="1:14" x14ac:dyDescent="0.25">
      <c r="A701">
        <v>140</v>
      </c>
      <c r="C701" t="s">
        <v>32</v>
      </c>
      <c r="J701" t="str">
        <f t="shared" si="30"/>
        <v/>
      </c>
      <c r="K701" t="str">
        <f t="shared" si="31"/>
        <v/>
      </c>
      <c r="L701" t="str">
        <f>IF(C701&lt;&gt;"ST1","",IF(K701="","",K701*(1+参数设置!$B$6)))</f>
        <v/>
      </c>
      <c r="M701" t="str">
        <f>IF(A701="","",参数设置!$B$7)</f>
        <v/>
      </c>
      <c r="N701" t="str">
        <f t="shared" si="32"/>
        <v/>
      </c>
    </row>
    <row r="702" spans="1:14" x14ac:dyDescent="0.25">
      <c r="A702" s="11">
        <v>140</v>
      </c>
      <c r="C702" t="s">
        <v>33</v>
      </c>
      <c r="D702" s="4"/>
      <c r="E702" s="6"/>
      <c r="J702" t="str">
        <f t="shared" si="30"/>
        <v/>
      </c>
      <c r="K702" t="str">
        <f t="shared" si="31"/>
        <v/>
      </c>
      <c r="L702" t="str">
        <f>IF(C702&lt;&gt;"ST1","",IF(K702="","",K702*(1+参数设置!$B$6)))</f>
        <v/>
      </c>
      <c r="M702" t="str">
        <f>IF(A702="","",参数设置!$B$7)</f>
        <v/>
      </c>
      <c r="N702" t="str">
        <f t="shared" si="32"/>
        <v/>
      </c>
    </row>
  </sheetData>
  <mergeCells count="1">
    <mergeCell ref="A1:O1"/>
  </mergeCells>
  <phoneticPr fontId="4" type="noConversion"/>
  <conditionalFormatting sqref="N702">
    <cfRule type="cellIs" dxfId="1" priority="1" stopIfTrue="1" operator="equal">
      <formula>"超节拍"</formula>
    </cfRule>
    <cfRule type="cellIs" dxfId="0" priority="2" stopIfTrue="1" operator="equal">
      <formula>"接近上限"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FB17D-6D38-40F8-9C36-443DF53DB58D}">
  <dimension ref="A1:EK15"/>
  <sheetViews>
    <sheetView topLeftCell="A7" workbookViewId="0">
      <pane xSplit="1" ySplit="9" topLeftCell="B16" activePane="bottomRight" state="frozen"/>
      <selection activeCell="A7" sqref="A7"/>
      <selection pane="topRight" activeCell="B7" sqref="B7"/>
      <selection pane="bottomLeft" activeCell="A16" sqref="A16"/>
      <selection pane="bottomRight" activeCell="B16" sqref="B16"/>
    </sheetView>
  </sheetViews>
  <sheetFormatPr defaultRowHeight="13.8" x14ac:dyDescent="0.25"/>
  <cols>
    <col min="1" max="1" width="12.77734375" customWidth="1"/>
    <col min="2" max="141" width="7.77734375" customWidth="1"/>
  </cols>
  <sheetData>
    <row r="1" spans="1:141" x14ac:dyDescent="0.25">
      <c r="A1" s="10" t="s">
        <v>40</v>
      </c>
      <c r="B1" s="7">
        <f>动作要素测量!A3</f>
        <v>1</v>
      </c>
      <c r="C1" s="7">
        <f>动作要素测量!A8</f>
        <v>2</v>
      </c>
      <c r="D1" s="7">
        <f>动作要素测量!A13</f>
        <v>3</v>
      </c>
      <c r="E1" s="7">
        <f>动作要素测量!A18</f>
        <v>4</v>
      </c>
      <c r="F1" s="7">
        <f>动作要素测量!A23</f>
        <v>5</v>
      </c>
      <c r="G1" s="7">
        <f>动作要素测量!A28</f>
        <v>6</v>
      </c>
      <c r="H1" s="7">
        <f>动作要素测量!A33</f>
        <v>7</v>
      </c>
      <c r="I1" s="7">
        <f>动作要素测量!A38</f>
        <v>8</v>
      </c>
      <c r="J1" s="7">
        <f>动作要素测量!A43</f>
        <v>9</v>
      </c>
      <c r="K1" s="7">
        <f>动作要素测量!A48</f>
        <v>10</v>
      </c>
      <c r="L1" s="7">
        <f>动作要素测量!A53</f>
        <v>11</v>
      </c>
      <c r="M1" s="7">
        <f>动作要素测量!A58</f>
        <v>12</v>
      </c>
      <c r="N1" s="7">
        <f>动作要素测量!A63</f>
        <v>13</v>
      </c>
      <c r="O1" s="7">
        <f>动作要素测量!A68</f>
        <v>14</v>
      </c>
      <c r="P1" s="7">
        <f>动作要素测量!A73</f>
        <v>15</v>
      </c>
      <c r="Q1" s="7">
        <f>动作要素测量!A78</f>
        <v>16</v>
      </c>
      <c r="R1" s="7">
        <f>动作要素测量!A83</f>
        <v>17</v>
      </c>
      <c r="S1" s="7">
        <f>动作要素测量!A88</f>
        <v>18</v>
      </c>
      <c r="T1" s="7">
        <f>动作要素测量!A93</f>
        <v>19</v>
      </c>
      <c r="U1" s="7">
        <f>动作要素测量!A98</f>
        <v>20</v>
      </c>
      <c r="V1" s="7">
        <f>动作要素测量!A103</f>
        <v>21</v>
      </c>
      <c r="W1" s="7">
        <f>动作要素测量!A108</f>
        <v>22</v>
      </c>
      <c r="X1" s="7">
        <f>动作要素测量!A113</f>
        <v>23</v>
      </c>
      <c r="Y1" s="7">
        <f>动作要素测量!A118</f>
        <v>24</v>
      </c>
      <c r="Z1" s="7">
        <f>动作要素测量!A123</f>
        <v>25</v>
      </c>
      <c r="AA1" s="7">
        <f>动作要素测量!A128</f>
        <v>26</v>
      </c>
      <c r="AB1" s="7">
        <f>动作要素测量!A133</f>
        <v>27</v>
      </c>
      <c r="AC1" s="7">
        <f>动作要素测量!A138</f>
        <v>28</v>
      </c>
      <c r="AD1" s="7">
        <f>动作要素测量!A143</f>
        <v>29</v>
      </c>
      <c r="AE1" s="7">
        <f>动作要素测量!A148</f>
        <v>30</v>
      </c>
      <c r="AF1" s="7">
        <f>动作要素测量!A153</f>
        <v>31</v>
      </c>
      <c r="AG1" s="7">
        <f>动作要素测量!A158</f>
        <v>32</v>
      </c>
      <c r="AH1" s="7">
        <f>动作要素测量!A163</f>
        <v>33</v>
      </c>
      <c r="AI1" s="7">
        <f>动作要素测量!A168</f>
        <v>34</v>
      </c>
      <c r="AJ1" s="7">
        <f>动作要素测量!A173</f>
        <v>35</v>
      </c>
      <c r="AK1" s="7">
        <f>动作要素测量!A178</f>
        <v>36</v>
      </c>
      <c r="AL1" s="7">
        <f>动作要素测量!A183</f>
        <v>37</v>
      </c>
      <c r="AM1" s="7">
        <f>动作要素测量!A188</f>
        <v>38</v>
      </c>
      <c r="AN1" s="7">
        <f>动作要素测量!A193</f>
        <v>39</v>
      </c>
      <c r="AO1" s="7">
        <f>动作要素测量!A198</f>
        <v>40</v>
      </c>
      <c r="AP1" s="7">
        <f>动作要素测量!A203</f>
        <v>41</v>
      </c>
      <c r="AQ1" s="7">
        <f>动作要素测量!A208</f>
        <v>42</v>
      </c>
      <c r="AR1" s="7">
        <f>动作要素测量!A213</f>
        <v>43</v>
      </c>
      <c r="AS1" s="7">
        <f>动作要素测量!A218</f>
        <v>44</v>
      </c>
      <c r="AT1" s="7">
        <f>动作要素测量!A223</f>
        <v>45</v>
      </c>
      <c r="AU1" s="7">
        <f>动作要素测量!A228</f>
        <v>46</v>
      </c>
      <c r="AV1" s="7">
        <f>动作要素测量!A233</f>
        <v>47</v>
      </c>
      <c r="AW1" s="7">
        <f>动作要素测量!A238</f>
        <v>48</v>
      </c>
      <c r="AX1" s="7">
        <f>动作要素测量!A243</f>
        <v>49</v>
      </c>
      <c r="AY1" s="7">
        <f>动作要素测量!A248</f>
        <v>50</v>
      </c>
      <c r="AZ1" s="7">
        <f>动作要素测量!A253</f>
        <v>51</v>
      </c>
      <c r="BA1" s="7">
        <f>动作要素测量!A258</f>
        <v>52</v>
      </c>
      <c r="BB1" s="7">
        <f>动作要素测量!A263</f>
        <v>53</v>
      </c>
      <c r="BC1" s="7">
        <f>动作要素测量!A268</f>
        <v>54</v>
      </c>
      <c r="BD1" s="7">
        <f>动作要素测量!A273</f>
        <v>55</v>
      </c>
      <c r="BE1" s="7">
        <f>动作要素测量!A278</f>
        <v>56</v>
      </c>
      <c r="BF1" s="7">
        <f>动作要素测量!A283</f>
        <v>57</v>
      </c>
      <c r="BG1" s="7">
        <f>动作要素测量!A288</f>
        <v>58</v>
      </c>
      <c r="BH1" s="7">
        <f>动作要素测量!A293</f>
        <v>59</v>
      </c>
      <c r="BI1" s="7">
        <f>动作要素测量!A298</f>
        <v>60</v>
      </c>
      <c r="BJ1" s="7">
        <f>动作要素测量!A303</f>
        <v>61</v>
      </c>
      <c r="BK1" s="7">
        <f>动作要素测量!A308</f>
        <v>62</v>
      </c>
      <c r="BL1" s="7">
        <f>动作要素测量!A313</f>
        <v>63</v>
      </c>
      <c r="BM1" s="7">
        <f>动作要素测量!A318</f>
        <v>64</v>
      </c>
      <c r="BN1" s="7">
        <f>动作要素测量!A323</f>
        <v>65</v>
      </c>
      <c r="BO1" s="7">
        <f>动作要素测量!A328</f>
        <v>66</v>
      </c>
      <c r="BP1" s="7">
        <f>动作要素测量!A333</f>
        <v>67</v>
      </c>
      <c r="BQ1" s="7">
        <f>动作要素测量!A338</f>
        <v>68</v>
      </c>
      <c r="BR1" s="7">
        <f>动作要素测量!A343</f>
        <v>69</v>
      </c>
      <c r="BS1" s="7">
        <f>动作要素测量!A348</f>
        <v>70</v>
      </c>
      <c r="BT1" s="7">
        <f>动作要素测量!A353</f>
        <v>71</v>
      </c>
      <c r="BU1" s="7">
        <f>动作要素测量!A358</f>
        <v>72</v>
      </c>
      <c r="BV1" s="7">
        <f>动作要素测量!A363</f>
        <v>73</v>
      </c>
      <c r="BW1" s="7">
        <f>动作要素测量!A368</f>
        <v>74</v>
      </c>
      <c r="BX1" s="7">
        <f>动作要素测量!A373</f>
        <v>75</v>
      </c>
      <c r="BY1" s="7">
        <f>动作要素测量!A378</f>
        <v>76</v>
      </c>
      <c r="BZ1" s="7">
        <f>动作要素测量!A383</f>
        <v>77</v>
      </c>
      <c r="CA1" s="7">
        <f>动作要素测量!A388</f>
        <v>78</v>
      </c>
      <c r="CB1" s="7">
        <f>动作要素测量!A393</f>
        <v>79</v>
      </c>
      <c r="CC1" s="7">
        <f>动作要素测量!A398</f>
        <v>80</v>
      </c>
      <c r="CD1" s="7">
        <f>动作要素测量!A403</f>
        <v>81</v>
      </c>
      <c r="CE1" s="7">
        <f>动作要素测量!A408</f>
        <v>82</v>
      </c>
      <c r="CF1" s="7">
        <f>动作要素测量!A413</f>
        <v>83</v>
      </c>
      <c r="CG1" s="7">
        <f>动作要素测量!A418</f>
        <v>84</v>
      </c>
      <c r="CH1" s="7">
        <f>动作要素测量!A423</f>
        <v>85</v>
      </c>
      <c r="CI1" s="7">
        <f>动作要素测量!A428</f>
        <v>86</v>
      </c>
      <c r="CJ1" s="7">
        <f>动作要素测量!A433</f>
        <v>87</v>
      </c>
      <c r="CK1" s="7">
        <f>动作要素测量!A438</f>
        <v>88</v>
      </c>
      <c r="CL1" s="7">
        <f>动作要素测量!A443</f>
        <v>89</v>
      </c>
      <c r="CM1" s="7">
        <f>动作要素测量!A448</f>
        <v>90</v>
      </c>
      <c r="CN1" s="7">
        <f>动作要素测量!A453</f>
        <v>91</v>
      </c>
      <c r="CO1" s="7">
        <f>动作要素测量!A458</f>
        <v>92</v>
      </c>
      <c r="CP1" s="7">
        <f>动作要素测量!A463</f>
        <v>93</v>
      </c>
      <c r="CQ1" s="7">
        <f>动作要素测量!A468</f>
        <v>94</v>
      </c>
      <c r="CR1" s="7">
        <f>动作要素测量!A473</f>
        <v>95</v>
      </c>
      <c r="CS1" s="7">
        <f>动作要素测量!A478</f>
        <v>96</v>
      </c>
      <c r="CT1" s="7">
        <f>动作要素测量!A483</f>
        <v>97</v>
      </c>
      <c r="CU1" s="7">
        <f>动作要素测量!A488</f>
        <v>98</v>
      </c>
      <c r="CV1" s="7">
        <f>动作要素测量!A493</f>
        <v>99</v>
      </c>
      <c r="CW1" s="7">
        <f>动作要素测量!A498</f>
        <v>100</v>
      </c>
      <c r="CX1" s="7">
        <f>动作要素测量!A503</f>
        <v>101</v>
      </c>
      <c r="CY1" s="7">
        <f>动作要素测量!A508</f>
        <v>102</v>
      </c>
      <c r="CZ1" s="7">
        <f>动作要素测量!A513</f>
        <v>103</v>
      </c>
      <c r="DA1" s="7">
        <f>动作要素测量!A518</f>
        <v>104</v>
      </c>
      <c r="DB1" s="7">
        <f>动作要素测量!A523</f>
        <v>105</v>
      </c>
      <c r="DC1" s="7">
        <f>动作要素测量!A528</f>
        <v>106</v>
      </c>
      <c r="DD1" s="7">
        <f>动作要素测量!A533</f>
        <v>107</v>
      </c>
      <c r="DE1" s="7">
        <f>动作要素测量!A538</f>
        <v>108</v>
      </c>
      <c r="DF1" s="7">
        <f>动作要素测量!A543</f>
        <v>109</v>
      </c>
      <c r="DG1" s="7">
        <f>动作要素测量!A548</f>
        <v>110</v>
      </c>
      <c r="DH1" s="7">
        <f>动作要素测量!A553</f>
        <v>111</v>
      </c>
      <c r="DI1" s="7">
        <f>动作要素测量!A558</f>
        <v>112</v>
      </c>
      <c r="DJ1" s="7">
        <f>动作要素测量!A563</f>
        <v>113</v>
      </c>
      <c r="DK1" s="7">
        <f>动作要素测量!A568</f>
        <v>114</v>
      </c>
      <c r="DL1" s="7">
        <f>动作要素测量!A573</f>
        <v>115</v>
      </c>
      <c r="DM1" s="7">
        <f>动作要素测量!A578</f>
        <v>116</v>
      </c>
      <c r="DN1" s="7">
        <f>动作要素测量!A583</f>
        <v>117</v>
      </c>
      <c r="DO1" s="7">
        <f>动作要素测量!A588</f>
        <v>118</v>
      </c>
      <c r="DP1" s="7">
        <f>动作要素测量!A593</f>
        <v>119</v>
      </c>
      <c r="DQ1" s="7">
        <f>动作要素测量!A598</f>
        <v>120</v>
      </c>
      <c r="DR1" s="7">
        <f>动作要素测量!A603</f>
        <v>121</v>
      </c>
      <c r="DS1" s="7">
        <f>动作要素测量!A608</f>
        <v>122</v>
      </c>
      <c r="DT1" s="7">
        <f>动作要素测量!A613</f>
        <v>123</v>
      </c>
      <c r="DU1" s="7">
        <f>动作要素测量!A618</f>
        <v>124</v>
      </c>
      <c r="DV1" s="7">
        <f>动作要素测量!A623</f>
        <v>125</v>
      </c>
      <c r="DW1" s="7">
        <f>动作要素测量!A628</f>
        <v>126</v>
      </c>
      <c r="DX1" s="7">
        <f>动作要素测量!A633</f>
        <v>127</v>
      </c>
      <c r="DY1" s="7">
        <f>动作要素测量!A638</f>
        <v>128</v>
      </c>
      <c r="DZ1" s="7">
        <f>动作要素测量!A643</f>
        <v>129</v>
      </c>
      <c r="EA1" s="7">
        <f>动作要素测量!A648</f>
        <v>130</v>
      </c>
      <c r="EB1" s="7">
        <f>动作要素测量!A653</f>
        <v>131</v>
      </c>
      <c r="EC1" s="7">
        <f>动作要素测量!A658</f>
        <v>132</v>
      </c>
      <c r="ED1" s="7">
        <f>动作要素测量!A663</f>
        <v>133</v>
      </c>
      <c r="EE1" s="7">
        <f>动作要素测量!A668</f>
        <v>134</v>
      </c>
      <c r="EF1" s="7">
        <f>动作要素测量!A673</f>
        <v>135</v>
      </c>
      <c r="EG1" s="7">
        <f>动作要素测量!A678</f>
        <v>136</v>
      </c>
      <c r="EH1" s="7">
        <f>动作要素测量!A683</f>
        <v>137</v>
      </c>
      <c r="EI1" s="7">
        <f>动作要素测量!A688</f>
        <v>138</v>
      </c>
      <c r="EJ1" s="7">
        <f>动作要素测量!A693</f>
        <v>139</v>
      </c>
      <c r="EK1" s="7">
        <f>动作要素测量!A698</f>
        <v>140</v>
      </c>
    </row>
    <row r="2" spans="1:141" ht="61.95" customHeight="1" x14ac:dyDescent="0.25">
      <c r="A2" s="10" t="s">
        <v>27</v>
      </c>
      <c r="B2" s="12" t="str">
        <f>IF(动作要素测量!B3="","",动作要素测量!B3)</f>
        <v/>
      </c>
      <c r="C2" s="12" t="str">
        <f>IF(动作要素测量!B8="","",动作要素测量!B8)</f>
        <v/>
      </c>
      <c r="D2" s="12" t="str">
        <f>IF(动作要素测量!B13="","",动作要素测量!B13)</f>
        <v/>
      </c>
      <c r="E2" s="12" t="str">
        <f>IF(动作要素测量!B18="","",动作要素测量!B18)</f>
        <v/>
      </c>
      <c r="F2" s="12" t="str">
        <f>IF(动作要素测量!B23="","",动作要素测量!B23)</f>
        <v/>
      </c>
      <c r="G2" s="12" t="str">
        <f>IF(动作要素测量!B28="","",动作要素测量!B28)</f>
        <v/>
      </c>
      <c r="H2" s="12" t="str">
        <f>IF(动作要素测量!B33="","",动作要素测量!B33)</f>
        <v/>
      </c>
      <c r="I2" s="12" t="str">
        <f>IF(动作要素测量!B38="","",动作要素测量!B38)</f>
        <v/>
      </c>
      <c r="J2" s="12" t="str">
        <f>IF(动作要素测量!B43="","",动作要素测量!B43)</f>
        <v/>
      </c>
      <c r="K2" s="12" t="str">
        <f>IF(动作要素测量!B48="","",动作要素测量!B48)</f>
        <v/>
      </c>
      <c r="L2" s="12" t="str">
        <f>IF(动作要素测量!B53="","",动作要素测量!B53)</f>
        <v/>
      </c>
      <c r="M2" s="12" t="str">
        <f>IF(动作要素测量!B58="","",动作要素测量!B58)</f>
        <v/>
      </c>
      <c r="N2" s="12" t="str">
        <f>IF(动作要素测量!B63="","",动作要素测量!B63)</f>
        <v/>
      </c>
      <c r="O2" s="12" t="str">
        <f>IF(动作要素测量!B68="","",动作要素测量!B68)</f>
        <v/>
      </c>
      <c r="P2" s="12" t="str">
        <f>IF(动作要素测量!B73="","",动作要素测量!B73)</f>
        <v/>
      </c>
      <c r="Q2" s="12" t="str">
        <f>IF(动作要素测量!B78="","",动作要素测量!B78)</f>
        <v/>
      </c>
      <c r="R2" s="12" t="str">
        <f>IF(动作要素测量!B83="","",动作要素测量!B83)</f>
        <v/>
      </c>
      <c r="S2" s="12" t="str">
        <f>IF(动作要素测量!B88="","",动作要素测量!B88)</f>
        <v/>
      </c>
      <c r="T2" s="12" t="str">
        <f>IF(动作要素测量!B93="","",动作要素测量!B93)</f>
        <v/>
      </c>
      <c r="U2" s="12" t="str">
        <f>IF(动作要素测量!B98="","",动作要素测量!B98)</f>
        <v/>
      </c>
      <c r="V2" s="12" t="str">
        <f>IF(动作要素测量!B103="","",动作要素测量!B103)</f>
        <v/>
      </c>
      <c r="W2" s="12" t="str">
        <f>IF(动作要素测量!B108="","",动作要素测量!B108)</f>
        <v/>
      </c>
      <c r="X2" s="12" t="str">
        <f>IF(动作要素测量!B113="","",动作要素测量!B113)</f>
        <v/>
      </c>
      <c r="Y2" s="12" t="str">
        <f>IF(动作要素测量!B118="","",动作要素测量!B118)</f>
        <v/>
      </c>
      <c r="Z2" s="12" t="str">
        <f>IF(动作要素测量!B123="","",动作要素测量!B123)</f>
        <v/>
      </c>
      <c r="AA2" s="12" t="str">
        <f>IF(动作要素测量!B128="","",动作要素测量!B128)</f>
        <v/>
      </c>
      <c r="AB2" s="12" t="str">
        <f>IF(动作要素测量!B133="","",动作要素测量!B133)</f>
        <v/>
      </c>
      <c r="AC2" s="12" t="str">
        <f>IF(动作要素测量!B138="","",动作要素测量!B138)</f>
        <v/>
      </c>
      <c r="AD2" s="12" t="str">
        <f>IF(动作要素测量!B143="","",动作要素测量!B143)</f>
        <v/>
      </c>
      <c r="AE2" s="12" t="str">
        <f>IF(动作要素测量!B148="","",动作要素测量!B148)</f>
        <v/>
      </c>
      <c r="AF2" s="12" t="str">
        <f>IF(动作要素测量!B153="","",动作要素测量!B153)</f>
        <v/>
      </c>
      <c r="AG2" s="12" t="str">
        <f>IF(动作要素测量!B158="","",动作要素测量!B158)</f>
        <v/>
      </c>
      <c r="AH2" s="12" t="str">
        <f>IF(动作要素测量!B163="","",动作要素测量!B163)</f>
        <v/>
      </c>
      <c r="AI2" s="12" t="str">
        <f>IF(动作要素测量!B168="","",动作要素测量!B168)</f>
        <v/>
      </c>
      <c r="AJ2" s="12" t="str">
        <f>IF(动作要素测量!B173="","",动作要素测量!B173)</f>
        <v/>
      </c>
      <c r="AK2" s="12" t="str">
        <f>IF(动作要素测量!B178="","",动作要素测量!B178)</f>
        <v/>
      </c>
      <c r="AL2" s="12" t="str">
        <f>IF(动作要素测量!B183="","",动作要素测量!B183)</f>
        <v/>
      </c>
      <c r="AM2" s="12" t="str">
        <f>IF(动作要素测量!B188="","",动作要素测量!B188)</f>
        <v/>
      </c>
      <c r="AN2" s="12" t="str">
        <f>IF(动作要素测量!B193="","",动作要素测量!B193)</f>
        <v/>
      </c>
      <c r="AO2" s="12" t="str">
        <f>IF(动作要素测量!B198="","",动作要素测量!B198)</f>
        <v/>
      </c>
      <c r="AP2" s="12" t="str">
        <f>IF(动作要素测量!B203="","",动作要素测量!B203)</f>
        <v/>
      </c>
      <c r="AQ2" s="12" t="str">
        <f>IF(动作要素测量!B208="","",动作要素测量!B208)</f>
        <v/>
      </c>
      <c r="AR2" s="12" t="str">
        <f>IF(动作要素测量!B213="","",动作要素测量!B213)</f>
        <v/>
      </c>
      <c r="AS2" s="12" t="str">
        <f>IF(动作要素测量!B218="","",动作要素测量!B218)</f>
        <v/>
      </c>
      <c r="AT2" s="12" t="str">
        <f>IF(动作要素测量!B223="","",动作要素测量!B223)</f>
        <v/>
      </c>
      <c r="AU2" s="12" t="str">
        <f>IF(动作要素测量!B228="","",动作要素测量!B228)</f>
        <v/>
      </c>
      <c r="AV2" s="12" t="str">
        <f>IF(动作要素测量!B233="","",动作要素测量!B233)</f>
        <v/>
      </c>
      <c r="AW2" s="12" t="str">
        <f>IF(动作要素测量!B238="","",动作要素测量!B238)</f>
        <v/>
      </c>
      <c r="AX2" s="12" t="str">
        <f>IF(动作要素测量!B243="","",动作要素测量!B243)</f>
        <v/>
      </c>
      <c r="AY2" s="12" t="str">
        <f>IF(动作要素测量!B248="","",动作要素测量!B248)</f>
        <v/>
      </c>
      <c r="AZ2" s="12" t="str">
        <f>IF(动作要素测量!B253="","",动作要素测量!B253)</f>
        <v/>
      </c>
      <c r="BA2" s="12" t="str">
        <f>IF(动作要素测量!B258="","",动作要素测量!B258)</f>
        <v/>
      </c>
      <c r="BB2" s="12" t="str">
        <f>IF(动作要素测量!B263="","",动作要素测量!B263)</f>
        <v/>
      </c>
      <c r="BC2" s="12" t="str">
        <f>IF(动作要素测量!B268="","",动作要素测量!B268)</f>
        <v/>
      </c>
      <c r="BD2" s="12" t="str">
        <f>IF(动作要素测量!B273="","",动作要素测量!B273)</f>
        <v/>
      </c>
      <c r="BE2" s="12" t="str">
        <f>IF(动作要素测量!B278="","",动作要素测量!B278)</f>
        <v/>
      </c>
      <c r="BF2" s="12" t="str">
        <f>IF(动作要素测量!B283="","",动作要素测量!B283)</f>
        <v/>
      </c>
      <c r="BG2" s="12" t="str">
        <f>IF(动作要素测量!B288="","",动作要素测量!B288)</f>
        <v/>
      </c>
      <c r="BH2" s="12" t="str">
        <f>IF(动作要素测量!B293="","",动作要素测量!B293)</f>
        <v/>
      </c>
      <c r="BI2" s="12" t="str">
        <f>IF(动作要素测量!B298="","",动作要素测量!B298)</f>
        <v/>
      </c>
      <c r="BJ2" s="12" t="str">
        <f>IF(动作要素测量!B303="","",动作要素测量!B303)</f>
        <v/>
      </c>
      <c r="BK2" s="12" t="str">
        <f>IF(动作要素测量!B308="","",动作要素测量!B308)</f>
        <v/>
      </c>
      <c r="BL2" s="12" t="str">
        <f>IF(动作要素测量!B313="","",动作要素测量!B313)</f>
        <v/>
      </c>
      <c r="BM2" s="12" t="str">
        <f>IF(动作要素测量!B318="","",动作要素测量!B318)</f>
        <v/>
      </c>
      <c r="BN2" s="12" t="str">
        <f>IF(动作要素测量!B323="","",动作要素测量!B323)</f>
        <v/>
      </c>
      <c r="BO2" s="12" t="str">
        <f>IF(动作要素测量!B328="","",动作要素测量!B328)</f>
        <v/>
      </c>
      <c r="BP2" s="12" t="str">
        <f>IF(动作要素测量!B333="","",动作要素测量!B333)</f>
        <v/>
      </c>
      <c r="BQ2" s="12" t="str">
        <f>IF(动作要素测量!B338="","",动作要素测量!B338)</f>
        <v/>
      </c>
      <c r="BR2" s="12" t="str">
        <f>IF(动作要素测量!B343="","",动作要素测量!B343)</f>
        <v/>
      </c>
      <c r="BS2" s="12" t="str">
        <f>IF(动作要素测量!B348="","",动作要素测量!B348)</f>
        <v/>
      </c>
      <c r="BT2" s="12" t="str">
        <f>IF(动作要素测量!B353="","",动作要素测量!B353)</f>
        <v/>
      </c>
      <c r="BU2" s="12" t="str">
        <f>IF(动作要素测量!B358="","",动作要素测量!B358)</f>
        <v/>
      </c>
      <c r="BV2" s="12" t="str">
        <f>IF(动作要素测量!B363="","",动作要素测量!B363)</f>
        <v/>
      </c>
      <c r="BW2" s="12" t="str">
        <f>IF(动作要素测量!B368="","",动作要素测量!B368)</f>
        <v/>
      </c>
      <c r="BX2" s="12" t="str">
        <f>IF(动作要素测量!B373="","",动作要素测量!B373)</f>
        <v/>
      </c>
      <c r="BY2" s="12" t="str">
        <f>IF(动作要素测量!B378="","",动作要素测量!B378)</f>
        <v/>
      </c>
      <c r="BZ2" s="12" t="str">
        <f>IF(动作要素测量!B383="","",动作要素测量!B383)</f>
        <v/>
      </c>
      <c r="CA2" s="12" t="str">
        <f>IF(动作要素测量!B388="","",动作要素测量!B388)</f>
        <v/>
      </c>
      <c r="CB2" s="12" t="str">
        <f>IF(动作要素测量!B393="","",动作要素测量!B393)</f>
        <v/>
      </c>
      <c r="CC2" s="12" t="str">
        <f>IF(动作要素测量!B398="","",动作要素测量!B398)</f>
        <v/>
      </c>
      <c r="CD2" s="12" t="str">
        <f>IF(动作要素测量!B403="","",动作要素测量!B403)</f>
        <v/>
      </c>
      <c r="CE2" s="12" t="str">
        <f>IF(动作要素测量!B408="","",动作要素测量!B408)</f>
        <v/>
      </c>
      <c r="CF2" s="12" t="str">
        <f>IF(动作要素测量!B413="","",动作要素测量!B413)</f>
        <v/>
      </c>
      <c r="CG2" s="12" t="str">
        <f>IF(动作要素测量!B418="","",动作要素测量!B418)</f>
        <v/>
      </c>
      <c r="CH2" s="12" t="str">
        <f>IF(动作要素测量!B423="","",动作要素测量!B423)</f>
        <v/>
      </c>
      <c r="CI2" s="12" t="str">
        <f>IF(动作要素测量!B428="","",动作要素测量!B428)</f>
        <v/>
      </c>
      <c r="CJ2" s="12" t="str">
        <f>IF(动作要素测量!B433="","",动作要素测量!B433)</f>
        <v/>
      </c>
      <c r="CK2" s="12" t="str">
        <f>IF(动作要素测量!B438="","",动作要素测量!B438)</f>
        <v/>
      </c>
      <c r="CL2" s="12" t="str">
        <f>IF(动作要素测量!B443="","",动作要素测量!B443)</f>
        <v/>
      </c>
      <c r="CM2" s="12" t="str">
        <f>IF(动作要素测量!B448="","",动作要素测量!B448)</f>
        <v/>
      </c>
      <c r="CN2" s="12" t="str">
        <f>IF(动作要素测量!B453="","",动作要素测量!B453)</f>
        <v/>
      </c>
      <c r="CO2" s="12" t="str">
        <f>IF(动作要素测量!B458="","",动作要素测量!B458)</f>
        <v/>
      </c>
      <c r="CP2" s="12" t="str">
        <f>IF(动作要素测量!B463="","",动作要素测量!B463)</f>
        <v/>
      </c>
      <c r="CQ2" s="12" t="str">
        <f>IF(动作要素测量!B468="","",动作要素测量!B468)</f>
        <v/>
      </c>
      <c r="CR2" s="12" t="str">
        <f>IF(动作要素测量!B473="","",动作要素测量!B473)</f>
        <v/>
      </c>
      <c r="CS2" s="12" t="str">
        <f>IF(动作要素测量!B478="","",动作要素测量!B478)</f>
        <v/>
      </c>
      <c r="CT2" s="12" t="str">
        <f>IF(动作要素测量!B483="","",动作要素测量!B483)</f>
        <v/>
      </c>
      <c r="CU2" s="12" t="str">
        <f>IF(动作要素测量!B488="","",动作要素测量!B488)</f>
        <v/>
      </c>
      <c r="CV2" s="12" t="str">
        <f>IF(动作要素测量!B493="","",动作要素测量!B493)</f>
        <v/>
      </c>
      <c r="CW2" s="12" t="str">
        <f>IF(动作要素测量!B498="","",动作要素测量!B498)</f>
        <v/>
      </c>
      <c r="CX2" s="12" t="str">
        <f>IF(动作要素测量!B503="","",动作要素测量!B503)</f>
        <v/>
      </c>
      <c r="CY2" s="12" t="str">
        <f>IF(动作要素测量!B508="","",动作要素测量!B508)</f>
        <v/>
      </c>
      <c r="CZ2" s="12" t="str">
        <f>IF(动作要素测量!B513="","",动作要素测量!B513)</f>
        <v/>
      </c>
      <c r="DA2" s="12" t="str">
        <f>IF(动作要素测量!B518="","",动作要素测量!B518)</f>
        <v/>
      </c>
      <c r="DB2" s="12" t="str">
        <f>IF(动作要素测量!B523="","",动作要素测量!B523)</f>
        <v/>
      </c>
      <c r="DC2" s="12" t="str">
        <f>IF(动作要素测量!B528="","",动作要素测量!B528)</f>
        <v/>
      </c>
      <c r="DD2" s="12" t="str">
        <f>IF(动作要素测量!B533="","",动作要素测量!B533)</f>
        <v/>
      </c>
      <c r="DE2" s="12" t="str">
        <f>IF(动作要素测量!B538="","",动作要素测量!B538)</f>
        <v/>
      </c>
      <c r="DF2" s="12" t="str">
        <f>IF(动作要素测量!B543="","",动作要素测量!B543)</f>
        <v/>
      </c>
      <c r="DG2" s="12" t="str">
        <f>IF(动作要素测量!B548="","",动作要素测量!B548)</f>
        <v/>
      </c>
      <c r="DH2" s="12" t="str">
        <f>IF(动作要素测量!B553="","",动作要素测量!B553)</f>
        <v/>
      </c>
      <c r="DI2" s="12" t="str">
        <f>IF(动作要素测量!B558="","",动作要素测量!B558)</f>
        <v/>
      </c>
      <c r="DJ2" s="12" t="str">
        <f>IF(动作要素测量!B563="","",动作要素测量!B563)</f>
        <v/>
      </c>
      <c r="DK2" s="12" t="str">
        <f>IF(动作要素测量!B568="","",动作要素测量!B568)</f>
        <v/>
      </c>
      <c r="DL2" s="12" t="str">
        <f>IF(动作要素测量!B573="","",动作要素测量!B573)</f>
        <v/>
      </c>
      <c r="DM2" s="12" t="str">
        <f>IF(动作要素测量!B578="","",动作要素测量!B578)</f>
        <v/>
      </c>
      <c r="DN2" s="12" t="str">
        <f>IF(动作要素测量!B583="","",动作要素测量!B583)</f>
        <v/>
      </c>
      <c r="DO2" s="12" t="str">
        <f>IF(动作要素测量!B588="","",动作要素测量!B588)</f>
        <v/>
      </c>
      <c r="DP2" s="12" t="str">
        <f>IF(动作要素测量!B593="","",动作要素测量!B593)</f>
        <v/>
      </c>
      <c r="DQ2" s="12" t="str">
        <f>IF(动作要素测量!B598="","",动作要素测量!B598)</f>
        <v/>
      </c>
      <c r="DR2" s="12" t="str">
        <f>IF(动作要素测量!B603="","",动作要素测量!B603)</f>
        <v/>
      </c>
      <c r="DS2" s="12" t="str">
        <f>IF(动作要素测量!B608="","",动作要素测量!B608)</f>
        <v/>
      </c>
      <c r="DT2" s="12" t="str">
        <f>IF(动作要素测量!B613="","",动作要素测量!B613)</f>
        <v/>
      </c>
      <c r="DU2" s="12" t="str">
        <f>IF(动作要素测量!B618="","",动作要素测量!B618)</f>
        <v/>
      </c>
      <c r="DV2" s="12" t="str">
        <f>IF(动作要素测量!B623="","",动作要素测量!B623)</f>
        <v/>
      </c>
      <c r="DW2" s="12" t="str">
        <f>IF(动作要素测量!B628="","",动作要素测量!B628)</f>
        <v/>
      </c>
      <c r="DX2" s="12" t="str">
        <f>IF(动作要素测量!B633="","",动作要素测量!B633)</f>
        <v/>
      </c>
      <c r="DY2" s="12" t="str">
        <f>IF(动作要素测量!B638="","",动作要素测量!B638)</f>
        <v/>
      </c>
      <c r="DZ2" s="12" t="str">
        <f>IF(动作要素测量!B643="","",动作要素测量!B643)</f>
        <v/>
      </c>
      <c r="EA2" s="12" t="str">
        <f>IF(动作要素测量!B648="","",动作要素测量!B648)</f>
        <v/>
      </c>
      <c r="EB2" s="12" t="str">
        <f>IF(动作要素测量!B653="","",动作要素测量!B653)</f>
        <v/>
      </c>
      <c r="EC2" s="12" t="str">
        <f>IF(动作要素测量!B658="","",动作要素测量!B658)</f>
        <v/>
      </c>
      <c r="ED2" s="12" t="str">
        <f>IF(动作要素测量!B663="","",动作要素测量!B663)</f>
        <v/>
      </c>
      <c r="EE2" s="12" t="str">
        <f>IF(动作要素测量!B668="","",动作要素测量!B668)</f>
        <v/>
      </c>
      <c r="EF2" s="12" t="str">
        <f>IF(动作要素测量!B673="","",动作要素测量!B673)</f>
        <v/>
      </c>
      <c r="EG2" s="12" t="str">
        <f>IF(动作要素测量!B678="","",动作要素测量!B678)</f>
        <v/>
      </c>
      <c r="EH2" s="12" t="str">
        <f>IF(动作要素测量!B683="","",动作要素测量!B683)</f>
        <v/>
      </c>
      <c r="EI2" s="12" t="str">
        <f>IF(动作要素测量!B688="","",动作要素测量!B688)</f>
        <v/>
      </c>
      <c r="EJ2" s="12" t="str">
        <f>IF(动作要素测量!B693="","",动作要素测量!B693)</f>
        <v/>
      </c>
      <c r="EK2" s="12" t="str">
        <f>IF(动作要素测量!B698="","",动作要素测量!B698)</f>
        <v/>
      </c>
    </row>
    <row r="3" spans="1:141" ht="61.95" customHeight="1" x14ac:dyDescent="0.25">
      <c r="A3" s="10" t="s">
        <v>41</v>
      </c>
      <c r="B3" s="12" t="str">
        <f>IF(动作要素测量!D3="","",动作要素测量!D3)</f>
        <v/>
      </c>
      <c r="C3" s="12" t="str">
        <f>IF(动作要素测量!D8="","",动作要素测量!D8)</f>
        <v/>
      </c>
      <c r="D3" s="12" t="str">
        <f>IF(动作要素测量!D13="","",动作要素测量!D13)</f>
        <v/>
      </c>
      <c r="E3" s="12" t="str">
        <f>IF(动作要素测量!D18="","",动作要素测量!D18)</f>
        <v/>
      </c>
      <c r="F3" s="12" t="str">
        <f>IF(动作要素测量!D23="","",动作要素测量!D23)</f>
        <v/>
      </c>
      <c r="G3" s="12" t="str">
        <f>IF(动作要素测量!D28="","",动作要素测量!D28)</f>
        <v/>
      </c>
      <c r="H3" s="12" t="str">
        <f>IF(动作要素测量!D33="","",动作要素测量!D33)</f>
        <v/>
      </c>
      <c r="I3" s="12" t="str">
        <f>IF(动作要素测量!D38="","",动作要素测量!D38)</f>
        <v/>
      </c>
      <c r="J3" s="12" t="str">
        <f>IF(动作要素测量!D43="","",动作要素测量!D43)</f>
        <v/>
      </c>
      <c r="K3" s="12" t="str">
        <f>IF(动作要素测量!D48="","",动作要素测量!D48)</f>
        <v/>
      </c>
      <c r="L3" s="12" t="str">
        <f>IF(动作要素测量!D53="","",动作要素测量!D53)</f>
        <v/>
      </c>
      <c r="M3" s="12" t="str">
        <f>IF(动作要素测量!D58="","",动作要素测量!D58)</f>
        <v/>
      </c>
      <c r="N3" s="12" t="str">
        <f>IF(动作要素测量!D63="","",动作要素测量!D63)</f>
        <v/>
      </c>
      <c r="O3" s="12" t="str">
        <f>IF(动作要素测量!D68="","",动作要素测量!D68)</f>
        <v/>
      </c>
      <c r="P3" s="12" t="str">
        <f>IF(动作要素测量!D73="","",动作要素测量!D73)</f>
        <v/>
      </c>
      <c r="Q3" s="12" t="str">
        <f>IF(动作要素测量!D78="","",动作要素测量!D78)</f>
        <v/>
      </c>
      <c r="R3" s="12" t="str">
        <f>IF(动作要素测量!D83="","",动作要素测量!D83)</f>
        <v/>
      </c>
      <c r="S3" s="12" t="str">
        <f>IF(动作要素测量!D88="","",动作要素测量!D88)</f>
        <v/>
      </c>
      <c r="T3" s="12" t="str">
        <f>IF(动作要素测量!D93="","",动作要素测量!D93)</f>
        <v/>
      </c>
      <c r="U3" s="12" t="str">
        <f>IF(动作要素测量!D98="","",动作要素测量!D98)</f>
        <v/>
      </c>
      <c r="V3" s="12" t="str">
        <f>IF(动作要素测量!D103="","",动作要素测量!D103)</f>
        <v/>
      </c>
      <c r="W3" s="12" t="str">
        <f>IF(动作要素测量!D108="","",动作要素测量!D108)</f>
        <v/>
      </c>
      <c r="X3" s="12" t="str">
        <f>IF(动作要素测量!D113="","",动作要素测量!D113)</f>
        <v/>
      </c>
      <c r="Y3" s="12" t="str">
        <f>IF(动作要素测量!D118="","",动作要素测量!D118)</f>
        <v/>
      </c>
      <c r="Z3" s="12" t="str">
        <f>IF(动作要素测量!D123="","",动作要素测量!D123)</f>
        <v/>
      </c>
      <c r="AA3" s="12" t="str">
        <f>IF(动作要素测量!D128="","",动作要素测量!D128)</f>
        <v/>
      </c>
      <c r="AB3" s="12" t="str">
        <f>IF(动作要素测量!D133="","",动作要素测量!D133)</f>
        <v/>
      </c>
      <c r="AC3" s="12" t="str">
        <f>IF(动作要素测量!D138="","",动作要素测量!D138)</f>
        <v/>
      </c>
      <c r="AD3" s="12" t="str">
        <f>IF(动作要素测量!D143="","",动作要素测量!D143)</f>
        <v/>
      </c>
      <c r="AE3" s="12" t="str">
        <f>IF(动作要素测量!D148="","",动作要素测量!D148)</f>
        <v/>
      </c>
      <c r="AF3" s="12" t="str">
        <f>IF(动作要素测量!D153="","",动作要素测量!D153)</f>
        <v/>
      </c>
      <c r="AG3" s="12" t="str">
        <f>IF(动作要素测量!D158="","",动作要素测量!D158)</f>
        <v/>
      </c>
      <c r="AH3" s="12" t="str">
        <f>IF(动作要素测量!D163="","",动作要素测量!D163)</f>
        <v/>
      </c>
      <c r="AI3" s="12" t="str">
        <f>IF(动作要素测量!D168="","",动作要素测量!D168)</f>
        <v/>
      </c>
      <c r="AJ3" s="12" t="str">
        <f>IF(动作要素测量!D173="","",动作要素测量!D173)</f>
        <v/>
      </c>
      <c r="AK3" s="12" t="str">
        <f>IF(动作要素测量!D178="","",动作要素测量!D178)</f>
        <v/>
      </c>
      <c r="AL3" s="12" t="str">
        <f>IF(动作要素测量!D183="","",动作要素测量!D183)</f>
        <v/>
      </c>
      <c r="AM3" s="12" t="str">
        <f>IF(动作要素测量!D188="","",动作要素测量!D188)</f>
        <v/>
      </c>
      <c r="AN3" s="12" t="str">
        <f>IF(动作要素测量!D193="","",动作要素测量!D193)</f>
        <v/>
      </c>
      <c r="AO3" s="12" t="str">
        <f>IF(动作要素测量!D198="","",动作要素测量!D198)</f>
        <v/>
      </c>
      <c r="AP3" s="12" t="str">
        <f>IF(动作要素测量!D203="","",动作要素测量!D203)</f>
        <v/>
      </c>
      <c r="AQ3" s="12" t="str">
        <f>IF(动作要素测量!D208="","",动作要素测量!D208)</f>
        <v/>
      </c>
      <c r="AR3" s="12" t="str">
        <f>IF(动作要素测量!D213="","",动作要素测量!D213)</f>
        <v/>
      </c>
      <c r="AS3" s="12" t="str">
        <f>IF(动作要素测量!D218="","",动作要素测量!D218)</f>
        <v/>
      </c>
      <c r="AT3" s="12" t="str">
        <f>IF(动作要素测量!D223="","",动作要素测量!D223)</f>
        <v/>
      </c>
      <c r="AU3" s="12" t="str">
        <f>IF(动作要素测量!D228="","",动作要素测量!D228)</f>
        <v/>
      </c>
      <c r="AV3" s="12" t="str">
        <f>IF(动作要素测量!D233="","",动作要素测量!D233)</f>
        <v/>
      </c>
      <c r="AW3" s="12" t="str">
        <f>IF(动作要素测量!D238="","",动作要素测量!D238)</f>
        <v/>
      </c>
      <c r="AX3" s="12" t="str">
        <f>IF(动作要素测量!D243="","",动作要素测量!D243)</f>
        <v/>
      </c>
      <c r="AY3" s="12" t="str">
        <f>IF(动作要素测量!D248="","",动作要素测量!D248)</f>
        <v/>
      </c>
      <c r="AZ3" s="12" t="str">
        <f>IF(动作要素测量!D253="","",动作要素测量!D253)</f>
        <v/>
      </c>
      <c r="BA3" s="12" t="str">
        <f>IF(动作要素测量!D258="","",动作要素测量!D258)</f>
        <v/>
      </c>
      <c r="BB3" s="12" t="str">
        <f>IF(动作要素测量!D263="","",动作要素测量!D263)</f>
        <v/>
      </c>
      <c r="BC3" s="12" t="str">
        <f>IF(动作要素测量!D268="","",动作要素测量!D268)</f>
        <v/>
      </c>
      <c r="BD3" s="12" t="str">
        <f>IF(动作要素测量!D273="","",动作要素测量!D273)</f>
        <v/>
      </c>
      <c r="BE3" s="12" t="str">
        <f>IF(动作要素测量!D278="","",动作要素测量!D278)</f>
        <v/>
      </c>
      <c r="BF3" s="12" t="str">
        <f>IF(动作要素测量!D283="","",动作要素测量!D283)</f>
        <v/>
      </c>
      <c r="BG3" s="12" t="str">
        <f>IF(动作要素测量!D288="","",动作要素测量!D288)</f>
        <v/>
      </c>
      <c r="BH3" s="12" t="str">
        <f>IF(动作要素测量!D293="","",动作要素测量!D293)</f>
        <v/>
      </c>
      <c r="BI3" s="12" t="str">
        <f>IF(动作要素测量!D298="","",动作要素测量!D298)</f>
        <v/>
      </c>
      <c r="BJ3" s="12" t="str">
        <f>IF(动作要素测量!D303="","",动作要素测量!D303)</f>
        <v/>
      </c>
      <c r="BK3" s="12" t="str">
        <f>IF(动作要素测量!D308="","",动作要素测量!D308)</f>
        <v/>
      </c>
      <c r="BL3" s="12" t="str">
        <f>IF(动作要素测量!D313="","",动作要素测量!D313)</f>
        <v/>
      </c>
      <c r="BM3" s="12" t="str">
        <f>IF(动作要素测量!D318="","",动作要素测量!D318)</f>
        <v/>
      </c>
      <c r="BN3" s="12" t="str">
        <f>IF(动作要素测量!D323="","",动作要素测量!D323)</f>
        <v/>
      </c>
      <c r="BO3" s="12" t="str">
        <f>IF(动作要素测量!D328="","",动作要素测量!D328)</f>
        <v/>
      </c>
      <c r="BP3" s="12" t="str">
        <f>IF(动作要素测量!D333="","",动作要素测量!D333)</f>
        <v/>
      </c>
      <c r="BQ3" s="12" t="str">
        <f>IF(动作要素测量!D338="","",动作要素测量!D338)</f>
        <v/>
      </c>
      <c r="BR3" s="12" t="str">
        <f>IF(动作要素测量!D343="","",动作要素测量!D343)</f>
        <v/>
      </c>
      <c r="BS3" s="12" t="str">
        <f>IF(动作要素测量!D348="","",动作要素测量!D348)</f>
        <v/>
      </c>
      <c r="BT3" s="12" t="str">
        <f>IF(动作要素测量!D353="","",动作要素测量!D353)</f>
        <v/>
      </c>
      <c r="BU3" s="12" t="str">
        <f>IF(动作要素测量!D358="","",动作要素测量!D358)</f>
        <v/>
      </c>
      <c r="BV3" s="12" t="str">
        <f>IF(动作要素测量!D363="","",动作要素测量!D363)</f>
        <v/>
      </c>
      <c r="BW3" s="12" t="str">
        <f>IF(动作要素测量!D368="","",动作要素测量!D368)</f>
        <v/>
      </c>
      <c r="BX3" s="12" t="str">
        <f>IF(动作要素测量!D373="","",动作要素测量!D373)</f>
        <v/>
      </c>
      <c r="BY3" s="12" t="str">
        <f>IF(动作要素测量!D378="","",动作要素测量!D378)</f>
        <v/>
      </c>
      <c r="BZ3" s="12" t="str">
        <f>IF(动作要素测量!D383="","",动作要素测量!D383)</f>
        <v/>
      </c>
      <c r="CA3" s="12" t="str">
        <f>IF(动作要素测量!D388="","",动作要素测量!D388)</f>
        <v/>
      </c>
      <c r="CB3" s="12" t="str">
        <f>IF(动作要素测量!D393="","",动作要素测量!D393)</f>
        <v/>
      </c>
      <c r="CC3" s="12" t="str">
        <f>IF(动作要素测量!D398="","",动作要素测量!D398)</f>
        <v/>
      </c>
      <c r="CD3" s="12" t="str">
        <f>IF(动作要素测量!D403="","",动作要素测量!D403)</f>
        <v/>
      </c>
      <c r="CE3" s="12" t="str">
        <f>IF(动作要素测量!D408="","",动作要素测量!D408)</f>
        <v/>
      </c>
      <c r="CF3" s="12" t="str">
        <f>IF(动作要素测量!D413="","",动作要素测量!D413)</f>
        <v/>
      </c>
      <c r="CG3" s="12" t="str">
        <f>IF(动作要素测量!D418="","",动作要素测量!D418)</f>
        <v/>
      </c>
      <c r="CH3" s="12" t="str">
        <f>IF(动作要素测量!D423="","",动作要素测量!D423)</f>
        <v/>
      </c>
      <c r="CI3" s="12" t="str">
        <f>IF(动作要素测量!D428="","",动作要素测量!D428)</f>
        <v/>
      </c>
      <c r="CJ3" s="12" t="str">
        <f>IF(动作要素测量!D433="","",动作要素测量!D433)</f>
        <v/>
      </c>
      <c r="CK3" s="12" t="str">
        <f>IF(动作要素测量!D438="","",动作要素测量!D438)</f>
        <v/>
      </c>
      <c r="CL3" s="12" t="str">
        <f>IF(动作要素测量!D443="","",动作要素测量!D443)</f>
        <v/>
      </c>
      <c r="CM3" s="12" t="str">
        <f>IF(动作要素测量!D448="","",动作要素测量!D448)</f>
        <v/>
      </c>
      <c r="CN3" s="12" t="str">
        <f>IF(动作要素测量!D453="","",动作要素测量!D453)</f>
        <v/>
      </c>
      <c r="CO3" s="12" t="str">
        <f>IF(动作要素测量!D458="","",动作要素测量!D458)</f>
        <v/>
      </c>
      <c r="CP3" s="12" t="str">
        <f>IF(动作要素测量!D463="","",动作要素测量!D463)</f>
        <v/>
      </c>
      <c r="CQ3" s="12" t="str">
        <f>IF(动作要素测量!D468="","",动作要素测量!D468)</f>
        <v/>
      </c>
      <c r="CR3" s="12" t="str">
        <f>IF(动作要素测量!D473="","",动作要素测量!D473)</f>
        <v/>
      </c>
      <c r="CS3" s="12" t="str">
        <f>IF(动作要素测量!D478="","",动作要素测量!D478)</f>
        <v/>
      </c>
      <c r="CT3" s="12" t="str">
        <f>IF(动作要素测量!D483="","",动作要素测量!D483)</f>
        <v/>
      </c>
      <c r="CU3" s="12" t="str">
        <f>IF(动作要素测量!D488="","",动作要素测量!D488)</f>
        <v/>
      </c>
      <c r="CV3" s="12" t="str">
        <f>IF(动作要素测量!D493="","",动作要素测量!D493)</f>
        <v/>
      </c>
      <c r="CW3" s="12" t="str">
        <f>IF(动作要素测量!D498="","",动作要素测量!D498)</f>
        <v/>
      </c>
      <c r="CX3" s="12" t="str">
        <f>IF(动作要素测量!D503="","",动作要素测量!D503)</f>
        <v/>
      </c>
      <c r="CY3" s="12" t="str">
        <f>IF(动作要素测量!D508="","",动作要素测量!D508)</f>
        <v/>
      </c>
      <c r="CZ3" s="12" t="str">
        <f>IF(动作要素测量!D513="","",动作要素测量!D513)</f>
        <v/>
      </c>
      <c r="DA3" s="12" t="str">
        <f>IF(动作要素测量!D518="","",动作要素测量!D518)</f>
        <v/>
      </c>
      <c r="DB3" s="12" t="str">
        <f>IF(动作要素测量!D523="","",动作要素测量!D523)</f>
        <v/>
      </c>
      <c r="DC3" s="12" t="str">
        <f>IF(动作要素测量!D528="","",动作要素测量!D528)</f>
        <v/>
      </c>
      <c r="DD3" s="12" t="str">
        <f>IF(动作要素测量!D533="","",动作要素测量!D533)</f>
        <v/>
      </c>
      <c r="DE3" s="12" t="str">
        <f>IF(动作要素测量!D538="","",动作要素测量!D538)</f>
        <v/>
      </c>
      <c r="DF3" s="12" t="str">
        <f>IF(动作要素测量!D543="","",动作要素测量!D543)</f>
        <v/>
      </c>
      <c r="DG3" s="12" t="str">
        <f>IF(动作要素测量!D548="","",动作要素测量!D548)</f>
        <v/>
      </c>
      <c r="DH3" s="12" t="str">
        <f>IF(动作要素测量!D553="","",动作要素测量!D553)</f>
        <v/>
      </c>
      <c r="DI3" s="12" t="str">
        <f>IF(动作要素测量!D558="","",动作要素测量!D558)</f>
        <v/>
      </c>
      <c r="DJ3" s="12" t="str">
        <f>IF(动作要素测量!D563="","",动作要素测量!D563)</f>
        <v/>
      </c>
      <c r="DK3" s="12" t="str">
        <f>IF(动作要素测量!D568="","",动作要素测量!D568)</f>
        <v/>
      </c>
      <c r="DL3" s="12" t="str">
        <f>IF(动作要素测量!D573="","",动作要素测量!D573)</f>
        <v/>
      </c>
      <c r="DM3" s="12" t="str">
        <f>IF(动作要素测量!D578="","",动作要素测量!D578)</f>
        <v/>
      </c>
      <c r="DN3" s="12" t="str">
        <f>IF(动作要素测量!D583="","",动作要素测量!D583)</f>
        <v/>
      </c>
      <c r="DO3" s="12" t="str">
        <f>IF(动作要素测量!D588="","",动作要素测量!D588)</f>
        <v/>
      </c>
      <c r="DP3" s="12" t="str">
        <f>IF(动作要素测量!D593="","",动作要素测量!D593)</f>
        <v/>
      </c>
      <c r="DQ3" s="12" t="str">
        <f>IF(动作要素测量!D598="","",动作要素测量!D598)</f>
        <v/>
      </c>
      <c r="DR3" s="12" t="str">
        <f>IF(动作要素测量!D603="","",动作要素测量!D603)</f>
        <v/>
      </c>
      <c r="DS3" s="12" t="str">
        <f>IF(动作要素测量!D608="","",动作要素测量!D608)</f>
        <v/>
      </c>
      <c r="DT3" s="12" t="str">
        <f>IF(动作要素测量!D613="","",动作要素测量!D613)</f>
        <v/>
      </c>
      <c r="DU3" s="12" t="str">
        <f>IF(动作要素测量!D618="","",动作要素测量!D618)</f>
        <v/>
      </c>
      <c r="DV3" s="12" t="str">
        <f>IF(动作要素测量!D623="","",动作要素测量!D623)</f>
        <v/>
      </c>
      <c r="DW3" s="12" t="str">
        <f>IF(动作要素测量!D628="","",动作要素测量!D628)</f>
        <v/>
      </c>
      <c r="DX3" s="12" t="str">
        <f>IF(动作要素测量!D633="","",动作要素测量!D633)</f>
        <v/>
      </c>
      <c r="DY3" s="12" t="str">
        <f>IF(动作要素测量!D638="","",动作要素测量!D638)</f>
        <v/>
      </c>
      <c r="DZ3" s="12" t="str">
        <f>IF(动作要素测量!D643="","",动作要素测量!D643)</f>
        <v/>
      </c>
      <c r="EA3" s="12" t="str">
        <f>IF(动作要素测量!D648="","",动作要素测量!D648)</f>
        <v/>
      </c>
      <c r="EB3" s="12" t="str">
        <f>IF(动作要素测量!D653="","",动作要素测量!D653)</f>
        <v/>
      </c>
      <c r="EC3" s="12" t="str">
        <f>IF(动作要素测量!D658="","",动作要素测量!D658)</f>
        <v/>
      </c>
      <c r="ED3" s="12" t="str">
        <f>IF(动作要素测量!D663="","",动作要素测量!D663)</f>
        <v/>
      </c>
      <c r="EE3" s="12" t="str">
        <f>IF(动作要素测量!D668="","",动作要素测量!D668)</f>
        <v/>
      </c>
      <c r="EF3" s="12" t="str">
        <f>IF(动作要素测量!D673="","",动作要素测量!D673)</f>
        <v/>
      </c>
      <c r="EG3" s="12" t="str">
        <f>IF(动作要素测量!D678="","",动作要素测量!D678)</f>
        <v/>
      </c>
      <c r="EH3" s="12" t="str">
        <f>IF(动作要素测量!D683="","",动作要素测量!D683)</f>
        <v/>
      </c>
      <c r="EI3" s="12" t="str">
        <f>IF(动作要素测量!D688="","",动作要素测量!D688)</f>
        <v/>
      </c>
      <c r="EJ3" s="12" t="str">
        <f>IF(动作要素测量!D693="","",动作要素测量!D693)</f>
        <v/>
      </c>
      <c r="EK3" s="12" t="str">
        <f>IF(动作要素测量!D698="","",动作要素测量!D698)</f>
        <v/>
      </c>
    </row>
    <row r="4" spans="1:141" ht="61.95" customHeight="1" x14ac:dyDescent="0.25">
      <c r="A4" s="10" t="s">
        <v>42</v>
      </c>
      <c r="B4" s="12" t="str">
        <f>IF(动作要素测量!D4="","",动作要素测量!D4)</f>
        <v/>
      </c>
      <c r="C4" s="12" t="str">
        <f>IF(动作要素测量!D9="","",动作要素测量!D9)</f>
        <v/>
      </c>
      <c r="D4" s="12" t="str">
        <f>IF(动作要素测量!D14="","",动作要素测量!D14)</f>
        <v/>
      </c>
      <c r="E4" s="12" t="str">
        <f>IF(动作要素测量!D19="","",动作要素测量!D19)</f>
        <v/>
      </c>
      <c r="F4" s="12" t="str">
        <f>IF(动作要素测量!D24="","",动作要素测量!D24)</f>
        <v/>
      </c>
      <c r="G4" s="12" t="str">
        <f>IF(动作要素测量!D29="","",动作要素测量!D29)</f>
        <v/>
      </c>
      <c r="H4" s="12" t="str">
        <f>IF(动作要素测量!D34="","",动作要素测量!D34)</f>
        <v/>
      </c>
      <c r="I4" s="12" t="str">
        <f>IF(动作要素测量!D39="","",动作要素测量!D39)</f>
        <v/>
      </c>
      <c r="J4" s="12" t="str">
        <f>IF(动作要素测量!D44="","",动作要素测量!D44)</f>
        <v/>
      </c>
      <c r="K4" s="12" t="str">
        <f>IF(动作要素测量!D49="","",动作要素测量!D49)</f>
        <v/>
      </c>
      <c r="L4" s="12" t="str">
        <f>IF(动作要素测量!D54="","",动作要素测量!D54)</f>
        <v/>
      </c>
      <c r="M4" s="12" t="str">
        <f>IF(动作要素测量!D59="","",动作要素测量!D59)</f>
        <v/>
      </c>
      <c r="N4" s="12" t="str">
        <f>IF(动作要素测量!D64="","",动作要素测量!D64)</f>
        <v/>
      </c>
      <c r="O4" s="12" t="str">
        <f>IF(动作要素测量!D69="","",动作要素测量!D69)</f>
        <v/>
      </c>
      <c r="P4" s="12" t="str">
        <f>IF(动作要素测量!D74="","",动作要素测量!D74)</f>
        <v/>
      </c>
      <c r="Q4" s="12" t="str">
        <f>IF(动作要素测量!D79="","",动作要素测量!D79)</f>
        <v/>
      </c>
      <c r="R4" s="12" t="str">
        <f>IF(动作要素测量!D84="","",动作要素测量!D84)</f>
        <v/>
      </c>
      <c r="S4" s="12" t="str">
        <f>IF(动作要素测量!D89="","",动作要素测量!D89)</f>
        <v/>
      </c>
      <c r="T4" s="12" t="str">
        <f>IF(动作要素测量!D94="","",动作要素测量!D94)</f>
        <v/>
      </c>
      <c r="U4" s="12" t="str">
        <f>IF(动作要素测量!D99="","",动作要素测量!D99)</f>
        <v/>
      </c>
      <c r="V4" s="12" t="str">
        <f>IF(动作要素测量!D104="","",动作要素测量!D104)</f>
        <v/>
      </c>
      <c r="W4" s="12" t="str">
        <f>IF(动作要素测量!D109="","",动作要素测量!D109)</f>
        <v/>
      </c>
      <c r="X4" s="12" t="str">
        <f>IF(动作要素测量!D114="","",动作要素测量!D114)</f>
        <v/>
      </c>
      <c r="Y4" s="12" t="str">
        <f>IF(动作要素测量!D119="","",动作要素测量!D119)</f>
        <v/>
      </c>
      <c r="Z4" s="12" t="str">
        <f>IF(动作要素测量!D124="","",动作要素测量!D124)</f>
        <v/>
      </c>
      <c r="AA4" s="12" t="str">
        <f>IF(动作要素测量!D129="","",动作要素测量!D129)</f>
        <v/>
      </c>
      <c r="AB4" s="12" t="str">
        <f>IF(动作要素测量!D134="","",动作要素测量!D134)</f>
        <v/>
      </c>
      <c r="AC4" s="12" t="str">
        <f>IF(动作要素测量!D139="","",动作要素测量!D139)</f>
        <v/>
      </c>
      <c r="AD4" s="12" t="str">
        <f>IF(动作要素测量!D144="","",动作要素测量!D144)</f>
        <v/>
      </c>
      <c r="AE4" s="12" t="str">
        <f>IF(动作要素测量!D149="","",动作要素测量!D149)</f>
        <v/>
      </c>
      <c r="AF4" s="12" t="str">
        <f>IF(动作要素测量!D154="","",动作要素测量!D154)</f>
        <v/>
      </c>
      <c r="AG4" s="12" t="str">
        <f>IF(动作要素测量!D159="","",动作要素测量!D159)</f>
        <v/>
      </c>
      <c r="AH4" s="12" t="str">
        <f>IF(动作要素测量!D164="","",动作要素测量!D164)</f>
        <v/>
      </c>
      <c r="AI4" s="12" t="str">
        <f>IF(动作要素测量!D169="","",动作要素测量!D169)</f>
        <v/>
      </c>
      <c r="AJ4" s="12" t="str">
        <f>IF(动作要素测量!D174="","",动作要素测量!D174)</f>
        <v/>
      </c>
      <c r="AK4" s="12" t="str">
        <f>IF(动作要素测量!D179="","",动作要素测量!D179)</f>
        <v/>
      </c>
      <c r="AL4" s="12" t="str">
        <f>IF(动作要素测量!D184="","",动作要素测量!D184)</f>
        <v/>
      </c>
      <c r="AM4" s="12" t="str">
        <f>IF(动作要素测量!D189="","",动作要素测量!D189)</f>
        <v/>
      </c>
      <c r="AN4" s="12" t="str">
        <f>IF(动作要素测量!D194="","",动作要素测量!D194)</f>
        <v/>
      </c>
      <c r="AO4" s="12" t="str">
        <f>IF(动作要素测量!D199="","",动作要素测量!D199)</f>
        <v/>
      </c>
      <c r="AP4" s="12" t="str">
        <f>IF(动作要素测量!D204="","",动作要素测量!D204)</f>
        <v/>
      </c>
      <c r="AQ4" s="12" t="str">
        <f>IF(动作要素测量!D209="","",动作要素测量!D209)</f>
        <v/>
      </c>
      <c r="AR4" s="12" t="str">
        <f>IF(动作要素测量!D214="","",动作要素测量!D214)</f>
        <v/>
      </c>
      <c r="AS4" s="12" t="str">
        <f>IF(动作要素测量!D219="","",动作要素测量!D219)</f>
        <v/>
      </c>
      <c r="AT4" s="12" t="str">
        <f>IF(动作要素测量!D224="","",动作要素测量!D224)</f>
        <v/>
      </c>
      <c r="AU4" s="12" t="str">
        <f>IF(动作要素测量!D229="","",动作要素测量!D229)</f>
        <v/>
      </c>
      <c r="AV4" s="12" t="str">
        <f>IF(动作要素测量!D234="","",动作要素测量!D234)</f>
        <v/>
      </c>
      <c r="AW4" s="12" t="str">
        <f>IF(动作要素测量!D239="","",动作要素测量!D239)</f>
        <v/>
      </c>
      <c r="AX4" s="12" t="str">
        <f>IF(动作要素测量!D244="","",动作要素测量!D244)</f>
        <v/>
      </c>
      <c r="AY4" s="12" t="str">
        <f>IF(动作要素测量!D249="","",动作要素测量!D249)</f>
        <v/>
      </c>
      <c r="AZ4" s="12" t="str">
        <f>IF(动作要素测量!D254="","",动作要素测量!D254)</f>
        <v/>
      </c>
      <c r="BA4" s="12" t="str">
        <f>IF(动作要素测量!D259="","",动作要素测量!D259)</f>
        <v/>
      </c>
      <c r="BB4" s="12" t="str">
        <f>IF(动作要素测量!D264="","",动作要素测量!D264)</f>
        <v/>
      </c>
      <c r="BC4" s="12" t="str">
        <f>IF(动作要素测量!D269="","",动作要素测量!D269)</f>
        <v/>
      </c>
      <c r="BD4" s="12" t="str">
        <f>IF(动作要素测量!D274="","",动作要素测量!D274)</f>
        <v/>
      </c>
      <c r="BE4" s="12" t="str">
        <f>IF(动作要素测量!D279="","",动作要素测量!D279)</f>
        <v/>
      </c>
      <c r="BF4" s="12" t="str">
        <f>IF(动作要素测量!D284="","",动作要素测量!D284)</f>
        <v/>
      </c>
      <c r="BG4" s="12" t="str">
        <f>IF(动作要素测量!D289="","",动作要素测量!D289)</f>
        <v/>
      </c>
      <c r="BH4" s="12" t="str">
        <f>IF(动作要素测量!D294="","",动作要素测量!D294)</f>
        <v/>
      </c>
      <c r="BI4" s="12" t="str">
        <f>IF(动作要素测量!D299="","",动作要素测量!D299)</f>
        <v/>
      </c>
      <c r="BJ4" s="12" t="str">
        <f>IF(动作要素测量!D304="","",动作要素测量!D304)</f>
        <v/>
      </c>
      <c r="BK4" s="12" t="str">
        <f>IF(动作要素测量!D309="","",动作要素测量!D309)</f>
        <v/>
      </c>
      <c r="BL4" s="12" t="str">
        <f>IF(动作要素测量!D314="","",动作要素测量!D314)</f>
        <v/>
      </c>
      <c r="BM4" s="12" t="str">
        <f>IF(动作要素测量!D319="","",动作要素测量!D319)</f>
        <v/>
      </c>
      <c r="BN4" s="12" t="str">
        <f>IF(动作要素测量!D324="","",动作要素测量!D324)</f>
        <v/>
      </c>
      <c r="BO4" s="12" t="str">
        <f>IF(动作要素测量!D329="","",动作要素测量!D329)</f>
        <v/>
      </c>
      <c r="BP4" s="12" t="str">
        <f>IF(动作要素测量!D334="","",动作要素测量!D334)</f>
        <v/>
      </c>
      <c r="BQ4" s="12" t="str">
        <f>IF(动作要素测量!D339="","",动作要素测量!D339)</f>
        <v/>
      </c>
      <c r="BR4" s="12" t="str">
        <f>IF(动作要素测量!D344="","",动作要素测量!D344)</f>
        <v/>
      </c>
      <c r="BS4" s="12" t="str">
        <f>IF(动作要素测量!D349="","",动作要素测量!D349)</f>
        <v/>
      </c>
      <c r="BT4" s="12" t="str">
        <f>IF(动作要素测量!D354="","",动作要素测量!D354)</f>
        <v/>
      </c>
      <c r="BU4" s="12" t="str">
        <f>IF(动作要素测量!D359="","",动作要素测量!D359)</f>
        <v/>
      </c>
      <c r="BV4" s="12" t="str">
        <f>IF(动作要素测量!D364="","",动作要素测量!D364)</f>
        <v/>
      </c>
      <c r="BW4" s="12" t="str">
        <f>IF(动作要素测量!D369="","",动作要素测量!D369)</f>
        <v/>
      </c>
      <c r="BX4" s="12" t="str">
        <f>IF(动作要素测量!D374="","",动作要素测量!D374)</f>
        <v/>
      </c>
      <c r="BY4" s="12" t="str">
        <f>IF(动作要素测量!D379="","",动作要素测量!D379)</f>
        <v/>
      </c>
      <c r="BZ4" s="12" t="str">
        <f>IF(动作要素测量!D384="","",动作要素测量!D384)</f>
        <v/>
      </c>
      <c r="CA4" s="12" t="str">
        <f>IF(动作要素测量!D389="","",动作要素测量!D389)</f>
        <v/>
      </c>
      <c r="CB4" s="12" t="str">
        <f>IF(动作要素测量!D394="","",动作要素测量!D394)</f>
        <v/>
      </c>
      <c r="CC4" s="12" t="str">
        <f>IF(动作要素测量!D399="","",动作要素测量!D399)</f>
        <v/>
      </c>
      <c r="CD4" s="12" t="str">
        <f>IF(动作要素测量!D404="","",动作要素测量!D404)</f>
        <v/>
      </c>
      <c r="CE4" s="12" t="str">
        <f>IF(动作要素测量!D409="","",动作要素测量!D409)</f>
        <v/>
      </c>
      <c r="CF4" s="12" t="str">
        <f>IF(动作要素测量!D414="","",动作要素测量!D414)</f>
        <v/>
      </c>
      <c r="CG4" s="12" t="str">
        <f>IF(动作要素测量!D419="","",动作要素测量!D419)</f>
        <v/>
      </c>
      <c r="CH4" s="12" t="str">
        <f>IF(动作要素测量!D424="","",动作要素测量!D424)</f>
        <v/>
      </c>
      <c r="CI4" s="12" t="str">
        <f>IF(动作要素测量!D429="","",动作要素测量!D429)</f>
        <v/>
      </c>
      <c r="CJ4" s="12" t="str">
        <f>IF(动作要素测量!D434="","",动作要素测量!D434)</f>
        <v/>
      </c>
      <c r="CK4" s="12" t="str">
        <f>IF(动作要素测量!D439="","",动作要素测量!D439)</f>
        <v/>
      </c>
      <c r="CL4" s="12" t="str">
        <f>IF(动作要素测量!D444="","",动作要素测量!D444)</f>
        <v/>
      </c>
      <c r="CM4" s="12" t="str">
        <f>IF(动作要素测量!D449="","",动作要素测量!D449)</f>
        <v/>
      </c>
      <c r="CN4" s="12" t="str">
        <f>IF(动作要素测量!D454="","",动作要素测量!D454)</f>
        <v/>
      </c>
      <c r="CO4" s="12" t="str">
        <f>IF(动作要素测量!D459="","",动作要素测量!D459)</f>
        <v/>
      </c>
      <c r="CP4" s="12" t="str">
        <f>IF(动作要素测量!D464="","",动作要素测量!D464)</f>
        <v/>
      </c>
      <c r="CQ4" s="12" t="str">
        <f>IF(动作要素测量!D469="","",动作要素测量!D469)</f>
        <v/>
      </c>
      <c r="CR4" s="12" t="str">
        <f>IF(动作要素测量!D474="","",动作要素测量!D474)</f>
        <v/>
      </c>
      <c r="CS4" s="12" t="str">
        <f>IF(动作要素测量!D479="","",动作要素测量!D479)</f>
        <v/>
      </c>
      <c r="CT4" s="12" t="str">
        <f>IF(动作要素测量!D484="","",动作要素测量!D484)</f>
        <v/>
      </c>
      <c r="CU4" s="12" t="str">
        <f>IF(动作要素测量!D489="","",动作要素测量!D489)</f>
        <v/>
      </c>
      <c r="CV4" s="12" t="str">
        <f>IF(动作要素测量!D494="","",动作要素测量!D494)</f>
        <v/>
      </c>
      <c r="CW4" s="12" t="str">
        <f>IF(动作要素测量!D499="","",动作要素测量!D499)</f>
        <v/>
      </c>
      <c r="CX4" s="12" t="str">
        <f>IF(动作要素测量!D504="","",动作要素测量!D504)</f>
        <v/>
      </c>
      <c r="CY4" s="12" t="str">
        <f>IF(动作要素测量!D509="","",动作要素测量!D509)</f>
        <v/>
      </c>
      <c r="CZ4" s="12" t="str">
        <f>IF(动作要素测量!D514="","",动作要素测量!D514)</f>
        <v/>
      </c>
      <c r="DA4" s="12" t="str">
        <f>IF(动作要素测量!D519="","",动作要素测量!D519)</f>
        <v/>
      </c>
      <c r="DB4" s="12" t="str">
        <f>IF(动作要素测量!D524="","",动作要素测量!D524)</f>
        <v/>
      </c>
      <c r="DC4" s="12" t="str">
        <f>IF(动作要素测量!D529="","",动作要素测量!D529)</f>
        <v/>
      </c>
      <c r="DD4" s="12" t="str">
        <f>IF(动作要素测量!D534="","",动作要素测量!D534)</f>
        <v/>
      </c>
      <c r="DE4" s="12" t="str">
        <f>IF(动作要素测量!D539="","",动作要素测量!D539)</f>
        <v/>
      </c>
      <c r="DF4" s="12" t="str">
        <f>IF(动作要素测量!D544="","",动作要素测量!D544)</f>
        <v/>
      </c>
      <c r="DG4" s="12" t="str">
        <f>IF(动作要素测量!D549="","",动作要素测量!D549)</f>
        <v/>
      </c>
      <c r="DH4" s="12" t="str">
        <f>IF(动作要素测量!D554="","",动作要素测量!D554)</f>
        <v/>
      </c>
      <c r="DI4" s="12" t="str">
        <f>IF(动作要素测量!D559="","",动作要素测量!D559)</f>
        <v/>
      </c>
      <c r="DJ4" s="12" t="str">
        <f>IF(动作要素测量!D564="","",动作要素测量!D564)</f>
        <v/>
      </c>
      <c r="DK4" s="12" t="str">
        <f>IF(动作要素测量!D569="","",动作要素测量!D569)</f>
        <v/>
      </c>
      <c r="DL4" s="12" t="str">
        <f>IF(动作要素测量!D574="","",动作要素测量!D574)</f>
        <v/>
      </c>
      <c r="DM4" s="12" t="str">
        <f>IF(动作要素测量!D579="","",动作要素测量!D579)</f>
        <v/>
      </c>
      <c r="DN4" s="12" t="str">
        <f>IF(动作要素测量!D584="","",动作要素测量!D584)</f>
        <v/>
      </c>
      <c r="DO4" s="12" t="str">
        <f>IF(动作要素测量!D589="","",动作要素测量!D589)</f>
        <v/>
      </c>
      <c r="DP4" s="12" t="str">
        <f>IF(动作要素测量!D594="","",动作要素测量!D594)</f>
        <v/>
      </c>
      <c r="DQ4" s="12" t="str">
        <f>IF(动作要素测量!D599="","",动作要素测量!D599)</f>
        <v/>
      </c>
      <c r="DR4" s="12" t="str">
        <f>IF(动作要素测量!D604="","",动作要素测量!D604)</f>
        <v/>
      </c>
      <c r="DS4" s="12" t="str">
        <f>IF(动作要素测量!D609="","",动作要素测量!D609)</f>
        <v/>
      </c>
      <c r="DT4" s="12" t="str">
        <f>IF(动作要素测量!D614="","",动作要素测量!D614)</f>
        <v/>
      </c>
      <c r="DU4" s="12" t="str">
        <f>IF(动作要素测量!D619="","",动作要素测量!D619)</f>
        <v/>
      </c>
      <c r="DV4" s="12" t="str">
        <f>IF(动作要素测量!D624="","",动作要素测量!D624)</f>
        <v/>
      </c>
      <c r="DW4" s="12" t="str">
        <f>IF(动作要素测量!D629="","",动作要素测量!D629)</f>
        <v/>
      </c>
      <c r="DX4" s="12" t="str">
        <f>IF(动作要素测量!D634="","",动作要素测量!D634)</f>
        <v/>
      </c>
      <c r="DY4" s="12" t="str">
        <f>IF(动作要素测量!D639="","",动作要素测量!D639)</f>
        <v/>
      </c>
      <c r="DZ4" s="12" t="str">
        <f>IF(动作要素测量!D644="","",动作要素测量!D644)</f>
        <v/>
      </c>
      <c r="EA4" s="12" t="str">
        <f>IF(动作要素测量!D649="","",动作要素测量!D649)</f>
        <v/>
      </c>
      <c r="EB4" s="12" t="str">
        <f>IF(动作要素测量!D654="","",动作要素测量!D654)</f>
        <v/>
      </c>
      <c r="EC4" s="12" t="str">
        <f>IF(动作要素测量!D659="","",动作要素测量!D659)</f>
        <v/>
      </c>
      <c r="ED4" s="12" t="str">
        <f>IF(动作要素测量!D664="","",动作要素测量!D664)</f>
        <v/>
      </c>
      <c r="EE4" s="12" t="str">
        <f>IF(动作要素测量!D669="","",动作要素测量!D669)</f>
        <v/>
      </c>
      <c r="EF4" s="12" t="str">
        <f>IF(动作要素测量!D674="","",动作要素测量!D674)</f>
        <v/>
      </c>
      <c r="EG4" s="12" t="str">
        <f>IF(动作要素测量!D679="","",动作要素测量!D679)</f>
        <v/>
      </c>
      <c r="EH4" s="12" t="str">
        <f>IF(动作要素测量!D684="","",动作要素测量!D684)</f>
        <v/>
      </c>
      <c r="EI4" s="12" t="str">
        <f>IF(动作要素测量!D689="","",动作要素测量!D689)</f>
        <v/>
      </c>
      <c r="EJ4" s="12" t="str">
        <f>IF(动作要素测量!D694="","",动作要素测量!D694)</f>
        <v/>
      </c>
      <c r="EK4" s="12" t="str">
        <f>IF(动作要素测量!D699="","",动作要素测量!D699)</f>
        <v/>
      </c>
    </row>
    <row r="5" spans="1:141" ht="61.95" customHeight="1" x14ac:dyDescent="0.25">
      <c r="A5" s="10" t="s">
        <v>43</v>
      </c>
      <c r="B5" s="12" t="str">
        <f>IF(动作要素测量!D5="","",动作要素测量!D5)</f>
        <v/>
      </c>
      <c r="C5" s="12" t="str">
        <f>IF(动作要素测量!D10="","",动作要素测量!D10)</f>
        <v/>
      </c>
      <c r="D5" s="12" t="str">
        <f>IF(动作要素测量!D15="","",动作要素测量!D15)</f>
        <v/>
      </c>
      <c r="E5" s="12" t="str">
        <f>IF(动作要素测量!D20="","",动作要素测量!D20)</f>
        <v/>
      </c>
      <c r="F5" s="12" t="str">
        <f>IF(动作要素测量!D25="","",动作要素测量!D25)</f>
        <v/>
      </c>
      <c r="G5" s="12" t="str">
        <f>IF(动作要素测量!D30="","",动作要素测量!D30)</f>
        <v/>
      </c>
      <c r="H5" s="12" t="str">
        <f>IF(动作要素测量!D35="","",动作要素测量!D35)</f>
        <v/>
      </c>
      <c r="I5" s="12" t="str">
        <f>IF(动作要素测量!D40="","",动作要素测量!D40)</f>
        <v/>
      </c>
      <c r="J5" s="12" t="str">
        <f>IF(动作要素测量!D45="","",动作要素测量!D45)</f>
        <v/>
      </c>
      <c r="K5" s="12" t="str">
        <f>IF(动作要素测量!D50="","",动作要素测量!D50)</f>
        <v/>
      </c>
      <c r="L5" s="12" t="str">
        <f>IF(动作要素测量!D55="","",动作要素测量!D55)</f>
        <v/>
      </c>
      <c r="M5" s="12" t="str">
        <f>IF(动作要素测量!D60="","",动作要素测量!D60)</f>
        <v/>
      </c>
      <c r="N5" s="12" t="str">
        <f>IF(动作要素测量!D65="","",动作要素测量!D65)</f>
        <v/>
      </c>
      <c r="O5" s="12" t="str">
        <f>IF(动作要素测量!D70="","",动作要素测量!D70)</f>
        <v/>
      </c>
      <c r="P5" s="12" t="str">
        <f>IF(动作要素测量!D75="","",动作要素测量!D75)</f>
        <v/>
      </c>
      <c r="Q5" s="12" t="str">
        <f>IF(动作要素测量!D80="","",动作要素测量!D80)</f>
        <v/>
      </c>
      <c r="R5" s="12" t="str">
        <f>IF(动作要素测量!D85="","",动作要素测量!D85)</f>
        <v/>
      </c>
      <c r="S5" s="12" t="str">
        <f>IF(动作要素测量!D90="","",动作要素测量!D90)</f>
        <v/>
      </c>
      <c r="T5" s="12" t="str">
        <f>IF(动作要素测量!D95="","",动作要素测量!D95)</f>
        <v/>
      </c>
      <c r="U5" s="12" t="str">
        <f>IF(动作要素测量!D100="","",动作要素测量!D100)</f>
        <v/>
      </c>
      <c r="V5" s="12" t="str">
        <f>IF(动作要素测量!D105="","",动作要素测量!D105)</f>
        <v/>
      </c>
      <c r="W5" s="12" t="str">
        <f>IF(动作要素测量!D110="","",动作要素测量!D110)</f>
        <v/>
      </c>
      <c r="X5" s="12" t="str">
        <f>IF(动作要素测量!D115="","",动作要素测量!D115)</f>
        <v/>
      </c>
      <c r="Y5" s="12" t="str">
        <f>IF(动作要素测量!D120="","",动作要素测量!D120)</f>
        <v/>
      </c>
      <c r="Z5" s="12" t="str">
        <f>IF(动作要素测量!D125="","",动作要素测量!D125)</f>
        <v/>
      </c>
      <c r="AA5" s="12" t="str">
        <f>IF(动作要素测量!D130="","",动作要素测量!D130)</f>
        <v/>
      </c>
      <c r="AB5" s="12" t="str">
        <f>IF(动作要素测量!D135="","",动作要素测量!D135)</f>
        <v/>
      </c>
      <c r="AC5" s="12" t="str">
        <f>IF(动作要素测量!D140="","",动作要素测量!D140)</f>
        <v/>
      </c>
      <c r="AD5" s="12" t="str">
        <f>IF(动作要素测量!D145="","",动作要素测量!D145)</f>
        <v/>
      </c>
      <c r="AE5" s="12" t="str">
        <f>IF(动作要素测量!D150="","",动作要素测量!D150)</f>
        <v/>
      </c>
      <c r="AF5" s="12" t="str">
        <f>IF(动作要素测量!D155="","",动作要素测量!D155)</f>
        <v/>
      </c>
      <c r="AG5" s="12" t="str">
        <f>IF(动作要素测量!D160="","",动作要素测量!D160)</f>
        <v/>
      </c>
      <c r="AH5" s="12" t="str">
        <f>IF(动作要素测量!D165="","",动作要素测量!D165)</f>
        <v/>
      </c>
      <c r="AI5" s="12" t="str">
        <f>IF(动作要素测量!D170="","",动作要素测量!D170)</f>
        <v/>
      </c>
      <c r="AJ5" s="12" t="str">
        <f>IF(动作要素测量!D175="","",动作要素测量!D175)</f>
        <v/>
      </c>
      <c r="AK5" s="12" t="str">
        <f>IF(动作要素测量!D180="","",动作要素测量!D180)</f>
        <v/>
      </c>
      <c r="AL5" s="12" t="str">
        <f>IF(动作要素测量!D185="","",动作要素测量!D185)</f>
        <v/>
      </c>
      <c r="AM5" s="12" t="str">
        <f>IF(动作要素测量!D190="","",动作要素测量!D190)</f>
        <v/>
      </c>
      <c r="AN5" s="12" t="str">
        <f>IF(动作要素测量!D195="","",动作要素测量!D195)</f>
        <v/>
      </c>
      <c r="AO5" s="12" t="str">
        <f>IF(动作要素测量!D200="","",动作要素测量!D200)</f>
        <v/>
      </c>
      <c r="AP5" s="12" t="str">
        <f>IF(动作要素测量!D205="","",动作要素测量!D205)</f>
        <v/>
      </c>
      <c r="AQ5" s="12" t="str">
        <f>IF(动作要素测量!D210="","",动作要素测量!D210)</f>
        <v/>
      </c>
      <c r="AR5" s="12" t="str">
        <f>IF(动作要素测量!D215="","",动作要素测量!D215)</f>
        <v/>
      </c>
      <c r="AS5" s="12" t="str">
        <f>IF(动作要素测量!D220="","",动作要素测量!D220)</f>
        <v/>
      </c>
      <c r="AT5" s="12" t="str">
        <f>IF(动作要素测量!D225="","",动作要素测量!D225)</f>
        <v/>
      </c>
      <c r="AU5" s="12" t="str">
        <f>IF(动作要素测量!D230="","",动作要素测量!D230)</f>
        <v/>
      </c>
      <c r="AV5" s="12" t="str">
        <f>IF(动作要素测量!D235="","",动作要素测量!D235)</f>
        <v/>
      </c>
      <c r="AW5" s="12" t="str">
        <f>IF(动作要素测量!D240="","",动作要素测量!D240)</f>
        <v/>
      </c>
      <c r="AX5" s="12" t="str">
        <f>IF(动作要素测量!D245="","",动作要素测量!D245)</f>
        <v/>
      </c>
      <c r="AY5" s="12" t="str">
        <f>IF(动作要素测量!D250="","",动作要素测量!D250)</f>
        <v/>
      </c>
      <c r="AZ5" s="12" t="str">
        <f>IF(动作要素测量!D255="","",动作要素测量!D255)</f>
        <v/>
      </c>
      <c r="BA5" s="12" t="str">
        <f>IF(动作要素测量!D260="","",动作要素测量!D260)</f>
        <v/>
      </c>
      <c r="BB5" s="12" t="str">
        <f>IF(动作要素测量!D265="","",动作要素测量!D265)</f>
        <v/>
      </c>
      <c r="BC5" s="12" t="str">
        <f>IF(动作要素测量!D270="","",动作要素测量!D270)</f>
        <v/>
      </c>
      <c r="BD5" s="12" t="str">
        <f>IF(动作要素测量!D275="","",动作要素测量!D275)</f>
        <v/>
      </c>
      <c r="BE5" s="12" t="str">
        <f>IF(动作要素测量!D280="","",动作要素测量!D280)</f>
        <v/>
      </c>
      <c r="BF5" s="12" t="str">
        <f>IF(动作要素测量!D285="","",动作要素测量!D285)</f>
        <v/>
      </c>
      <c r="BG5" s="12" t="str">
        <f>IF(动作要素测量!D290="","",动作要素测量!D290)</f>
        <v/>
      </c>
      <c r="BH5" s="12" t="str">
        <f>IF(动作要素测量!D295="","",动作要素测量!D295)</f>
        <v/>
      </c>
      <c r="BI5" s="12" t="str">
        <f>IF(动作要素测量!D300="","",动作要素测量!D300)</f>
        <v/>
      </c>
      <c r="BJ5" s="12" t="str">
        <f>IF(动作要素测量!D305="","",动作要素测量!D305)</f>
        <v/>
      </c>
      <c r="BK5" s="12" t="str">
        <f>IF(动作要素测量!D310="","",动作要素测量!D310)</f>
        <v/>
      </c>
      <c r="BL5" s="12" t="str">
        <f>IF(动作要素测量!D315="","",动作要素测量!D315)</f>
        <v/>
      </c>
      <c r="BM5" s="12" t="str">
        <f>IF(动作要素测量!D320="","",动作要素测量!D320)</f>
        <v/>
      </c>
      <c r="BN5" s="12" t="str">
        <f>IF(动作要素测量!D325="","",动作要素测量!D325)</f>
        <v/>
      </c>
      <c r="BO5" s="12" t="str">
        <f>IF(动作要素测量!D330="","",动作要素测量!D330)</f>
        <v/>
      </c>
      <c r="BP5" s="12" t="str">
        <f>IF(动作要素测量!D335="","",动作要素测量!D335)</f>
        <v/>
      </c>
      <c r="BQ5" s="12" t="str">
        <f>IF(动作要素测量!D340="","",动作要素测量!D340)</f>
        <v/>
      </c>
      <c r="BR5" s="12" t="str">
        <f>IF(动作要素测量!D345="","",动作要素测量!D345)</f>
        <v/>
      </c>
      <c r="BS5" s="12" t="str">
        <f>IF(动作要素测量!D350="","",动作要素测量!D350)</f>
        <v/>
      </c>
      <c r="BT5" s="12" t="str">
        <f>IF(动作要素测量!D355="","",动作要素测量!D355)</f>
        <v/>
      </c>
      <c r="BU5" s="12" t="str">
        <f>IF(动作要素测量!D360="","",动作要素测量!D360)</f>
        <v/>
      </c>
      <c r="BV5" s="12" t="str">
        <f>IF(动作要素测量!D365="","",动作要素测量!D365)</f>
        <v/>
      </c>
      <c r="BW5" s="12" t="str">
        <f>IF(动作要素测量!D370="","",动作要素测量!D370)</f>
        <v/>
      </c>
      <c r="BX5" s="12" t="str">
        <f>IF(动作要素测量!D375="","",动作要素测量!D375)</f>
        <v/>
      </c>
      <c r="BY5" s="12" t="str">
        <f>IF(动作要素测量!D380="","",动作要素测量!D380)</f>
        <v/>
      </c>
      <c r="BZ5" s="12" t="str">
        <f>IF(动作要素测量!D385="","",动作要素测量!D385)</f>
        <v/>
      </c>
      <c r="CA5" s="12" t="str">
        <f>IF(动作要素测量!D390="","",动作要素测量!D390)</f>
        <v/>
      </c>
      <c r="CB5" s="12" t="str">
        <f>IF(动作要素测量!D395="","",动作要素测量!D395)</f>
        <v/>
      </c>
      <c r="CC5" s="12" t="str">
        <f>IF(动作要素测量!D400="","",动作要素测量!D400)</f>
        <v/>
      </c>
      <c r="CD5" s="12" t="str">
        <f>IF(动作要素测量!D405="","",动作要素测量!D405)</f>
        <v/>
      </c>
      <c r="CE5" s="12" t="str">
        <f>IF(动作要素测量!D410="","",动作要素测量!D410)</f>
        <v/>
      </c>
      <c r="CF5" s="12" t="str">
        <f>IF(动作要素测量!D415="","",动作要素测量!D415)</f>
        <v/>
      </c>
      <c r="CG5" s="12" t="str">
        <f>IF(动作要素测量!D420="","",动作要素测量!D420)</f>
        <v/>
      </c>
      <c r="CH5" s="12" t="str">
        <f>IF(动作要素测量!D425="","",动作要素测量!D425)</f>
        <v/>
      </c>
      <c r="CI5" s="12" t="str">
        <f>IF(动作要素测量!D430="","",动作要素测量!D430)</f>
        <v/>
      </c>
      <c r="CJ5" s="12" t="str">
        <f>IF(动作要素测量!D435="","",动作要素测量!D435)</f>
        <v/>
      </c>
      <c r="CK5" s="12" t="str">
        <f>IF(动作要素测量!D440="","",动作要素测量!D440)</f>
        <v/>
      </c>
      <c r="CL5" s="12" t="str">
        <f>IF(动作要素测量!D445="","",动作要素测量!D445)</f>
        <v/>
      </c>
      <c r="CM5" s="12" t="str">
        <f>IF(动作要素测量!D450="","",动作要素测量!D450)</f>
        <v/>
      </c>
      <c r="CN5" s="12" t="str">
        <f>IF(动作要素测量!D455="","",动作要素测量!D455)</f>
        <v/>
      </c>
      <c r="CO5" s="12" t="str">
        <f>IF(动作要素测量!D460="","",动作要素测量!D460)</f>
        <v/>
      </c>
      <c r="CP5" s="12" t="str">
        <f>IF(动作要素测量!D465="","",动作要素测量!D465)</f>
        <v/>
      </c>
      <c r="CQ5" s="12" t="str">
        <f>IF(动作要素测量!D470="","",动作要素测量!D470)</f>
        <v/>
      </c>
      <c r="CR5" s="12" t="str">
        <f>IF(动作要素测量!D475="","",动作要素测量!D475)</f>
        <v/>
      </c>
      <c r="CS5" s="12" t="str">
        <f>IF(动作要素测量!D480="","",动作要素测量!D480)</f>
        <v/>
      </c>
      <c r="CT5" s="12" t="str">
        <f>IF(动作要素测量!D485="","",动作要素测量!D485)</f>
        <v/>
      </c>
      <c r="CU5" s="12" t="str">
        <f>IF(动作要素测量!D490="","",动作要素测量!D490)</f>
        <v/>
      </c>
      <c r="CV5" s="12" t="str">
        <f>IF(动作要素测量!D495="","",动作要素测量!D495)</f>
        <v/>
      </c>
      <c r="CW5" s="12" t="str">
        <f>IF(动作要素测量!D500="","",动作要素测量!D500)</f>
        <v/>
      </c>
      <c r="CX5" s="12" t="str">
        <f>IF(动作要素测量!D505="","",动作要素测量!D505)</f>
        <v/>
      </c>
      <c r="CY5" s="12" t="str">
        <f>IF(动作要素测量!D510="","",动作要素测量!D510)</f>
        <v/>
      </c>
      <c r="CZ5" s="12" t="str">
        <f>IF(动作要素测量!D515="","",动作要素测量!D515)</f>
        <v/>
      </c>
      <c r="DA5" s="12" t="str">
        <f>IF(动作要素测量!D520="","",动作要素测量!D520)</f>
        <v/>
      </c>
      <c r="DB5" s="12" t="str">
        <f>IF(动作要素测量!D525="","",动作要素测量!D525)</f>
        <v/>
      </c>
      <c r="DC5" s="12" t="str">
        <f>IF(动作要素测量!D530="","",动作要素测量!D530)</f>
        <v/>
      </c>
      <c r="DD5" s="12" t="str">
        <f>IF(动作要素测量!D535="","",动作要素测量!D535)</f>
        <v/>
      </c>
      <c r="DE5" s="12" t="str">
        <f>IF(动作要素测量!D540="","",动作要素测量!D540)</f>
        <v/>
      </c>
      <c r="DF5" s="12" t="str">
        <f>IF(动作要素测量!D545="","",动作要素测量!D545)</f>
        <v/>
      </c>
      <c r="DG5" s="12" t="str">
        <f>IF(动作要素测量!D550="","",动作要素测量!D550)</f>
        <v/>
      </c>
      <c r="DH5" s="12" t="str">
        <f>IF(动作要素测量!D555="","",动作要素测量!D555)</f>
        <v/>
      </c>
      <c r="DI5" s="12" t="str">
        <f>IF(动作要素测量!D560="","",动作要素测量!D560)</f>
        <v/>
      </c>
      <c r="DJ5" s="12" t="str">
        <f>IF(动作要素测量!D565="","",动作要素测量!D565)</f>
        <v/>
      </c>
      <c r="DK5" s="12" t="str">
        <f>IF(动作要素测量!D570="","",动作要素测量!D570)</f>
        <v/>
      </c>
      <c r="DL5" s="12" t="str">
        <f>IF(动作要素测量!D575="","",动作要素测量!D575)</f>
        <v/>
      </c>
      <c r="DM5" s="12" t="str">
        <f>IF(动作要素测量!D580="","",动作要素测量!D580)</f>
        <v/>
      </c>
      <c r="DN5" s="12" t="str">
        <f>IF(动作要素测量!D585="","",动作要素测量!D585)</f>
        <v/>
      </c>
      <c r="DO5" s="12" t="str">
        <f>IF(动作要素测量!D590="","",动作要素测量!D590)</f>
        <v/>
      </c>
      <c r="DP5" s="12" t="str">
        <f>IF(动作要素测量!D595="","",动作要素测量!D595)</f>
        <v/>
      </c>
      <c r="DQ5" s="12" t="str">
        <f>IF(动作要素测量!D600="","",动作要素测量!D600)</f>
        <v/>
      </c>
      <c r="DR5" s="12" t="str">
        <f>IF(动作要素测量!D605="","",动作要素测量!D605)</f>
        <v/>
      </c>
      <c r="DS5" s="12" t="str">
        <f>IF(动作要素测量!D610="","",动作要素测量!D610)</f>
        <v/>
      </c>
      <c r="DT5" s="12" t="str">
        <f>IF(动作要素测量!D615="","",动作要素测量!D615)</f>
        <v/>
      </c>
      <c r="DU5" s="12" t="str">
        <f>IF(动作要素测量!D620="","",动作要素测量!D620)</f>
        <v/>
      </c>
      <c r="DV5" s="12" t="str">
        <f>IF(动作要素测量!D625="","",动作要素测量!D625)</f>
        <v/>
      </c>
      <c r="DW5" s="12" t="str">
        <f>IF(动作要素测量!D630="","",动作要素测量!D630)</f>
        <v/>
      </c>
      <c r="DX5" s="12" t="str">
        <f>IF(动作要素测量!D635="","",动作要素测量!D635)</f>
        <v/>
      </c>
      <c r="DY5" s="12" t="str">
        <f>IF(动作要素测量!D640="","",动作要素测量!D640)</f>
        <v/>
      </c>
      <c r="DZ5" s="12" t="str">
        <f>IF(动作要素测量!D645="","",动作要素测量!D645)</f>
        <v/>
      </c>
      <c r="EA5" s="12" t="str">
        <f>IF(动作要素测量!D650="","",动作要素测量!D650)</f>
        <v/>
      </c>
      <c r="EB5" s="12" t="str">
        <f>IF(动作要素测量!D655="","",动作要素测量!D655)</f>
        <v/>
      </c>
      <c r="EC5" s="12" t="str">
        <f>IF(动作要素测量!D660="","",动作要素测量!D660)</f>
        <v/>
      </c>
      <c r="ED5" s="12" t="str">
        <f>IF(动作要素测量!D665="","",动作要素测量!D665)</f>
        <v/>
      </c>
      <c r="EE5" s="12" t="str">
        <f>IF(动作要素测量!D670="","",动作要素测量!D670)</f>
        <v/>
      </c>
      <c r="EF5" s="12" t="str">
        <f>IF(动作要素测量!D675="","",动作要素测量!D675)</f>
        <v/>
      </c>
      <c r="EG5" s="12" t="str">
        <f>IF(动作要素测量!D680="","",动作要素测量!D680)</f>
        <v/>
      </c>
      <c r="EH5" s="12" t="str">
        <f>IF(动作要素测量!D685="","",动作要素测量!D685)</f>
        <v/>
      </c>
      <c r="EI5" s="12" t="str">
        <f>IF(动作要素测量!D690="","",动作要素测量!D690)</f>
        <v/>
      </c>
      <c r="EJ5" s="12" t="str">
        <f>IF(动作要素测量!D695="","",动作要素测量!D695)</f>
        <v/>
      </c>
      <c r="EK5" s="12" t="str">
        <f>IF(动作要素测量!D700="","",动作要素测量!D700)</f>
        <v/>
      </c>
    </row>
    <row r="6" spans="1:141" ht="61.95" customHeight="1" x14ac:dyDescent="0.25">
      <c r="A6" s="10" t="s">
        <v>44</v>
      </c>
      <c r="B6" s="12" t="str">
        <f>IF(动作要素测量!D6="","",动作要素测量!D6)</f>
        <v/>
      </c>
      <c r="C6" s="12" t="str">
        <f>IF(动作要素测量!D11="","",动作要素测量!D11)</f>
        <v/>
      </c>
      <c r="D6" s="12" t="str">
        <f>IF(动作要素测量!D16="","",动作要素测量!D16)</f>
        <v/>
      </c>
      <c r="E6" s="12" t="str">
        <f>IF(动作要素测量!D21="","",动作要素测量!D21)</f>
        <v/>
      </c>
      <c r="F6" s="12" t="str">
        <f>IF(动作要素测量!D26="","",动作要素测量!D26)</f>
        <v/>
      </c>
      <c r="G6" s="12" t="str">
        <f>IF(动作要素测量!D31="","",动作要素测量!D31)</f>
        <v/>
      </c>
      <c r="H6" s="12" t="str">
        <f>IF(动作要素测量!D36="","",动作要素测量!D36)</f>
        <v/>
      </c>
      <c r="I6" s="12" t="str">
        <f>IF(动作要素测量!D41="","",动作要素测量!D41)</f>
        <v/>
      </c>
      <c r="J6" s="12" t="str">
        <f>IF(动作要素测量!D46="","",动作要素测量!D46)</f>
        <v/>
      </c>
      <c r="K6" s="12" t="str">
        <f>IF(动作要素测量!D51="","",动作要素测量!D51)</f>
        <v/>
      </c>
      <c r="L6" s="12" t="str">
        <f>IF(动作要素测量!D56="","",动作要素测量!D56)</f>
        <v/>
      </c>
      <c r="M6" s="12" t="str">
        <f>IF(动作要素测量!D61="","",动作要素测量!D61)</f>
        <v/>
      </c>
      <c r="N6" s="12" t="str">
        <f>IF(动作要素测量!D66="","",动作要素测量!D66)</f>
        <v/>
      </c>
      <c r="O6" s="12" t="str">
        <f>IF(动作要素测量!D71="","",动作要素测量!D71)</f>
        <v/>
      </c>
      <c r="P6" s="12" t="str">
        <f>IF(动作要素测量!D76="","",动作要素测量!D76)</f>
        <v/>
      </c>
      <c r="Q6" s="12" t="str">
        <f>IF(动作要素测量!D81="","",动作要素测量!D81)</f>
        <v/>
      </c>
      <c r="R6" s="12" t="str">
        <f>IF(动作要素测量!D86="","",动作要素测量!D86)</f>
        <v/>
      </c>
      <c r="S6" s="12" t="str">
        <f>IF(动作要素测量!D91="","",动作要素测量!D91)</f>
        <v/>
      </c>
      <c r="T6" s="12" t="str">
        <f>IF(动作要素测量!D96="","",动作要素测量!D96)</f>
        <v/>
      </c>
      <c r="U6" s="12" t="str">
        <f>IF(动作要素测量!D101="","",动作要素测量!D101)</f>
        <v/>
      </c>
      <c r="V6" s="12" t="str">
        <f>IF(动作要素测量!D106="","",动作要素测量!D106)</f>
        <v/>
      </c>
      <c r="W6" s="12" t="str">
        <f>IF(动作要素测量!D111="","",动作要素测量!D111)</f>
        <v/>
      </c>
      <c r="X6" s="12" t="str">
        <f>IF(动作要素测量!D116="","",动作要素测量!D116)</f>
        <v/>
      </c>
      <c r="Y6" s="12" t="str">
        <f>IF(动作要素测量!D121="","",动作要素测量!D121)</f>
        <v/>
      </c>
      <c r="Z6" s="12" t="str">
        <f>IF(动作要素测量!D126="","",动作要素测量!D126)</f>
        <v/>
      </c>
      <c r="AA6" s="12" t="str">
        <f>IF(动作要素测量!D131="","",动作要素测量!D131)</f>
        <v/>
      </c>
      <c r="AB6" s="12" t="str">
        <f>IF(动作要素测量!D136="","",动作要素测量!D136)</f>
        <v/>
      </c>
      <c r="AC6" s="12" t="str">
        <f>IF(动作要素测量!D141="","",动作要素测量!D141)</f>
        <v/>
      </c>
      <c r="AD6" s="12" t="str">
        <f>IF(动作要素测量!D146="","",动作要素测量!D146)</f>
        <v/>
      </c>
      <c r="AE6" s="12" t="str">
        <f>IF(动作要素测量!D151="","",动作要素测量!D151)</f>
        <v/>
      </c>
      <c r="AF6" s="12" t="str">
        <f>IF(动作要素测量!D156="","",动作要素测量!D156)</f>
        <v/>
      </c>
      <c r="AG6" s="12" t="str">
        <f>IF(动作要素测量!D161="","",动作要素测量!D161)</f>
        <v/>
      </c>
      <c r="AH6" s="12" t="str">
        <f>IF(动作要素测量!D166="","",动作要素测量!D166)</f>
        <v/>
      </c>
      <c r="AI6" s="12" t="str">
        <f>IF(动作要素测量!D171="","",动作要素测量!D171)</f>
        <v/>
      </c>
      <c r="AJ6" s="12" t="str">
        <f>IF(动作要素测量!D176="","",动作要素测量!D176)</f>
        <v/>
      </c>
      <c r="AK6" s="12" t="str">
        <f>IF(动作要素测量!D181="","",动作要素测量!D181)</f>
        <v/>
      </c>
      <c r="AL6" s="12" t="str">
        <f>IF(动作要素测量!D186="","",动作要素测量!D186)</f>
        <v/>
      </c>
      <c r="AM6" s="12" t="str">
        <f>IF(动作要素测量!D191="","",动作要素测量!D191)</f>
        <v/>
      </c>
      <c r="AN6" s="12" t="str">
        <f>IF(动作要素测量!D196="","",动作要素测量!D196)</f>
        <v/>
      </c>
      <c r="AO6" s="12" t="str">
        <f>IF(动作要素测量!D201="","",动作要素测量!D201)</f>
        <v/>
      </c>
      <c r="AP6" s="12" t="str">
        <f>IF(动作要素测量!D206="","",动作要素测量!D206)</f>
        <v/>
      </c>
      <c r="AQ6" s="12" t="str">
        <f>IF(动作要素测量!D211="","",动作要素测量!D211)</f>
        <v/>
      </c>
      <c r="AR6" s="12" t="str">
        <f>IF(动作要素测量!D216="","",动作要素测量!D216)</f>
        <v/>
      </c>
      <c r="AS6" s="12" t="str">
        <f>IF(动作要素测量!D221="","",动作要素测量!D221)</f>
        <v/>
      </c>
      <c r="AT6" s="12" t="str">
        <f>IF(动作要素测量!D226="","",动作要素测量!D226)</f>
        <v/>
      </c>
      <c r="AU6" s="12" t="str">
        <f>IF(动作要素测量!D231="","",动作要素测量!D231)</f>
        <v/>
      </c>
      <c r="AV6" s="12" t="str">
        <f>IF(动作要素测量!D236="","",动作要素测量!D236)</f>
        <v/>
      </c>
      <c r="AW6" s="12" t="str">
        <f>IF(动作要素测量!D241="","",动作要素测量!D241)</f>
        <v/>
      </c>
      <c r="AX6" s="12" t="str">
        <f>IF(动作要素测量!D246="","",动作要素测量!D246)</f>
        <v/>
      </c>
      <c r="AY6" s="12" t="str">
        <f>IF(动作要素测量!D251="","",动作要素测量!D251)</f>
        <v/>
      </c>
      <c r="AZ6" s="12" t="str">
        <f>IF(动作要素测量!D256="","",动作要素测量!D256)</f>
        <v/>
      </c>
      <c r="BA6" s="12" t="str">
        <f>IF(动作要素测量!D261="","",动作要素测量!D261)</f>
        <v/>
      </c>
      <c r="BB6" s="12" t="str">
        <f>IF(动作要素测量!D266="","",动作要素测量!D266)</f>
        <v/>
      </c>
      <c r="BC6" s="12" t="str">
        <f>IF(动作要素测量!D271="","",动作要素测量!D271)</f>
        <v/>
      </c>
      <c r="BD6" s="12" t="str">
        <f>IF(动作要素测量!D276="","",动作要素测量!D276)</f>
        <v/>
      </c>
      <c r="BE6" s="12" t="str">
        <f>IF(动作要素测量!D281="","",动作要素测量!D281)</f>
        <v/>
      </c>
      <c r="BF6" s="12" t="str">
        <f>IF(动作要素测量!D286="","",动作要素测量!D286)</f>
        <v/>
      </c>
      <c r="BG6" s="12" t="str">
        <f>IF(动作要素测量!D291="","",动作要素测量!D291)</f>
        <v/>
      </c>
      <c r="BH6" s="12" t="str">
        <f>IF(动作要素测量!D296="","",动作要素测量!D296)</f>
        <v/>
      </c>
      <c r="BI6" s="12" t="str">
        <f>IF(动作要素测量!D301="","",动作要素测量!D301)</f>
        <v/>
      </c>
      <c r="BJ6" s="12" t="str">
        <f>IF(动作要素测量!D306="","",动作要素测量!D306)</f>
        <v/>
      </c>
      <c r="BK6" s="12" t="str">
        <f>IF(动作要素测量!D311="","",动作要素测量!D311)</f>
        <v/>
      </c>
      <c r="BL6" s="12" t="str">
        <f>IF(动作要素测量!D316="","",动作要素测量!D316)</f>
        <v/>
      </c>
      <c r="BM6" s="12" t="str">
        <f>IF(动作要素测量!D321="","",动作要素测量!D321)</f>
        <v/>
      </c>
      <c r="BN6" s="12" t="str">
        <f>IF(动作要素测量!D326="","",动作要素测量!D326)</f>
        <v/>
      </c>
      <c r="BO6" s="12" t="str">
        <f>IF(动作要素测量!D331="","",动作要素测量!D331)</f>
        <v/>
      </c>
      <c r="BP6" s="12" t="str">
        <f>IF(动作要素测量!D336="","",动作要素测量!D336)</f>
        <v/>
      </c>
      <c r="BQ6" s="12" t="str">
        <f>IF(动作要素测量!D341="","",动作要素测量!D341)</f>
        <v/>
      </c>
      <c r="BR6" s="12" t="str">
        <f>IF(动作要素测量!D346="","",动作要素测量!D346)</f>
        <v/>
      </c>
      <c r="BS6" s="12" t="str">
        <f>IF(动作要素测量!D351="","",动作要素测量!D351)</f>
        <v/>
      </c>
      <c r="BT6" s="12" t="str">
        <f>IF(动作要素测量!D356="","",动作要素测量!D356)</f>
        <v/>
      </c>
      <c r="BU6" s="12" t="str">
        <f>IF(动作要素测量!D361="","",动作要素测量!D361)</f>
        <v/>
      </c>
      <c r="BV6" s="12" t="str">
        <f>IF(动作要素测量!D366="","",动作要素测量!D366)</f>
        <v/>
      </c>
      <c r="BW6" s="12" t="str">
        <f>IF(动作要素测量!D371="","",动作要素测量!D371)</f>
        <v/>
      </c>
      <c r="BX6" s="12" t="str">
        <f>IF(动作要素测量!D376="","",动作要素测量!D376)</f>
        <v/>
      </c>
      <c r="BY6" s="12" t="str">
        <f>IF(动作要素测量!D381="","",动作要素测量!D381)</f>
        <v/>
      </c>
      <c r="BZ6" s="12" t="str">
        <f>IF(动作要素测量!D386="","",动作要素测量!D386)</f>
        <v/>
      </c>
      <c r="CA6" s="12" t="str">
        <f>IF(动作要素测量!D391="","",动作要素测量!D391)</f>
        <v/>
      </c>
      <c r="CB6" s="12" t="str">
        <f>IF(动作要素测量!D396="","",动作要素测量!D396)</f>
        <v/>
      </c>
      <c r="CC6" s="12" t="str">
        <f>IF(动作要素测量!D401="","",动作要素测量!D401)</f>
        <v/>
      </c>
      <c r="CD6" s="12" t="str">
        <f>IF(动作要素测量!D406="","",动作要素测量!D406)</f>
        <v/>
      </c>
      <c r="CE6" s="12" t="str">
        <f>IF(动作要素测量!D411="","",动作要素测量!D411)</f>
        <v/>
      </c>
      <c r="CF6" s="12" t="str">
        <f>IF(动作要素测量!D416="","",动作要素测量!D416)</f>
        <v/>
      </c>
      <c r="CG6" s="12" t="str">
        <f>IF(动作要素测量!D421="","",动作要素测量!D421)</f>
        <v/>
      </c>
      <c r="CH6" s="12" t="str">
        <f>IF(动作要素测量!D426="","",动作要素测量!D426)</f>
        <v/>
      </c>
      <c r="CI6" s="12" t="str">
        <f>IF(动作要素测量!D431="","",动作要素测量!D431)</f>
        <v/>
      </c>
      <c r="CJ6" s="12" t="str">
        <f>IF(动作要素测量!D436="","",动作要素测量!D436)</f>
        <v/>
      </c>
      <c r="CK6" s="12" t="str">
        <f>IF(动作要素测量!D441="","",动作要素测量!D441)</f>
        <v/>
      </c>
      <c r="CL6" s="12" t="str">
        <f>IF(动作要素测量!D446="","",动作要素测量!D446)</f>
        <v/>
      </c>
      <c r="CM6" s="12" t="str">
        <f>IF(动作要素测量!D451="","",动作要素测量!D451)</f>
        <v/>
      </c>
      <c r="CN6" s="12" t="str">
        <f>IF(动作要素测量!D456="","",动作要素测量!D456)</f>
        <v/>
      </c>
      <c r="CO6" s="12" t="str">
        <f>IF(动作要素测量!D461="","",动作要素测量!D461)</f>
        <v/>
      </c>
      <c r="CP6" s="12" t="str">
        <f>IF(动作要素测量!D466="","",动作要素测量!D466)</f>
        <v/>
      </c>
      <c r="CQ6" s="12" t="str">
        <f>IF(动作要素测量!D471="","",动作要素测量!D471)</f>
        <v/>
      </c>
      <c r="CR6" s="12" t="str">
        <f>IF(动作要素测量!D476="","",动作要素测量!D476)</f>
        <v/>
      </c>
      <c r="CS6" s="12" t="str">
        <f>IF(动作要素测量!D481="","",动作要素测量!D481)</f>
        <v/>
      </c>
      <c r="CT6" s="12" t="str">
        <f>IF(动作要素测量!D486="","",动作要素测量!D486)</f>
        <v/>
      </c>
      <c r="CU6" s="12" t="str">
        <f>IF(动作要素测量!D491="","",动作要素测量!D491)</f>
        <v/>
      </c>
      <c r="CV6" s="12" t="str">
        <f>IF(动作要素测量!D496="","",动作要素测量!D496)</f>
        <v/>
      </c>
      <c r="CW6" s="12" t="str">
        <f>IF(动作要素测量!D501="","",动作要素测量!D501)</f>
        <v/>
      </c>
      <c r="CX6" s="12" t="str">
        <f>IF(动作要素测量!D506="","",动作要素测量!D506)</f>
        <v/>
      </c>
      <c r="CY6" s="12" t="str">
        <f>IF(动作要素测量!D511="","",动作要素测量!D511)</f>
        <v/>
      </c>
      <c r="CZ6" s="12" t="str">
        <f>IF(动作要素测量!D516="","",动作要素测量!D516)</f>
        <v/>
      </c>
      <c r="DA6" s="12" t="str">
        <f>IF(动作要素测量!D521="","",动作要素测量!D521)</f>
        <v/>
      </c>
      <c r="DB6" s="12" t="str">
        <f>IF(动作要素测量!D526="","",动作要素测量!D526)</f>
        <v/>
      </c>
      <c r="DC6" s="12" t="str">
        <f>IF(动作要素测量!D531="","",动作要素测量!D531)</f>
        <v/>
      </c>
      <c r="DD6" s="12" t="str">
        <f>IF(动作要素测量!D536="","",动作要素测量!D536)</f>
        <v/>
      </c>
      <c r="DE6" s="12" t="str">
        <f>IF(动作要素测量!D541="","",动作要素测量!D541)</f>
        <v/>
      </c>
      <c r="DF6" s="12" t="str">
        <f>IF(动作要素测量!D546="","",动作要素测量!D546)</f>
        <v/>
      </c>
      <c r="DG6" s="12" t="str">
        <f>IF(动作要素测量!D551="","",动作要素测量!D551)</f>
        <v/>
      </c>
      <c r="DH6" s="12" t="str">
        <f>IF(动作要素测量!D556="","",动作要素测量!D556)</f>
        <v/>
      </c>
      <c r="DI6" s="12" t="str">
        <f>IF(动作要素测量!D561="","",动作要素测量!D561)</f>
        <v/>
      </c>
      <c r="DJ6" s="12" t="str">
        <f>IF(动作要素测量!D566="","",动作要素测量!D566)</f>
        <v/>
      </c>
      <c r="DK6" s="12" t="str">
        <f>IF(动作要素测量!D571="","",动作要素测量!D571)</f>
        <v/>
      </c>
      <c r="DL6" s="12" t="str">
        <f>IF(动作要素测量!D576="","",动作要素测量!D576)</f>
        <v/>
      </c>
      <c r="DM6" s="12" t="str">
        <f>IF(动作要素测量!D581="","",动作要素测量!D581)</f>
        <v/>
      </c>
      <c r="DN6" s="12" t="str">
        <f>IF(动作要素测量!D586="","",动作要素测量!D586)</f>
        <v/>
      </c>
      <c r="DO6" s="12" t="str">
        <f>IF(动作要素测量!D591="","",动作要素测量!D591)</f>
        <v/>
      </c>
      <c r="DP6" s="12" t="str">
        <f>IF(动作要素测量!D596="","",动作要素测量!D596)</f>
        <v/>
      </c>
      <c r="DQ6" s="12" t="str">
        <f>IF(动作要素测量!D601="","",动作要素测量!D601)</f>
        <v/>
      </c>
      <c r="DR6" s="12" t="str">
        <f>IF(动作要素测量!D606="","",动作要素测量!D606)</f>
        <v/>
      </c>
      <c r="DS6" s="12" t="str">
        <f>IF(动作要素测量!D611="","",动作要素测量!D611)</f>
        <v/>
      </c>
      <c r="DT6" s="12" t="str">
        <f>IF(动作要素测量!D616="","",动作要素测量!D616)</f>
        <v/>
      </c>
      <c r="DU6" s="12" t="str">
        <f>IF(动作要素测量!D621="","",动作要素测量!D621)</f>
        <v/>
      </c>
      <c r="DV6" s="12" t="str">
        <f>IF(动作要素测量!D626="","",动作要素测量!D626)</f>
        <v/>
      </c>
      <c r="DW6" s="12" t="str">
        <f>IF(动作要素测量!D631="","",动作要素测量!D631)</f>
        <v/>
      </c>
      <c r="DX6" s="12" t="str">
        <f>IF(动作要素测量!D636="","",动作要素测量!D636)</f>
        <v/>
      </c>
      <c r="DY6" s="12" t="str">
        <f>IF(动作要素测量!D641="","",动作要素测量!D641)</f>
        <v/>
      </c>
      <c r="DZ6" s="12" t="str">
        <f>IF(动作要素测量!D646="","",动作要素测量!D646)</f>
        <v/>
      </c>
      <c r="EA6" s="12" t="str">
        <f>IF(动作要素测量!D651="","",动作要素测量!D651)</f>
        <v/>
      </c>
      <c r="EB6" s="12" t="str">
        <f>IF(动作要素测量!D656="","",动作要素测量!D656)</f>
        <v/>
      </c>
      <c r="EC6" s="12" t="str">
        <f>IF(动作要素测量!D661="","",动作要素测量!D661)</f>
        <v/>
      </c>
      <c r="ED6" s="12" t="str">
        <f>IF(动作要素测量!D666="","",动作要素测量!D666)</f>
        <v/>
      </c>
      <c r="EE6" s="12" t="str">
        <f>IF(动作要素测量!D671="","",动作要素测量!D671)</f>
        <v/>
      </c>
      <c r="EF6" s="12" t="str">
        <f>IF(动作要素测量!D676="","",动作要素测量!D676)</f>
        <v/>
      </c>
      <c r="EG6" s="12" t="str">
        <f>IF(动作要素测量!D681="","",动作要素测量!D681)</f>
        <v/>
      </c>
      <c r="EH6" s="12" t="str">
        <f>IF(动作要素测量!D686="","",动作要素测量!D686)</f>
        <v/>
      </c>
      <c r="EI6" s="12" t="str">
        <f>IF(动作要素测量!D691="","",动作要素测量!D691)</f>
        <v/>
      </c>
      <c r="EJ6" s="12" t="str">
        <f>IF(动作要素测量!D696="","",动作要素测量!D696)</f>
        <v/>
      </c>
      <c r="EK6" s="12" t="str">
        <f>IF(动作要素测量!D701="","",动作要素测量!D701)</f>
        <v/>
      </c>
    </row>
    <row r="7" spans="1:141" ht="61.95" customHeight="1" x14ac:dyDescent="0.25">
      <c r="A7" s="10" t="s">
        <v>45</v>
      </c>
      <c r="B7" s="12" t="str">
        <f>IF(动作要素测量!D7="","",动作要素测量!D7)</f>
        <v/>
      </c>
      <c r="C7" s="12" t="str">
        <f>IF(动作要素测量!D12="","",动作要素测量!D12)</f>
        <v/>
      </c>
      <c r="D7" s="12" t="str">
        <f>IF(动作要素测量!D17="","",动作要素测量!D17)</f>
        <v/>
      </c>
      <c r="E7" s="12" t="str">
        <f>IF(动作要素测量!D22="","",动作要素测量!D22)</f>
        <v/>
      </c>
      <c r="F7" s="12" t="str">
        <f>IF(动作要素测量!D27="","",动作要素测量!D27)</f>
        <v/>
      </c>
      <c r="G7" s="12" t="str">
        <f>IF(动作要素测量!D32="","",动作要素测量!D32)</f>
        <v/>
      </c>
      <c r="H7" s="12" t="str">
        <f>IF(动作要素测量!D37="","",动作要素测量!D37)</f>
        <v/>
      </c>
      <c r="I7" s="12" t="str">
        <f>IF(动作要素测量!D42="","",动作要素测量!D42)</f>
        <v/>
      </c>
      <c r="J7" s="12" t="str">
        <f>IF(动作要素测量!D47="","",动作要素测量!D47)</f>
        <v/>
      </c>
      <c r="K7" s="12" t="str">
        <f>IF(动作要素测量!D52="","",动作要素测量!D52)</f>
        <v/>
      </c>
      <c r="L7" s="12" t="str">
        <f>IF(动作要素测量!D57="","",动作要素测量!D57)</f>
        <v/>
      </c>
      <c r="M7" s="12" t="str">
        <f>IF(动作要素测量!D62="","",动作要素测量!D62)</f>
        <v/>
      </c>
      <c r="N7" s="12" t="str">
        <f>IF(动作要素测量!D67="","",动作要素测量!D67)</f>
        <v/>
      </c>
      <c r="O7" s="12" t="str">
        <f>IF(动作要素测量!D72="","",动作要素测量!D72)</f>
        <v/>
      </c>
      <c r="P7" s="12" t="str">
        <f>IF(动作要素测量!D77="","",动作要素测量!D77)</f>
        <v/>
      </c>
      <c r="Q7" s="12" t="str">
        <f>IF(动作要素测量!D82="","",动作要素测量!D82)</f>
        <v/>
      </c>
      <c r="R7" s="12" t="str">
        <f>IF(动作要素测量!D87="","",动作要素测量!D87)</f>
        <v/>
      </c>
      <c r="S7" s="12" t="str">
        <f>IF(动作要素测量!D92="","",动作要素测量!D92)</f>
        <v/>
      </c>
      <c r="T7" s="12" t="str">
        <f>IF(动作要素测量!D97="","",动作要素测量!D97)</f>
        <v/>
      </c>
      <c r="U7" s="12" t="str">
        <f>IF(动作要素测量!D102="","",动作要素测量!D102)</f>
        <v/>
      </c>
      <c r="V7" s="12" t="str">
        <f>IF(动作要素测量!D107="","",动作要素测量!D107)</f>
        <v/>
      </c>
      <c r="W7" s="12" t="str">
        <f>IF(动作要素测量!D112="","",动作要素测量!D112)</f>
        <v/>
      </c>
      <c r="X7" s="12" t="str">
        <f>IF(动作要素测量!D117="","",动作要素测量!D117)</f>
        <v/>
      </c>
      <c r="Y7" s="12" t="str">
        <f>IF(动作要素测量!D122="","",动作要素测量!D122)</f>
        <v/>
      </c>
      <c r="Z7" s="12" t="str">
        <f>IF(动作要素测量!D127="","",动作要素测量!D127)</f>
        <v/>
      </c>
      <c r="AA7" s="12" t="str">
        <f>IF(动作要素测量!D132="","",动作要素测量!D132)</f>
        <v/>
      </c>
      <c r="AB7" s="12" t="str">
        <f>IF(动作要素测量!D137="","",动作要素测量!D137)</f>
        <v/>
      </c>
      <c r="AC7" s="12" t="str">
        <f>IF(动作要素测量!D142="","",动作要素测量!D142)</f>
        <v/>
      </c>
      <c r="AD7" s="12" t="str">
        <f>IF(动作要素测量!D147="","",动作要素测量!D147)</f>
        <v/>
      </c>
      <c r="AE7" s="12" t="str">
        <f>IF(动作要素测量!D152="","",动作要素测量!D152)</f>
        <v/>
      </c>
      <c r="AF7" s="12" t="str">
        <f>IF(动作要素测量!D157="","",动作要素测量!D157)</f>
        <v/>
      </c>
      <c r="AG7" s="12" t="str">
        <f>IF(动作要素测量!D162="","",动作要素测量!D162)</f>
        <v/>
      </c>
      <c r="AH7" s="12" t="str">
        <f>IF(动作要素测量!D167="","",动作要素测量!D167)</f>
        <v/>
      </c>
      <c r="AI7" s="12" t="str">
        <f>IF(动作要素测量!D172="","",动作要素测量!D172)</f>
        <v/>
      </c>
      <c r="AJ7" s="12" t="str">
        <f>IF(动作要素测量!D177="","",动作要素测量!D177)</f>
        <v/>
      </c>
      <c r="AK7" s="12" t="str">
        <f>IF(动作要素测量!D182="","",动作要素测量!D182)</f>
        <v/>
      </c>
      <c r="AL7" s="12" t="str">
        <f>IF(动作要素测量!D187="","",动作要素测量!D187)</f>
        <v/>
      </c>
      <c r="AM7" s="12" t="str">
        <f>IF(动作要素测量!D192="","",动作要素测量!D192)</f>
        <v/>
      </c>
      <c r="AN7" s="12" t="str">
        <f>IF(动作要素测量!D197="","",动作要素测量!D197)</f>
        <v/>
      </c>
      <c r="AO7" s="12" t="str">
        <f>IF(动作要素测量!D202="","",动作要素测量!D202)</f>
        <v/>
      </c>
      <c r="AP7" s="12" t="str">
        <f>IF(动作要素测量!D207="","",动作要素测量!D207)</f>
        <v/>
      </c>
      <c r="AQ7" s="12" t="str">
        <f>IF(动作要素测量!D212="","",动作要素测量!D212)</f>
        <v/>
      </c>
      <c r="AR7" s="12" t="str">
        <f>IF(动作要素测量!D217="","",动作要素测量!D217)</f>
        <v/>
      </c>
      <c r="AS7" s="12" t="str">
        <f>IF(动作要素测量!D222="","",动作要素测量!D222)</f>
        <v/>
      </c>
      <c r="AT7" s="12" t="str">
        <f>IF(动作要素测量!D227="","",动作要素测量!D227)</f>
        <v/>
      </c>
      <c r="AU7" s="12" t="str">
        <f>IF(动作要素测量!D232="","",动作要素测量!D232)</f>
        <v/>
      </c>
      <c r="AV7" s="12" t="str">
        <f>IF(动作要素测量!D237="","",动作要素测量!D237)</f>
        <v/>
      </c>
      <c r="AW7" s="12" t="str">
        <f>IF(动作要素测量!D242="","",动作要素测量!D242)</f>
        <v/>
      </c>
      <c r="AX7" s="12" t="str">
        <f>IF(动作要素测量!D247="","",动作要素测量!D247)</f>
        <v/>
      </c>
      <c r="AY7" s="12" t="str">
        <f>IF(动作要素测量!D252="","",动作要素测量!D252)</f>
        <v/>
      </c>
      <c r="AZ7" s="12" t="str">
        <f>IF(动作要素测量!D257="","",动作要素测量!D257)</f>
        <v/>
      </c>
      <c r="BA7" s="12" t="str">
        <f>IF(动作要素测量!D262="","",动作要素测量!D262)</f>
        <v/>
      </c>
      <c r="BB7" s="12" t="str">
        <f>IF(动作要素测量!D267="","",动作要素测量!D267)</f>
        <v/>
      </c>
      <c r="BC7" s="12" t="str">
        <f>IF(动作要素测量!D272="","",动作要素测量!D272)</f>
        <v/>
      </c>
      <c r="BD7" s="12" t="str">
        <f>IF(动作要素测量!D277="","",动作要素测量!D277)</f>
        <v/>
      </c>
      <c r="BE7" s="12" t="str">
        <f>IF(动作要素测量!D282="","",动作要素测量!D282)</f>
        <v/>
      </c>
      <c r="BF7" s="12" t="str">
        <f>IF(动作要素测量!D287="","",动作要素测量!D287)</f>
        <v/>
      </c>
      <c r="BG7" s="12" t="str">
        <f>IF(动作要素测量!D292="","",动作要素测量!D292)</f>
        <v/>
      </c>
      <c r="BH7" s="12" t="str">
        <f>IF(动作要素测量!D297="","",动作要素测量!D297)</f>
        <v/>
      </c>
      <c r="BI7" s="12" t="str">
        <f>IF(动作要素测量!D302="","",动作要素测量!D302)</f>
        <v/>
      </c>
      <c r="BJ7" s="12" t="str">
        <f>IF(动作要素测量!D307="","",动作要素测量!D307)</f>
        <v/>
      </c>
      <c r="BK7" s="12" t="str">
        <f>IF(动作要素测量!D312="","",动作要素测量!D312)</f>
        <v/>
      </c>
      <c r="BL7" s="12" t="str">
        <f>IF(动作要素测量!D317="","",动作要素测量!D317)</f>
        <v/>
      </c>
      <c r="BM7" s="12" t="str">
        <f>IF(动作要素测量!D322="","",动作要素测量!D322)</f>
        <v/>
      </c>
      <c r="BN7" s="12" t="str">
        <f>IF(动作要素测量!D327="","",动作要素测量!D327)</f>
        <v/>
      </c>
      <c r="BO7" s="12" t="str">
        <f>IF(动作要素测量!D332="","",动作要素测量!D332)</f>
        <v/>
      </c>
      <c r="BP7" s="12" t="str">
        <f>IF(动作要素测量!D337="","",动作要素测量!D337)</f>
        <v/>
      </c>
      <c r="BQ7" s="12" t="str">
        <f>IF(动作要素测量!D342="","",动作要素测量!D342)</f>
        <v/>
      </c>
      <c r="BR7" s="12" t="str">
        <f>IF(动作要素测量!D347="","",动作要素测量!D347)</f>
        <v/>
      </c>
      <c r="BS7" s="12" t="str">
        <f>IF(动作要素测量!D352="","",动作要素测量!D352)</f>
        <v/>
      </c>
      <c r="BT7" s="12" t="str">
        <f>IF(动作要素测量!D357="","",动作要素测量!D357)</f>
        <v/>
      </c>
      <c r="BU7" s="12" t="str">
        <f>IF(动作要素测量!D362="","",动作要素测量!D362)</f>
        <v/>
      </c>
      <c r="BV7" s="12" t="str">
        <f>IF(动作要素测量!D367="","",动作要素测量!D367)</f>
        <v/>
      </c>
      <c r="BW7" s="12" t="str">
        <f>IF(动作要素测量!D372="","",动作要素测量!D372)</f>
        <v/>
      </c>
      <c r="BX7" s="12" t="str">
        <f>IF(动作要素测量!D377="","",动作要素测量!D377)</f>
        <v/>
      </c>
      <c r="BY7" s="12" t="str">
        <f>IF(动作要素测量!D382="","",动作要素测量!D382)</f>
        <v/>
      </c>
      <c r="BZ7" s="12" t="str">
        <f>IF(动作要素测量!D387="","",动作要素测量!D387)</f>
        <v/>
      </c>
      <c r="CA7" s="12" t="str">
        <f>IF(动作要素测量!D392="","",动作要素测量!D392)</f>
        <v/>
      </c>
      <c r="CB7" s="12" t="str">
        <f>IF(动作要素测量!D397="","",动作要素测量!D397)</f>
        <v/>
      </c>
      <c r="CC7" s="12" t="str">
        <f>IF(动作要素测量!D402="","",动作要素测量!D402)</f>
        <v/>
      </c>
      <c r="CD7" s="12" t="str">
        <f>IF(动作要素测量!D407="","",动作要素测量!D407)</f>
        <v/>
      </c>
      <c r="CE7" s="12" t="str">
        <f>IF(动作要素测量!D412="","",动作要素测量!D412)</f>
        <v/>
      </c>
      <c r="CF7" s="12" t="str">
        <f>IF(动作要素测量!D417="","",动作要素测量!D417)</f>
        <v/>
      </c>
      <c r="CG7" s="12" t="str">
        <f>IF(动作要素测量!D422="","",动作要素测量!D422)</f>
        <v/>
      </c>
      <c r="CH7" s="12" t="str">
        <f>IF(动作要素测量!D427="","",动作要素测量!D427)</f>
        <v/>
      </c>
      <c r="CI7" s="12" t="str">
        <f>IF(动作要素测量!D432="","",动作要素测量!D432)</f>
        <v/>
      </c>
      <c r="CJ7" s="12" t="str">
        <f>IF(动作要素测量!D437="","",动作要素测量!D437)</f>
        <v/>
      </c>
      <c r="CK7" s="12" t="str">
        <f>IF(动作要素测量!D442="","",动作要素测量!D442)</f>
        <v/>
      </c>
      <c r="CL7" s="12" t="str">
        <f>IF(动作要素测量!D447="","",动作要素测量!D447)</f>
        <v/>
      </c>
      <c r="CM7" s="12" t="str">
        <f>IF(动作要素测量!D452="","",动作要素测量!D452)</f>
        <v/>
      </c>
      <c r="CN7" s="12" t="str">
        <f>IF(动作要素测量!D457="","",动作要素测量!D457)</f>
        <v/>
      </c>
      <c r="CO7" s="12" t="str">
        <f>IF(动作要素测量!D462="","",动作要素测量!D462)</f>
        <v/>
      </c>
      <c r="CP7" s="12" t="str">
        <f>IF(动作要素测量!D467="","",动作要素测量!D467)</f>
        <v/>
      </c>
      <c r="CQ7" s="12" t="str">
        <f>IF(动作要素测量!D472="","",动作要素测量!D472)</f>
        <v/>
      </c>
      <c r="CR7" s="12" t="str">
        <f>IF(动作要素测量!D477="","",动作要素测量!D477)</f>
        <v/>
      </c>
      <c r="CS7" s="12" t="str">
        <f>IF(动作要素测量!D482="","",动作要素测量!D482)</f>
        <v/>
      </c>
      <c r="CT7" s="12" t="str">
        <f>IF(动作要素测量!D487="","",动作要素测量!D487)</f>
        <v/>
      </c>
      <c r="CU7" s="12" t="str">
        <f>IF(动作要素测量!D492="","",动作要素测量!D492)</f>
        <v/>
      </c>
      <c r="CV7" s="12" t="str">
        <f>IF(动作要素测量!D497="","",动作要素测量!D497)</f>
        <v/>
      </c>
      <c r="CW7" s="12" t="str">
        <f>IF(动作要素测量!D502="","",动作要素测量!D502)</f>
        <v/>
      </c>
      <c r="CX7" s="12" t="str">
        <f>IF(动作要素测量!D507="","",动作要素测量!D507)</f>
        <v/>
      </c>
      <c r="CY7" s="12" t="str">
        <f>IF(动作要素测量!D512="","",动作要素测量!D512)</f>
        <v/>
      </c>
      <c r="CZ7" s="12" t="str">
        <f>IF(动作要素测量!D517="","",动作要素测量!D517)</f>
        <v/>
      </c>
      <c r="DA7" s="12" t="str">
        <f>IF(动作要素测量!D522="","",动作要素测量!D522)</f>
        <v/>
      </c>
      <c r="DB7" s="12" t="str">
        <f>IF(动作要素测量!D527="","",动作要素测量!D527)</f>
        <v/>
      </c>
      <c r="DC7" s="12" t="str">
        <f>IF(动作要素测量!D532="","",动作要素测量!D532)</f>
        <v/>
      </c>
      <c r="DD7" s="12" t="str">
        <f>IF(动作要素测量!D537="","",动作要素测量!D537)</f>
        <v/>
      </c>
      <c r="DE7" s="12" t="str">
        <f>IF(动作要素测量!D542="","",动作要素测量!D542)</f>
        <v/>
      </c>
      <c r="DF7" s="12" t="str">
        <f>IF(动作要素测量!D547="","",动作要素测量!D547)</f>
        <v/>
      </c>
      <c r="DG7" s="12" t="str">
        <f>IF(动作要素测量!D552="","",动作要素测量!D552)</f>
        <v/>
      </c>
      <c r="DH7" s="12" t="str">
        <f>IF(动作要素测量!D557="","",动作要素测量!D557)</f>
        <v/>
      </c>
      <c r="DI7" s="12" t="str">
        <f>IF(动作要素测量!D562="","",动作要素测量!D562)</f>
        <v/>
      </c>
      <c r="DJ7" s="12" t="str">
        <f>IF(动作要素测量!D567="","",动作要素测量!D567)</f>
        <v/>
      </c>
      <c r="DK7" s="12" t="str">
        <f>IF(动作要素测量!D572="","",动作要素测量!D572)</f>
        <v/>
      </c>
      <c r="DL7" s="12" t="str">
        <f>IF(动作要素测量!D577="","",动作要素测量!D577)</f>
        <v/>
      </c>
      <c r="DM7" s="12" t="str">
        <f>IF(动作要素测量!D582="","",动作要素测量!D582)</f>
        <v/>
      </c>
      <c r="DN7" s="12" t="str">
        <f>IF(动作要素测量!D587="","",动作要素测量!D587)</f>
        <v/>
      </c>
      <c r="DO7" s="12" t="str">
        <f>IF(动作要素测量!D592="","",动作要素测量!D592)</f>
        <v/>
      </c>
      <c r="DP7" s="12" t="str">
        <f>IF(动作要素测量!D597="","",动作要素测量!D597)</f>
        <v/>
      </c>
      <c r="DQ7" s="12" t="str">
        <f>IF(动作要素测量!D602="","",动作要素测量!D602)</f>
        <v/>
      </c>
      <c r="DR7" s="12" t="str">
        <f>IF(动作要素测量!D607="","",动作要素测量!D607)</f>
        <v/>
      </c>
      <c r="DS7" s="12" t="str">
        <f>IF(动作要素测量!D612="","",动作要素测量!D612)</f>
        <v/>
      </c>
      <c r="DT7" s="12" t="str">
        <f>IF(动作要素测量!D617="","",动作要素测量!D617)</f>
        <v/>
      </c>
      <c r="DU7" s="12" t="str">
        <f>IF(动作要素测量!D622="","",动作要素测量!D622)</f>
        <v/>
      </c>
      <c r="DV7" s="12" t="str">
        <f>IF(动作要素测量!D627="","",动作要素测量!D627)</f>
        <v/>
      </c>
      <c r="DW7" s="12" t="str">
        <f>IF(动作要素测量!D632="","",动作要素测量!D632)</f>
        <v/>
      </c>
      <c r="DX7" s="12" t="str">
        <f>IF(动作要素测量!D637="","",动作要素测量!D637)</f>
        <v/>
      </c>
      <c r="DY7" s="12" t="str">
        <f>IF(动作要素测量!D642="","",动作要素测量!D642)</f>
        <v/>
      </c>
      <c r="DZ7" s="12" t="str">
        <f>IF(动作要素测量!D647="","",动作要素测量!D647)</f>
        <v/>
      </c>
      <c r="EA7" s="12" t="str">
        <f>IF(动作要素测量!D652="","",动作要素测量!D652)</f>
        <v/>
      </c>
      <c r="EB7" s="12" t="str">
        <f>IF(动作要素测量!D657="","",动作要素测量!D657)</f>
        <v/>
      </c>
      <c r="EC7" s="12" t="str">
        <f>IF(动作要素测量!D662="","",动作要素测量!D662)</f>
        <v/>
      </c>
      <c r="ED7" s="12" t="str">
        <f>IF(动作要素测量!D667="","",动作要素测量!D667)</f>
        <v/>
      </c>
      <c r="EE7" s="12" t="str">
        <f>IF(动作要素测量!D672="","",动作要素测量!D672)</f>
        <v/>
      </c>
      <c r="EF7" s="12" t="str">
        <f>IF(动作要素测量!D677="","",动作要素测量!D677)</f>
        <v/>
      </c>
      <c r="EG7" s="12" t="str">
        <f>IF(动作要素测量!D682="","",动作要素测量!D682)</f>
        <v/>
      </c>
      <c r="EH7" s="12" t="str">
        <f>IF(动作要素测量!D687="","",动作要素测量!D687)</f>
        <v/>
      </c>
      <c r="EI7" s="12" t="str">
        <f>IF(动作要素测量!D692="","",动作要素测量!D692)</f>
        <v/>
      </c>
      <c r="EJ7" s="12" t="str">
        <f>IF(动作要素测量!D697="","",动作要素测量!D697)</f>
        <v/>
      </c>
      <c r="EK7" s="12" t="str">
        <f>IF(动作要素测量!D702="","",动作要素测量!D702)</f>
        <v/>
      </c>
    </row>
    <row r="8" spans="1:141" x14ac:dyDescent="0.25">
      <c r="A8" s="10" t="s">
        <v>46</v>
      </c>
      <c r="B8" s="13" t="str">
        <f>IF(动作要素测量!J3="","",动作要素测量!J3)</f>
        <v/>
      </c>
      <c r="C8" s="13" t="str">
        <f>IF(动作要素测量!J8="","",动作要素测量!J8)</f>
        <v/>
      </c>
      <c r="D8" s="13" t="str">
        <f>IF(动作要素测量!J13="","",动作要素测量!J13)</f>
        <v/>
      </c>
      <c r="E8" s="13" t="str">
        <f>IF(动作要素测量!J18="","",动作要素测量!J18)</f>
        <v/>
      </c>
      <c r="F8" s="13" t="str">
        <f>IF(动作要素测量!J23="","",动作要素测量!J23)</f>
        <v/>
      </c>
      <c r="G8" s="13" t="str">
        <f>IF(动作要素测量!J28="","",动作要素测量!J28)</f>
        <v/>
      </c>
      <c r="H8" s="13" t="str">
        <f>IF(动作要素测量!J33="","",动作要素测量!J33)</f>
        <v/>
      </c>
      <c r="I8" s="13" t="str">
        <f>IF(动作要素测量!J38="","",动作要素测量!J38)</f>
        <v/>
      </c>
      <c r="J8" s="13" t="str">
        <f>IF(动作要素测量!J43="","",动作要素测量!J43)</f>
        <v/>
      </c>
      <c r="K8" s="13" t="str">
        <f>IF(动作要素测量!J48="","",动作要素测量!J48)</f>
        <v/>
      </c>
      <c r="L8" s="13" t="str">
        <f>IF(动作要素测量!J53="","",动作要素测量!J53)</f>
        <v/>
      </c>
      <c r="M8" s="13" t="str">
        <f>IF(动作要素测量!J58="","",动作要素测量!J58)</f>
        <v/>
      </c>
      <c r="N8" s="13" t="str">
        <f>IF(动作要素测量!J63="","",动作要素测量!J63)</f>
        <v/>
      </c>
      <c r="O8" s="13" t="str">
        <f>IF(动作要素测量!J68="","",动作要素测量!J68)</f>
        <v/>
      </c>
      <c r="P8" s="13" t="str">
        <f>IF(动作要素测量!J73="","",动作要素测量!J73)</f>
        <v/>
      </c>
      <c r="Q8" s="13" t="str">
        <f>IF(动作要素测量!J78="","",动作要素测量!J78)</f>
        <v/>
      </c>
      <c r="R8" s="13" t="str">
        <f>IF(动作要素测量!J83="","",动作要素测量!J83)</f>
        <v/>
      </c>
      <c r="S8" s="13" t="str">
        <f>IF(动作要素测量!J88="","",动作要素测量!J88)</f>
        <v/>
      </c>
      <c r="T8" s="13" t="str">
        <f>IF(动作要素测量!J93="","",动作要素测量!J93)</f>
        <v/>
      </c>
      <c r="U8" s="13" t="str">
        <f>IF(动作要素测量!J98="","",动作要素测量!J98)</f>
        <v/>
      </c>
      <c r="V8" s="13" t="str">
        <f>IF(动作要素测量!J103="","",动作要素测量!J103)</f>
        <v/>
      </c>
      <c r="W8" s="13" t="str">
        <f>IF(动作要素测量!J108="","",动作要素测量!J108)</f>
        <v/>
      </c>
      <c r="X8" s="13" t="str">
        <f>IF(动作要素测量!J113="","",动作要素测量!J113)</f>
        <v/>
      </c>
      <c r="Y8" s="13" t="str">
        <f>IF(动作要素测量!J118="","",动作要素测量!J118)</f>
        <v/>
      </c>
      <c r="Z8" s="13" t="str">
        <f>IF(动作要素测量!J123="","",动作要素测量!J123)</f>
        <v/>
      </c>
      <c r="AA8" s="13" t="str">
        <f>IF(动作要素测量!J128="","",动作要素测量!J128)</f>
        <v/>
      </c>
      <c r="AB8" s="13" t="str">
        <f>IF(动作要素测量!J133="","",动作要素测量!J133)</f>
        <v/>
      </c>
      <c r="AC8" s="13" t="str">
        <f>IF(动作要素测量!J138="","",动作要素测量!J138)</f>
        <v/>
      </c>
      <c r="AD8" s="13" t="str">
        <f>IF(动作要素测量!J143="","",动作要素测量!J143)</f>
        <v/>
      </c>
      <c r="AE8" s="13" t="str">
        <f>IF(动作要素测量!J148="","",动作要素测量!J148)</f>
        <v/>
      </c>
      <c r="AF8" s="13" t="str">
        <f>IF(动作要素测量!J153="","",动作要素测量!J153)</f>
        <v/>
      </c>
      <c r="AG8" s="13" t="str">
        <f>IF(动作要素测量!J158="","",动作要素测量!J158)</f>
        <v/>
      </c>
      <c r="AH8" s="13" t="str">
        <f>IF(动作要素测量!J163="","",动作要素测量!J163)</f>
        <v/>
      </c>
      <c r="AI8" s="13" t="str">
        <f>IF(动作要素测量!J168="","",动作要素测量!J168)</f>
        <v/>
      </c>
      <c r="AJ8" s="13" t="str">
        <f>IF(动作要素测量!J173="","",动作要素测量!J173)</f>
        <v/>
      </c>
      <c r="AK8" s="13" t="str">
        <f>IF(动作要素测量!J178="","",动作要素测量!J178)</f>
        <v/>
      </c>
      <c r="AL8" s="13" t="str">
        <f>IF(动作要素测量!J183="","",动作要素测量!J183)</f>
        <v/>
      </c>
      <c r="AM8" s="13" t="str">
        <f>IF(动作要素测量!J188="","",动作要素测量!J188)</f>
        <v/>
      </c>
      <c r="AN8" s="13" t="str">
        <f>IF(动作要素测量!J193="","",动作要素测量!J193)</f>
        <v/>
      </c>
      <c r="AO8" s="13" t="str">
        <f>IF(动作要素测量!J198="","",动作要素测量!J198)</f>
        <v/>
      </c>
      <c r="AP8" s="13" t="str">
        <f>IF(动作要素测量!J203="","",动作要素测量!J203)</f>
        <v/>
      </c>
      <c r="AQ8" s="13" t="str">
        <f>IF(动作要素测量!J208="","",动作要素测量!J208)</f>
        <v/>
      </c>
      <c r="AR8" s="13" t="str">
        <f>IF(动作要素测量!J213="","",动作要素测量!J213)</f>
        <v/>
      </c>
      <c r="AS8" s="13" t="str">
        <f>IF(动作要素测量!J218="","",动作要素测量!J218)</f>
        <v/>
      </c>
      <c r="AT8" s="13" t="str">
        <f>IF(动作要素测量!J223="","",动作要素测量!J223)</f>
        <v/>
      </c>
      <c r="AU8" s="13" t="str">
        <f>IF(动作要素测量!J228="","",动作要素测量!J228)</f>
        <v/>
      </c>
      <c r="AV8" s="13" t="str">
        <f>IF(动作要素测量!J233="","",动作要素测量!J233)</f>
        <v/>
      </c>
      <c r="AW8" s="13" t="str">
        <f>IF(动作要素测量!J238="","",动作要素测量!J238)</f>
        <v/>
      </c>
      <c r="AX8" s="13" t="str">
        <f>IF(动作要素测量!J243="","",动作要素测量!J243)</f>
        <v/>
      </c>
      <c r="AY8" s="13" t="str">
        <f>IF(动作要素测量!J248="","",动作要素测量!J248)</f>
        <v/>
      </c>
      <c r="AZ8" s="13" t="str">
        <f>IF(动作要素测量!J253="","",动作要素测量!J253)</f>
        <v/>
      </c>
      <c r="BA8" s="13" t="str">
        <f>IF(动作要素测量!J258="","",动作要素测量!J258)</f>
        <v/>
      </c>
      <c r="BB8" s="13" t="str">
        <f>IF(动作要素测量!J263="","",动作要素测量!J263)</f>
        <v/>
      </c>
      <c r="BC8" s="13" t="str">
        <f>IF(动作要素测量!J268="","",动作要素测量!J268)</f>
        <v/>
      </c>
      <c r="BD8" s="13" t="str">
        <f>IF(动作要素测量!J273="","",动作要素测量!J273)</f>
        <v/>
      </c>
      <c r="BE8" s="13" t="str">
        <f>IF(动作要素测量!J278="","",动作要素测量!J278)</f>
        <v/>
      </c>
      <c r="BF8" s="13" t="str">
        <f>IF(动作要素测量!J283="","",动作要素测量!J283)</f>
        <v/>
      </c>
      <c r="BG8" s="13" t="str">
        <f>IF(动作要素测量!J288="","",动作要素测量!J288)</f>
        <v/>
      </c>
      <c r="BH8" s="13" t="str">
        <f>IF(动作要素测量!J293="","",动作要素测量!J293)</f>
        <v/>
      </c>
      <c r="BI8" s="13" t="str">
        <f>IF(动作要素测量!J298="","",动作要素测量!J298)</f>
        <v/>
      </c>
      <c r="BJ8" s="13" t="str">
        <f>IF(动作要素测量!J303="","",动作要素测量!J303)</f>
        <v/>
      </c>
      <c r="BK8" s="13" t="str">
        <f>IF(动作要素测量!J308="","",动作要素测量!J308)</f>
        <v/>
      </c>
      <c r="BL8" s="13" t="str">
        <f>IF(动作要素测量!J313="","",动作要素测量!J313)</f>
        <v/>
      </c>
      <c r="BM8" s="13" t="str">
        <f>IF(动作要素测量!J318="","",动作要素测量!J318)</f>
        <v/>
      </c>
      <c r="BN8" s="13" t="str">
        <f>IF(动作要素测量!J323="","",动作要素测量!J323)</f>
        <v/>
      </c>
      <c r="BO8" s="13" t="str">
        <f>IF(动作要素测量!J328="","",动作要素测量!J328)</f>
        <v/>
      </c>
      <c r="BP8" s="13" t="str">
        <f>IF(动作要素测量!J333="","",动作要素测量!J333)</f>
        <v/>
      </c>
      <c r="BQ8" s="13" t="str">
        <f>IF(动作要素测量!J338="","",动作要素测量!J338)</f>
        <v/>
      </c>
      <c r="BR8" s="13" t="str">
        <f>IF(动作要素测量!J343="","",动作要素测量!J343)</f>
        <v/>
      </c>
      <c r="BS8" s="13" t="str">
        <f>IF(动作要素测量!J348="","",动作要素测量!J348)</f>
        <v/>
      </c>
      <c r="BT8" s="13" t="str">
        <f>IF(动作要素测量!J353="","",动作要素测量!J353)</f>
        <v/>
      </c>
      <c r="BU8" s="13" t="str">
        <f>IF(动作要素测量!J358="","",动作要素测量!J358)</f>
        <v/>
      </c>
      <c r="BV8" s="13" t="str">
        <f>IF(动作要素测量!J363="","",动作要素测量!J363)</f>
        <v/>
      </c>
      <c r="BW8" s="13" t="str">
        <f>IF(动作要素测量!J368="","",动作要素测量!J368)</f>
        <v/>
      </c>
      <c r="BX8" s="13" t="str">
        <f>IF(动作要素测量!J373="","",动作要素测量!J373)</f>
        <v/>
      </c>
      <c r="BY8" s="13" t="str">
        <f>IF(动作要素测量!J378="","",动作要素测量!J378)</f>
        <v/>
      </c>
      <c r="BZ8" s="13" t="str">
        <f>IF(动作要素测量!J383="","",动作要素测量!J383)</f>
        <v/>
      </c>
      <c r="CA8" s="13" t="str">
        <f>IF(动作要素测量!J388="","",动作要素测量!J388)</f>
        <v/>
      </c>
      <c r="CB8" s="13" t="str">
        <f>IF(动作要素测量!J393="","",动作要素测量!J393)</f>
        <v/>
      </c>
      <c r="CC8" s="13" t="str">
        <f>IF(动作要素测量!J398="","",动作要素测量!J398)</f>
        <v/>
      </c>
      <c r="CD8" s="13" t="str">
        <f>IF(动作要素测量!J403="","",动作要素测量!J403)</f>
        <v/>
      </c>
      <c r="CE8" s="13" t="str">
        <f>IF(动作要素测量!J408="","",动作要素测量!J408)</f>
        <v/>
      </c>
      <c r="CF8" s="13" t="str">
        <f>IF(动作要素测量!J413="","",动作要素测量!J413)</f>
        <v/>
      </c>
      <c r="CG8" s="13" t="str">
        <f>IF(动作要素测量!J418="","",动作要素测量!J418)</f>
        <v/>
      </c>
      <c r="CH8" s="13" t="str">
        <f>IF(动作要素测量!J423="","",动作要素测量!J423)</f>
        <v/>
      </c>
      <c r="CI8" s="13" t="str">
        <f>IF(动作要素测量!J428="","",动作要素测量!J428)</f>
        <v/>
      </c>
      <c r="CJ8" s="13" t="str">
        <f>IF(动作要素测量!J433="","",动作要素测量!J433)</f>
        <v/>
      </c>
      <c r="CK8" s="13" t="str">
        <f>IF(动作要素测量!J438="","",动作要素测量!J438)</f>
        <v/>
      </c>
      <c r="CL8" s="13" t="str">
        <f>IF(动作要素测量!J443="","",动作要素测量!J443)</f>
        <v/>
      </c>
      <c r="CM8" s="13" t="str">
        <f>IF(动作要素测量!J448="","",动作要素测量!J448)</f>
        <v/>
      </c>
      <c r="CN8" s="13" t="str">
        <f>IF(动作要素测量!J453="","",动作要素测量!J453)</f>
        <v/>
      </c>
      <c r="CO8" s="13" t="str">
        <f>IF(动作要素测量!J458="","",动作要素测量!J458)</f>
        <v/>
      </c>
      <c r="CP8" s="13" t="str">
        <f>IF(动作要素测量!J463="","",动作要素测量!J463)</f>
        <v/>
      </c>
      <c r="CQ8" s="13" t="str">
        <f>IF(动作要素测量!J468="","",动作要素测量!J468)</f>
        <v/>
      </c>
      <c r="CR8" s="13" t="str">
        <f>IF(动作要素测量!J473="","",动作要素测量!J473)</f>
        <v/>
      </c>
      <c r="CS8" s="13" t="str">
        <f>IF(动作要素测量!J478="","",动作要素测量!J478)</f>
        <v/>
      </c>
      <c r="CT8" s="13" t="str">
        <f>IF(动作要素测量!J483="","",动作要素测量!J483)</f>
        <v/>
      </c>
      <c r="CU8" s="13" t="str">
        <f>IF(动作要素测量!J488="","",动作要素测量!J488)</f>
        <v/>
      </c>
      <c r="CV8" s="13" t="str">
        <f>IF(动作要素测量!J493="","",动作要素测量!J493)</f>
        <v/>
      </c>
      <c r="CW8" s="13" t="str">
        <f>IF(动作要素测量!J498="","",动作要素测量!J498)</f>
        <v/>
      </c>
      <c r="CX8" s="13" t="str">
        <f>IF(动作要素测量!J503="","",动作要素测量!J503)</f>
        <v/>
      </c>
      <c r="CY8" s="13" t="str">
        <f>IF(动作要素测量!J508="","",动作要素测量!J508)</f>
        <v/>
      </c>
      <c r="CZ8" s="13" t="str">
        <f>IF(动作要素测量!J513="","",动作要素测量!J513)</f>
        <v/>
      </c>
      <c r="DA8" s="13" t="str">
        <f>IF(动作要素测量!J518="","",动作要素测量!J518)</f>
        <v/>
      </c>
      <c r="DB8" s="13" t="str">
        <f>IF(动作要素测量!J523="","",动作要素测量!J523)</f>
        <v/>
      </c>
      <c r="DC8" s="13" t="str">
        <f>IF(动作要素测量!J528="","",动作要素测量!J528)</f>
        <v/>
      </c>
      <c r="DD8" s="13" t="str">
        <f>IF(动作要素测量!J533="","",动作要素测量!J533)</f>
        <v/>
      </c>
      <c r="DE8" s="13" t="str">
        <f>IF(动作要素测量!J538="","",动作要素测量!J538)</f>
        <v/>
      </c>
      <c r="DF8" s="13" t="str">
        <f>IF(动作要素测量!J543="","",动作要素测量!J543)</f>
        <v/>
      </c>
      <c r="DG8" s="13" t="str">
        <f>IF(动作要素测量!J548="","",动作要素测量!J548)</f>
        <v/>
      </c>
      <c r="DH8" s="13" t="str">
        <f>IF(动作要素测量!J553="","",动作要素测量!J553)</f>
        <v/>
      </c>
      <c r="DI8" s="13" t="str">
        <f>IF(动作要素测量!J558="","",动作要素测量!J558)</f>
        <v/>
      </c>
      <c r="DJ8" s="13" t="str">
        <f>IF(动作要素测量!J563="","",动作要素测量!J563)</f>
        <v/>
      </c>
      <c r="DK8" s="13" t="str">
        <f>IF(动作要素测量!J568="","",动作要素测量!J568)</f>
        <v/>
      </c>
      <c r="DL8" s="13" t="str">
        <f>IF(动作要素测量!J573="","",动作要素测量!J573)</f>
        <v/>
      </c>
      <c r="DM8" s="13" t="str">
        <f>IF(动作要素测量!J578="","",动作要素测量!J578)</f>
        <v/>
      </c>
      <c r="DN8" s="13" t="str">
        <f>IF(动作要素测量!J583="","",动作要素测量!J583)</f>
        <v/>
      </c>
      <c r="DO8" s="13" t="str">
        <f>IF(动作要素测量!J588="","",动作要素测量!J588)</f>
        <v/>
      </c>
      <c r="DP8" s="13" t="str">
        <f>IF(动作要素测量!J593="","",动作要素测量!J593)</f>
        <v/>
      </c>
      <c r="DQ8" s="13" t="str">
        <f>IF(动作要素测量!J598="","",动作要素测量!J598)</f>
        <v/>
      </c>
      <c r="DR8" s="13" t="str">
        <f>IF(动作要素测量!J603="","",动作要素测量!J603)</f>
        <v/>
      </c>
      <c r="DS8" s="13" t="str">
        <f>IF(动作要素测量!J608="","",动作要素测量!J608)</f>
        <v/>
      </c>
      <c r="DT8" s="13" t="str">
        <f>IF(动作要素测量!J613="","",动作要素测量!J613)</f>
        <v/>
      </c>
      <c r="DU8" s="13" t="str">
        <f>IF(动作要素测量!J618="","",动作要素测量!J618)</f>
        <v/>
      </c>
      <c r="DV8" s="13" t="str">
        <f>IF(动作要素测量!J623="","",动作要素测量!J623)</f>
        <v/>
      </c>
      <c r="DW8" s="13" t="str">
        <f>IF(动作要素测量!J628="","",动作要素测量!J628)</f>
        <v/>
      </c>
      <c r="DX8" s="13" t="str">
        <f>IF(动作要素测量!J633="","",动作要素测量!J633)</f>
        <v/>
      </c>
      <c r="DY8" s="13" t="str">
        <f>IF(动作要素测量!J638="","",动作要素测量!J638)</f>
        <v/>
      </c>
      <c r="DZ8" s="13" t="str">
        <f>IF(动作要素测量!J643="","",动作要素测量!J643)</f>
        <v/>
      </c>
      <c r="EA8" s="13" t="str">
        <f>IF(动作要素测量!J648="","",动作要素测量!J648)</f>
        <v/>
      </c>
      <c r="EB8" s="13" t="str">
        <f>IF(动作要素测量!J653="","",动作要素测量!J653)</f>
        <v/>
      </c>
      <c r="EC8" s="13" t="str">
        <f>IF(动作要素测量!J658="","",动作要素测量!J658)</f>
        <v/>
      </c>
      <c r="ED8" s="13" t="str">
        <f>IF(动作要素测量!J663="","",动作要素测量!J663)</f>
        <v/>
      </c>
      <c r="EE8" s="13" t="str">
        <f>IF(动作要素测量!J668="","",动作要素测量!J668)</f>
        <v/>
      </c>
      <c r="EF8" s="13" t="str">
        <f>IF(动作要素测量!J673="","",动作要素测量!J673)</f>
        <v/>
      </c>
      <c r="EG8" s="13" t="str">
        <f>IF(动作要素测量!J678="","",动作要素测量!J678)</f>
        <v/>
      </c>
      <c r="EH8" s="13" t="str">
        <f>IF(动作要素测量!J683="","",动作要素测量!J683)</f>
        <v/>
      </c>
      <c r="EI8" s="13" t="str">
        <f>IF(动作要素测量!J688="","",动作要素测量!J688)</f>
        <v/>
      </c>
      <c r="EJ8" s="13" t="str">
        <f>IF(动作要素测量!J693="","",动作要素测量!J693)</f>
        <v/>
      </c>
      <c r="EK8" s="13" t="str">
        <f>IF(动作要素测量!J698="","",动作要素测量!J698)</f>
        <v/>
      </c>
    </row>
    <row r="9" spans="1:141" x14ac:dyDescent="0.25">
      <c r="A9" s="10" t="s">
        <v>47</v>
      </c>
      <c r="B9" s="13" t="str">
        <f>IF(动作要素测量!J4="","",动作要素测量!J4)</f>
        <v/>
      </c>
      <c r="C9" s="13" t="str">
        <f>IF(动作要素测量!J9="","",动作要素测量!J9)</f>
        <v/>
      </c>
      <c r="D9" s="13" t="str">
        <f>IF(动作要素测量!J14="","",动作要素测量!J14)</f>
        <v/>
      </c>
      <c r="E9" s="13" t="str">
        <f>IF(动作要素测量!J19="","",动作要素测量!J19)</f>
        <v/>
      </c>
      <c r="F9" s="13" t="str">
        <f>IF(动作要素测量!J24="","",动作要素测量!J24)</f>
        <v/>
      </c>
      <c r="G9" s="13" t="str">
        <f>IF(动作要素测量!J29="","",动作要素测量!J29)</f>
        <v/>
      </c>
      <c r="H9" s="13" t="str">
        <f>IF(动作要素测量!J34="","",动作要素测量!J34)</f>
        <v/>
      </c>
      <c r="I9" s="13" t="str">
        <f>IF(动作要素测量!J39="","",动作要素测量!J39)</f>
        <v/>
      </c>
      <c r="J9" s="13" t="str">
        <f>IF(动作要素测量!J44="","",动作要素测量!J44)</f>
        <v/>
      </c>
      <c r="K9" s="13" t="str">
        <f>IF(动作要素测量!J49="","",动作要素测量!J49)</f>
        <v/>
      </c>
      <c r="L9" s="13" t="str">
        <f>IF(动作要素测量!J54="","",动作要素测量!J54)</f>
        <v/>
      </c>
      <c r="M9" s="13" t="str">
        <f>IF(动作要素测量!J59="","",动作要素测量!J59)</f>
        <v/>
      </c>
      <c r="N9" s="13" t="str">
        <f>IF(动作要素测量!J64="","",动作要素测量!J64)</f>
        <v/>
      </c>
      <c r="O9" s="13" t="str">
        <f>IF(动作要素测量!J69="","",动作要素测量!J69)</f>
        <v/>
      </c>
      <c r="P9" s="13" t="str">
        <f>IF(动作要素测量!J74="","",动作要素测量!J74)</f>
        <v/>
      </c>
      <c r="Q9" s="13" t="str">
        <f>IF(动作要素测量!J79="","",动作要素测量!J79)</f>
        <v/>
      </c>
      <c r="R9" s="13" t="str">
        <f>IF(动作要素测量!J84="","",动作要素测量!J84)</f>
        <v/>
      </c>
      <c r="S9" s="13" t="str">
        <f>IF(动作要素测量!J89="","",动作要素测量!J89)</f>
        <v/>
      </c>
      <c r="T9" s="13" t="str">
        <f>IF(动作要素测量!J94="","",动作要素测量!J94)</f>
        <v/>
      </c>
      <c r="U9" s="13" t="str">
        <f>IF(动作要素测量!J99="","",动作要素测量!J99)</f>
        <v/>
      </c>
      <c r="V9" s="13" t="str">
        <f>IF(动作要素测量!J104="","",动作要素测量!J104)</f>
        <v/>
      </c>
      <c r="W9" s="13" t="str">
        <f>IF(动作要素测量!J109="","",动作要素测量!J109)</f>
        <v/>
      </c>
      <c r="X9" s="13" t="str">
        <f>IF(动作要素测量!J114="","",动作要素测量!J114)</f>
        <v/>
      </c>
      <c r="Y9" s="13" t="str">
        <f>IF(动作要素测量!J119="","",动作要素测量!J119)</f>
        <v/>
      </c>
      <c r="Z9" s="13" t="str">
        <f>IF(动作要素测量!J124="","",动作要素测量!J124)</f>
        <v/>
      </c>
      <c r="AA9" s="13" t="str">
        <f>IF(动作要素测量!J129="","",动作要素测量!J129)</f>
        <v/>
      </c>
      <c r="AB9" s="13" t="str">
        <f>IF(动作要素测量!J134="","",动作要素测量!J134)</f>
        <v/>
      </c>
      <c r="AC9" s="13" t="str">
        <f>IF(动作要素测量!J139="","",动作要素测量!J139)</f>
        <v/>
      </c>
      <c r="AD9" s="13" t="str">
        <f>IF(动作要素测量!J144="","",动作要素测量!J144)</f>
        <v/>
      </c>
      <c r="AE9" s="13" t="str">
        <f>IF(动作要素测量!J149="","",动作要素测量!J149)</f>
        <v/>
      </c>
      <c r="AF9" s="13" t="str">
        <f>IF(动作要素测量!J154="","",动作要素测量!J154)</f>
        <v/>
      </c>
      <c r="AG9" s="13" t="str">
        <f>IF(动作要素测量!J159="","",动作要素测量!J159)</f>
        <v/>
      </c>
      <c r="AH9" s="13" t="str">
        <f>IF(动作要素测量!J164="","",动作要素测量!J164)</f>
        <v/>
      </c>
      <c r="AI9" s="13" t="str">
        <f>IF(动作要素测量!J169="","",动作要素测量!J169)</f>
        <v/>
      </c>
      <c r="AJ9" s="13" t="str">
        <f>IF(动作要素测量!J174="","",动作要素测量!J174)</f>
        <v/>
      </c>
      <c r="AK9" s="13" t="str">
        <f>IF(动作要素测量!J179="","",动作要素测量!J179)</f>
        <v/>
      </c>
      <c r="AL9" s="13" t="str">
        <f>IF(动作要素测量!J184="","",动作要素测量!J184)</f>
        <v/>
      </c>
      <c r="AM9" s="13" t="str">
        <f>IF(动作要素测量!J189="","",动作要素测量!J189)</f>
        <v/>
      </c>
      <c r="AN9" s="13" t="str">
        <f>IF(动作要素测量!J194="","",动作要素测量!J194)</f>
        <v/>
      </c>
      <c r="AO9" s="13" t="str">
        <f>IF(动作要素测量!J199="","",动作要素测量!J199)</f>
        <v/>
      </c>
      <c r="AP9" s="13" t="str">
        <f>IF(动作要素测量!J204="","",动作要素测量!J204)</f>
        <v/>
      </c>
      <c r="AQ9" s="13" t="str">
        <f>IF(动作要素测量!J209="","",动作要素测量!J209)</f>
        <v/>
      </c>
      <c r="AR9" s="13" t="str">
        <f>IF(动作要素测量!J214="","",动作要素测量!J214)</f>
        <v/>
      </c>
      <c r="AS9" s="13" t="str">
        <f>IF(动作要素测量!J219="","",动作要素测量!J219)</f>
        <v/>
      </c>
      <c r="AT9" s="13" t="str">
        <f>IF(动作要素测量!J224="","",动作要素测量!J224)</f>
        <v/>
      </c>
      <c r="AU9" s="13" t="str">
        <f>IF(动作要素测量!J229="","",动作要素测量!J229)</f>
        <v/>
      </c>
      <c r="AV9" s="13" t="str">
        <f>IF(动作要素测量!J234="","",动作要素测量!J234)</f>
        <v/>
      </c>
      <c r="AW9" s="13" t="str">
        <f>IF(动作要素测量!J239="","",动作要素测量!J239)</f>
        <v/>
      </c>
      <c r="AX9" s="13" t="str">
        <f>IF(动作要素测量!J244="","",动作要素测量!J244)</f>
        <v/>
      </c>
      <c r="AY9" s="13" t="str">
        <f>IF(动作要素测量!J249="","",动作要素测量!J249)</f>
        <v/>
      </c>
      <c r="AZ9" s="13" t="str">
        <f>IF(动作要素测量!J254="","",动作要素测量!J254)</f>
        <v/>
      </c>
      <c r="BA9" s="13" t="str">
        <f>IF(动作要素测量!J259="","",动作要素测量!J259)</f>
        <v/>
      </c>
      <c r="BB9" s="13" t="str">
        <f>IF(动作要素测量!J264="","",动作要素测量!J264)</f>
        <v/>
      </c>
      <c r="BC9" s="13" t="str">
        <f>IF(动作要素测量!J269="","",动作要素测量!J269)</f>
        <v/>
      </c>
      <c r="BD9" s="13" t="str">
        <f>IF(动作要素测量!J274="","",动作要素测量!J274)</f>
        <v/>
      </c>
      <c r="BE9" s="13" t="str">
        <f>IF(动作要素测量!J279="","",动作要素测量!J279)</f>
        <v/>
      </c>
      <c r="BF9" s="13" t="str">
        <f>IF(动作要素测量!J284="","",动作要素测量!J284)</f>
        <v/>
      </c>
      <c r="BG9" s="13" t="str">
        <f>IF(动作要素测量!J289="","",动作要素测量!J289)</f>
        <v/>
      </c>
      <c r="BH9" s="13" t="str">
        <f>IF(动作要素测量!J294="","",动作要素测量!J294)</f>
        <v/>
      </c>
      <c r="BI9" s="13" t="str">
        <f>IF(动作要素测量!J299="","",动作要素测量!J299)</f>
        <v/>
      </c>
      <c r="BJ9" s="13" t="str">
        <f>IF(动作要素测量!J304="","",动作要素测量!J304)</f>
        <v/>
      </c>
      <c r="BK9" s="13" t="str">
        <f>IF(动作要素测量!J309="","",动作要素测量!J309)</f>
        <v/>
      </c>
      <c r="BL9" s="13" t="str">
        <f>IF(动作要素测量!J314="","",动作要素测量!J314)</f>
        <v/>
      </c>
      <c r="BM9" s="13" t="str">
        <f>IF(动作要素测量!J319="","",动作要素测量!J319)</f>
        <v/>
      </c>
      <c r="BN9" s="13" t="str">
        <f>IF(动作要素测量!J324="","",动作要素测量!J324)</f>
        <v/>
      </c>
      <c r="BO9" s="13" t="str">
        <f>IF(动作要素测量!J329="","",动作要素测量!J329)</f>
        <v/>
      </c>
      <c r="BP9" s="13" t="str">
        <f>IF(动作要素测量!J334="","",动作要素测量!J334)</f>
        <v/>
      </c>
      <c r="BQ9" s="13" t="str">
        <f>IF(动作要素测量!J339="","",动作要素测量!J339)</f>
        <v/>
      </c>
      <c r="BR9" s="13" t="str">
        <f>IF(动作要素测量!J344="","",动作要素测量!J344)</f>
        <v/>
      </c>
      <c r="BS9" s="13" t="str">
        <f>IF(动作要素测量!J349="","",动作要素测量!J349)</f>
        <v/>
      </c>
      <c r="BT9" s="13" t="str">
        <f>IF(动作要素测量!J354="","",动作要素测量!J354)</f>
        <v/>
      </c>
      <c r="BU9" s="13" t="str">
        <f>IF(动作要素测量!J359="","",动作要素测量!J359)</f>
        <v/>
      </c>
      <c r="BV9" s="13" t="str">
        <f>IF(动作要素测量!J364="","",动作要素测量!J364)</f>
        <v/>
      </c>
      <c r="BW9" s="13" t="str">
        <f>IF(动作要素测量!J369="","",动作要素测量!J369)</f>
        <v/>
      </c>
      <c r="BX9" s="13" t="str">
        <f>IF(动作要素测量!J374="","",动作要素测量!J374)</f>
        <v/>
      </c>
      <c r="BY9" s="13" t="str">
        <f>IF(动作要素测量!J379="","",动作要素测量!J379)</f>
        <v/>
      </c>
      <c r="BZ9" s="13" t="str">
        <f>IF(动作要素测量!J384="","",动作要素测量!J384)</f>
        <v/>
      </c>
      <c r="CA9" s="13" t="str">
        <f>IF(动作要素测量!J389="","",动作要素测量!J389)</f>
        <v/>
      </c>
      <c r="CB9" s="13" t="str">
        <f>IF(动作要素测量!J394="","",动作要素测量!J394)</f>
        <v/>
      </c>
      <c r="CC9" s="13" t="str">
        <f>IF(动作要素测量!J399="","",动作要素测量!J399)</f>
        <v/>
      </c>
      <c r="CD9" s="13" t="str">
        <f>IF(动作要素测量!J404="","",动作要素测量!J404)</f>
        <v/>
      </c>
      <c r="CE9" s="13" t="str">
        <f>IF(动作要素测量!J409="","",动作要素测量!J409)</f>
        <v/>
      </c>
      <c r="CF9" s="13" t="str">
        <f>IF(动作要素测量!J414="","",动作要素测量!J414)</f>
        <v/>
      </c>
      <c r="CG9" s="13" t="str">
        <f>IF(动作要素测量!J419="","",动作要素测量!J419)</f>
        <v/>
      </c>
      <c r="CH9" s="13" t="str">
        <f>IF(动作要素测量!J424="","",动作要素测量!J424)</f>
        <v/>
      </c>
      <c r="CI9" s="13" t="str">
        <f>IF(动作要素测量!J429="","",动作要素测量!J429)</f>
        <v/>
      </c>
      <c r="CJ9" s="13" t="str">
        <f>IF(动作要素测量!J434="","",动作要素测量!J434)</f>
        <v/>
      </c>
      <c r="CK9" s="13" t="str">
        <f>IF(动作要素测量!J439="","",动作要素测量!J439)</f>
        <v/>
      </c>
      <c r="CL9" s="13" t="str">
        <f>IF(动作要素测量!J444="","",动作要素测量!J444)</f>
        <v/>
      </c>
      <c r="CM9" s="13" t="str">
        <f>IF(动作要素测量!J449="","",动作要素测量!J449)</f>
        <v/>
      </c>
      <c r="CN9" s="13" t="str">
        <f>IF(动作要素测量!J454="","",动作要素测量!J454)</f>
        <v/>
      </c>
      <c r="CO9" s="13" t="str">
        <f>IF(动作要素测量!J459="","",动作要素测量!J459)</f>
        <v/>
      </c>
      <c r="CP9" s="13" t="str">
        <f>IF(动作要素测量!J464="","",动作要素测量!J464)</f>
        <v/>
      </c>
      <c r="CQ9" s="13" t="str">
        <f>IF(动作要素测量!J469="","",动作要素测量!J469)</f>
        <v/>
      </c>
      <c r="CR9" s="13" t="str">
        <f>IF(动作要素测量!J474="","",动作要素测量!J474)</f>
        <v/>
      </c>
      <c r="CS9" s="13" t="str">
        <f>IF(动作要素测量!J479="","",动作要素测量!J479)</f>
        <v/>
      </c>
      <c r="CT9" s="13" t="str">
        <f>IF(动作要素测量!J484="","",动作要素测量!J484)</f>
        <v/>
      </c>
      <c r="CU9" s="13" t="str">
        <f>IF(动作要素测量!J489="","",动作要素测量!J489)</f>
        <v/>
      </c>
      <c r="CV9" s="13" t="str">
        <f>IF(动作要素测量!J494="","",动作要素测量!J494)</f>
        <v/>
      </c>
      <c r="CW9" s="13" t="str">
        <f>IF(动作要素测量!J499="","",动作要素测量!J499)</f>
        <v/>
      </c>
      <c r="CX9" s="13" t="str">
        <f>IF(动作要素测量!J504="","",动作要素测量!J504)</f>
        <v/>
      </c>
      <c r="CY9" s="13" t="str">
        <f>IF(动作要素测量!J509="","",动作要素测量!J509)</f>
        <v/>
      </c>
      <c r="CZ9" s="13" t="str">
        <f>IF(动作要素测量!J514="","",动作要素测量!J514)</f>
        <v/>
      </c>
      <c r="DA9" s="13" t="str">
        <f>IF(动作要素测量!J519="","",动作要素测量!J519)</f>
        <v/>
      </c>
      <c r="DB9" s="13" t="str">
        <f>IF(动作要素测量!J524="","",动作要素测量!J524)</f>
        <v/>
      </c>
      <c r="DC9" s="13" t="str">
        <f>IF(动作要素测量!J529="","",动作要素测量!J529)</f>
        <v/>
      </c>
      <c r="DD9" s="13" t="str">
        <f>IF(动作要素测量!J534="","",动作要素测量!J534)</f>
        <v/>
      </c>
      <c r="DE9" s="13" t="str">
        <f>IF(动作要素测量!J539="","",动作要素测量!J539)</f>
        <v/>
      </c>
      <c r="DF9" s="13" t="str">
        <f>IF(动作要素测量!J544="","",动作要素测量!J544)</f>
        <v/>
      </c>
      <c r="DG9" s="13" t="str">
        <f>IF(动作要素测量!J549="","",动作要素测量!J549)</f>
        <v/>
      </c>
      <c r="DH9" s="13" t="str">
        <f>IF(动作要素测量!J554="","",动作要素测量!J554)</f>
        <v/>
      </c>
      <c r="DI9" s="13" t="str">
        <f>IF(动作要素测量!J559="","",动作要素测量!J559)</f>
        <v/>
      </c>
      <c r="DJ9" s="13" t="str">
        <f>IF(动作要素测量!J564="","",动作要素测量!J564)</f>
        <v/>
      </c>
      <c r="DK9" s="13" t="str">
        <f>IF(动作要素测量!J569="","",动作要素测量!J569)</f>
        <v/>
      </c>
      <c r="DL9" s="13" t="str">
        <f>IF(动作要素测量!J574="","",动作要素测量!J574)</f>
        <v/>
      </c>
      <c r="DM9" s="13" t="str">
        <f>IF(动作要素测量!J579="","",动作要素测量!J579)</f>
        <v/>
      </c>
      <c r="DN9" s="13" t="str">
        <f>IF(动作要素测量!J584="","",动作要素测量!J584)</f>
        <v/>
      </c>
      <c r="DO9" s="13" t="str">
        <f>IF(动作要素测量!J589="","",动作要素测量!J589)</f>
        <v/>
      </c>
      <c r="DP9" s="13" t="str">
        <f>IF(动作要素测量!J594="","",动作要素测量!J594)</f>
        <v/>
      </c>
      <c r="DQ9" s="13" t="str">
        <f>IF(动作要素测量!J599="","",动作要素测量!J599)</f>
        <v/>
      </c>
      <c r="DR9" s="13" t="str">
        <f>IF(动作要素测量!J604="","",动作要素测量!J604)</f>
        <v/>
      </c>
      <c r="DS9" s="13" t="str">
        <f>IF(动作要素测量!J609="","",动作要素测量!J609)</f>
        <v/>
      </c>
      <c r="DT9" s="13" t="str">
        <f>IF(动作要素测量!J614="","",动作要素测量!J614)</f>
        <v/>
      </c>
      <c r="DU9" s="13" t="str">
        <f>IF(动作要素测量!J619="","",动作要素测量!J619)</f>
        <v/>
      </c>
      <c r="DV9" s="13" t="str">
        <f>IF(动作要素测量!J624="","",动作要素测量!J624)</f>
        <v/>
      </c>
      <c r="DW9" s="13" t="str">
        <f>IF(动作要素测量!J629="","",动作要素测量!J629)</f>
        <v/>
      </c>
      <c r="DX9" s="13" t="str">
        <f>IF(动作要素测量!J634="","",动作要素测量!J634)</f>
        <v/>
      </c>
      <c r="DY9" s="13" t="str">
        <f>IF(动作要素测量!J639="","",动作要素测量!J639)</f>
        <v/>
      </c>
      <c r="DZ9" s="13" t="str">
        <f>IF(动作要素测量!J644="","",动作要素测量!J644)</f>
        <v/>
      </c>
      <c r="EA9" s="13" t="str">
        <f>IF(动作要素测量!J649="","",动作要素测量!J649)</f>
        <v/>
      </c>
      <c r="EB9" s="13" t="str">
        <f>IF(动作要素测量!J654="","",动作要素测量!J654)</f>
        <v/>
      </c>
      <c r="EC9" s="13" t="str">
        <f>IF(动作要素测量!J659="","",动作要素测量!J659)</f>
        <v/>
      </c>
      <c r="ED9" s="13" t="str">
        <f>IF(动作要素测量!J664="","",动作要素测量!J664)</f>
        <v/>
      </c>
      <c r="EE9" s="13" t="str">
        <f>IF(动作要素测量!J669="","",动作要素测量!J669)</f>
        <v/>
      </c>
      <c r="EF9" s="13" t="str">
        <f>IF(动作要素测量!J674="","",动作要素测量!J674)</f>
        <v/>
      </c>
      <c r="EG9" s="13" t="str">
        <f>IF(动作要素测量!J679="","",动作要素测量!J679)</f>
        <v/>
      </c>
      <c r="EH9" s="13" t="str">
        <f>IF(动作要素测量!J684="","",动作要素测量!J684)</f>
        <v/>
      </c>
      <c r="EI9" s="13" t="str">
        <f>IF(动作要素测量!J689="","",动作要素测量!J689)</f>
        <v/>
      </c>
      <c r="EJ9" s="13" t="str">
        <f>IF(动作要素测量!J694="","",动作要素测量!J694)</f>
        <v/>
      </c>
      <c r="EK9" s="13" t="str">
        <f>IF(动作要素测量!J699="","",动作要素测量!J699)</f>
        <v/>
      </c>
    </row>
    <row r="10" spans="1:141" x14ac:dyDescent="0.25">
      <c r="A10" s="10" t="s">
        <v>48</v>
      </c>
      <c r="B10" s="13" t="str">
        <f>IF(动作要素测量!J5="","",动作要素测量!J5)</f>
        <v/>
      </c>
      <c r="C10" s="13" t="str">
        <f>IF(动作要素测量!J10="","",动作要素测量!J10)</f>
        <v/>
      </c>
      <c r="D10" s="13" t="str">
        <f>IF(动作要素测量!J15="","",动作要素测量!J15)</f>
        <v/>
      </c>
      <c r="E10" s="13" t="str">
        <f>IF(动作要素测量!J20="","",动作要素测量!J20)</f>
        <v/>
      </c>
      <c r="F10" s="13" t="str">
        <f>IF(动作要素测量!J25="","",动作要素测量!J25)</f>
        <v/>
      </c>
      <c r="G10" s="13" t="str">
        <f>IF(动作要素测量!J30="","",动作要素测量!J30)</f>
        <v/>
      </c>
      <c r="H10" s="13" t="str">
        <f>IF(动作要素测量!J35="","",动作要素测量!J35)</f>
        <v/>
      </c>
      <c r="I10" s="13" t="str">
        <f>IF(动作要素测量!J40="","",动作要素测量!J40)</f>
        <v/>
      </c>
      <c r="J10" s="13" t="str">
        <f>IF(动作要素测量!J45="","",动作要素测量!J45)</f>
        <v/>
      </c>
      <c r="K10" s="13" t="str">
        <f>IF(动作要素测量!J50="","",动作要素测量!J50)</f>
        <v/>
      </c>
      <c r="L10" s="13" t="str">
        <f>IF(动作要素测量!J55="","",动作要素测量!J55)</f>
        <v/>
      </c>
      <c r="M10" s="13" t="str">
        <f>IF(动作要素测量!J60="","",动作要素测量!J60)</f>
        <v/>
      </c>
      <c r="N10" s="13" t="str">
        <f>IF(动作要素测量!J65="","",动作要素测量!J65)</f>
        <v/>
      </c>
      <c r="O10" s="13" t="str">
        <f>IF(动作要素测量!J70="","",动作要素测量!J70)</f>
        <v/>
      </c>
      <c r="P10" s="13" t="str">
        <f>IF(动作要素测量!J75="","",动作要素测量!J75)</f>
        <v/>
      </c>
      <c r="Q10" s="13" t="str">
        <f>IF(动作要素测量!J80="","",动作要素测量!J80)</f>
        <v/>
      </c>
      <c r="R10" s="13" t="str">
        <f>IF(动作要素测量!J85="","",动作要素测量!J85)</f>
        <v/>
      </c>
      <c r="S10" s="13" t="str">
        <f>IF(动作要素测量!J90="","",动作要素测量!J90)</f>
        <v/>
      </c>
      <c r="T10" s="13" t="str">
        <f>IF(动作要素测量!J95="","",动作要素测量!J95)</f>
        <v/>
      </c>
      <c r="U10" s="13" t="str">
        <f>IF(动作要素测量!J100="","",动作要素测量!J100)</f>
        <v/>
      </c>
      <c r="V10" s="13" t="str">
        <f>IF(动作要素测量!J105="","",动作要素测量!J105)</f>
        <v/>
      </c>
      <c r="W10" s="13" t="str">
        <f>IF(动作要素测量!J110="","",动作要素测量!J110)</f>
        <v/>
      </c>
      <c r="X10" s="13" t="str">
        <f>IF(动作要素测量!J115="","",动作要素测量!J115)</f>
        <v/>
      </c>
      <c r="Y10" s="13" t="str">
        <f>IF(动作要素测量!J120="","",动作要素测量!J120)</f>
        <v/>
      </c>
      <c r="Z10" s="13" t="str">
        <f>IF(动作要素测量!J125="","",动作要素测量!J125)</f>
        <v/>
      </c>
      <c r="AA10" s="13" t="str">
        <f>IF(动作要素测量!J130="","",动作要素测量!J130)</f>
        <v/>
      </c>
      <c r="AB10" s="13" t="str">
        <f>IF(动作要素测量!J135="","",动作要素测量!J135)</f>
        <v/>
      </c>
      <c r="AC10" s="13" t="str">
        <f>IF(动作要素测量!J140="","",动作要素测量!J140)</f>
        <v/>
      </c>
      <c r="AD10" s="13" t="str">
        <f>IF(动作要素测量!J145="","",动作要素测量!J145)</f>
        <v/>
      </c>
      <c r="AE10" s="13" t="str">
        <f>IF(动作要素测量!J150="","",动作要素测量!J150)</f>
        <v/>
      </c>
      <c r="AF10" s="13" t="str">
        <f>IF(动作要素测量!J155="","",动作要素测量!J155)</f>
        <v/>
      </c>
      <c r="AG10" s="13" t="str">
        <f>IF(动作要素测量!J160="","",动作要素测量!J160)</f>
        <v/>
      </c>
      <c r="AH10" s="13" t="str">
        <f>IF(动作要素测量!J165="","",动作要素测量!J165)</f>
        <v/>
      </c>
      <c r="AI10" s="13" t="str">
        <f>IF(动作要素测量!J170="","",动作要素测量!J170)</f>
        <v/>
      </c>
      <c r="AJ10" s="13" t="str">
        <f>IF(动作要素测量!J175="","",动作要素测量!J175)</f>
        <v/>
      </c>
      <c r="AK10" s="13" t="str">
        <f>IF(动作要素测量!J180="","",动作要素测量!J180)</f>
        <v/>
      </c>
      <c r="AL10" s="13" t="str">
        <f>IF(动作要素测量!J185="","",动作要素测量!J185)</f>
        <v/>
      </c>
      <c r="AM10" s="13" t="str">
        <f>IF(动作要素测量!J190="","",动作要素测量!J190)</f>
        <v/>
      </c>
      <c r="AN10" s="13" t="str">
        <f>IF(动作要素测量!J195="","",动作要素测量!J195)</f>
        <v/>
      </c>
      <c r="AO10" s="13" t="str">
        <f>IF(动作要素测量!J200="","",动作要素测量!J200)</f>
        <v/>
      </c>
      <c r="AP10" s="13" t="str">
        <f>IF(动作要素测量!J205="","",动作要素测量!J205)</f>
        <v/>
      </c>
      <c r="AQ10" s="13" t="str">
        <f>IF(动作要素测量!J210="","",动作要素测量!J210)</f>
        <v/>
      </c>
      <c r="AR10" s="13" t="str">
        <f>IF(动作要素测量!J215="","",动作要素测量!J215)</f>
        <v/>
      </c>
      <c r="AS10" s="13" t="str">
        <f>IF(动作要素测量!J220="","",动作要素测量!J220)</f>
        <v/>
      </c>
      <c r="AT10" s="13" t="str">
        <f>IF(动作要素测量!J225="","",动作要素测量!J225)</f>
        <v/>
      </c>
      <c r="AU10" s="13" t="str">
        <f>IF(动作要素测量!J230="","",动作要素测量!J230)</f>
        <v/>
      </c>
      <c r="AV10" s="13" t="str">
        <f>IF(动作要素测量!J235="","",动作要素测量!J235)</f>
        <v/>
      </c>
      <c r="AW10" s="13" t="str">
        <f>IF(动作要素测量!J240="","",动作要素测量!J240)</f>
        <v/>
      </c>
      <c r="AX10" s="13" t="str">
        <f>IF(动作要素测量!J245="","",动作要素测量!J245)</f>
        <v/>
      </c>
      <c r="AY10" s="13" t="str">
        <f>IF(动作要素测量!J250="","",动作要素测量!J250)</f>
        <v/>
      </c>
      <c r="AZ10" s="13" t="str">
        <f>IF(动作要素测量!J255="","",动作要素测量!J255)</f>
        <v/>
      </c>
      <c r="BA10" s="13" t="str">
        <f>IF(动作要素测量!J260="","",动作要素测量!J260)</f>
        <v/>
      </c>
      <c r="BB10" s="13" t="str">
        <f>IF(动作要素测量!J265="","",动作要素测量!J265)</f>
        <v/>
      </c>
      <c r="BC10" s="13" t="str">
        <f>IF(动作要素测量!J270="","",动作要素测量!J270)</f>
        <v/>
      </c>
      <c r="BD10" s="13" t="str">
        <f>IF(动作要素测量!J275="","",动作要素测量!J275)</f>
        <v/>
      </c>
      <c r="BE10" s="13" t="str">
        <f>IF(动作要素测量!J280="","",动作要素测量!J280)</f>
        <v/>
      </c>
      <c r="BF10" s="13" t="str">
        <f>IF(动作要素测量!J285="","",动作要素测量!J285)</f>
        <v/>
      </c>
      <c r="BG10" s="13" t="str">
        <f>IF(动作要素测量!J290="","",动作要素测量!J290)</f>
        <v/>
      </c>
      <c r="BH10" s="13" t="str">
        <f>IF(动作要素测量!J295="","",动作要素测量!J295)</f>
        <v/>
      </c>
      <c r="BI10" s="13" t="str">
        <f>IF(动作要素测量!J300="","",动作要素测量!J300)</f>
        <v/>
      </c>
      <c r="BJ10" s="13" t="str">
        <f>IF(动作要素测量!J305="","",动作要素测量!J305)</f>
        <v/>
      </c>
      <c r="BK10" s="13" t="str">
        <f>IF(动作要素测量!J310="","",动作要素测量!J310)</f>
        <v/>
      </c>
      <c r="BL10" s="13" t="str">
        <f>IF(动作要素测量!J315="","",动作要素测量!J315)</f>
        <v/>
      </c>
      <c r="BM10" s="13" t="str">
        <f>IF(动作要素测量!J320="","",动作要素测量!J320)</f>
        <v/>
      </c>
      <c r="BN10" s="13" t="str">
        <f>IF(动作要素测量!J325="","",动作要素测量!J325)</f>
        <v/>
      </c>
      <c r="BO10" s="13" t="str">
        <f>IF(动作要素测量!J330="","",动作要素测量!J330)</f>
        <v/>
      </c>
      <c r="BP10" s="13" t="str">
        <f>IF(动作要素测量!J335="","",动作要素测量!J335)</f>
        <v/>
      </c>
      <c r="BQ10" s="13" t="str">
        <f>IF(动作要素测量!J340="","",动作要素测量!J340)</f>
        <v/>
      </c>
      <c r="BR10" s="13" t="str">
        <f>IF(动作要素测量!J345="","",动作要素测量!J345)</f>
        <v/>
      </c>
      <c r="BS10" s="13" t="str">
        <f>IF(动作要素测量!J350="","",动作要素测量!J350)</f>
        <v/>
      </c>
      <c r="BT10" s="13" t="str">
        <f>IF(动作要素测量!J355="","",动作要素测量!J355)</f>
        <v/>
      </c>
      <c r="BU10" s="13" t="str">
        <f>IF(动作要素测量!J360="","",动作要素测量!J360)</f>
        <v/>
      </c>
      <c r="BV10" s="13" t="str">
        <f>IF(动作要素测量!J365="","",动作要素测量!J365)</f>
        <v/>
      </c>
      <c r="BW10" s="13" t="str">
        <f>IF(动作要素测量!J370="","",动作要素测量!J370)</f>
        <v/>
      </c>
      <c r="BX10" s="13" t="str">
        <f>IF(动作要素测量!J375="","",动作要素测量!J375)</f>
        <v/>
      </c>
      <c r="BY10" s="13" t="str">
        <f>IF(动作要素测量!J380="","",动作要素测量!J380)</f>
        <v/>
      </c>
      <c r="BZ10" s="13" t="str">
        <f>IF(动作要素测量!J385="","",动作要素测量!J385)</f>
        <v/>
      </c>
      <c r="CA10" s="13" t="str">
        <f>IF(动作要素测量!J390="","",动作要素测量!J390)</f>
        <v/>
      </c>
      <c r="CB10" s="13" t="str">
        <f>IF(动作要素测量!J395="","",动作要素测量!J395)</f>
        <v/>
      </c>
      <c r="CC10" s="13" t="str">
        <f>IF(动作要素测量!J400="","",动作要素测量!J400)</f>
        <v/>
      </c>
      <c r="CD10" s="13" t="str">
        <f>IF(动作要素测量!J405="","",动作要素测量!J405)</f>
        <v/>
      </c>
      <c r="CE10" s="13" t="str">
        <f>IF(动作要素测量!J410="","",动作要素测量!J410)</f>
        <v/>
      </c>
      <c r="CF10" s="13" t="str">
        <f>IF(动作要素测量!J415="","",动作要素测量!J415)</f>
        <v/>
      </c>
      <c r="CG10" s="13" t="str">
        <f>IF(动作要素测量!J420="","",动作要素测量!J420)</f>
        <v/>
      </c>
      <c r="CH10" s="13" t="str">
        <f>IF(动作要素测量!J425="","",动作要素测量!J425)</f>
        <v/>
      </c>
      <c r="CI10" s="13" t="str">
        <f>IF(动作要素测量!J430="","",动作要素测量!J430)</f>
        <v/>
      </c>
      <c r="CJ10" s="13" t="str">
        <f>IF(动作要素测量!J435="","",动作要素测量!J435)</f>
        <v/>
      </c>
      <c r="CK10" s="13" t="str">
        <f>IF(动作要素测量!J440="","",动作要素测量!J440)</f>
        <v/>
      </c>
      <c r="CL10" s="13" t="str">
        <f>IF(动作要素测量!J445="","",动作要素测量!J445)</f>
        <v/>
      </c>
      <c r="CM10" s="13" t="str">
        <f>IF(动作要素测量!J450="","",动作要素测量!J450)</f>
        <v/>
      </c>
      <c r="CN10" s="13" t="str">
        <f>IF(动作要素测量!J455="","",动作要素测量!J455)</f>
        <v/>
      </c>
      <c r="CO10" s="13" t="str">
        <f>IF(动作要素测量!J460="","",动作要素测量!J460)</f>
        <v/>
      </c>
      <c r="CP10" s="13" t="str">
        <f>IF(动作要素测量!J465="","",动作要素测量!J465)</f>
        <v/>
      </c>
      <c r="CQ10" s="13" t="str">
        <f>IF(动作要素测量!J470="","",动作要素测量!J470)</f>
        <v/>
      </c>
      <c r="CR10" s="13" t="str">
        <f>IF(动作要素测量!J475="","",动作要素测量!J475)</f>
        <v/>
      </c>
      <c r="CS10" s="13" t="str">
        <f>IF(动作要素测量!J480="","",动作要素测量!J480)</f>
        <v/>
      </c>
      <c r="CT10" s="13" t="str">
        <f>IF(动作要素测量!J485="","",动作要素测量!J485)</f>
        <v/>
      </c>
      <c r="CU10" s="13" t="str">
        <f>IF(动作要素测量!J490="","",动作要素测量!J490)</f>
        <v/>
      </c>
      <c r="CV10" s="13" t="str">
        <f>IF(动作要素测量!J495="","",动作要素测量!J495)</f>
        <v/>
      </c>
      <c r="CW10" s="13" t="str">
        <f>IF(动作要素测量!J500="","",动作要素测量!J500)</f>
        <v/>
      </c>
      <c r="CX10" s="13" t="str">
        <f>IF(动作要素测量!J505="","",动作要素测量!J505)</f>
        <v/>
      </c>
      <c r="CY10" s="13" t="str">
        <f>IF(动作要素测量!J510="","",动作要素测量!J510)</f>
        <v/>
      </c>
      <c r="CZ10" s="13" t="str">
        <f>IF(动作要素测量!J515="","",动作要素测量!J515)</f>
        <v/>
      </c>
      <c r="DA10" s="13" t="str">
        <f>IF(动作要素测量!J520="","",动作要素测量!J520)</f>
        <v/>
      </c>
      <c r="DB10" s="13" t="str">
        <f>IF(动作要素测量!J525="","",动作要素测量!J525)</f>
        <v/>
      </c>
      <c r="DC10" s="13" t="str">
        <f>IF(动作要素测量!J530="","",动作要素测量!J530)</f>
        <v/>
      </c>
      <c r="DD10" s="13" t="str">
        <f>IF(动作要素测量!J535="","",动作要素测量!J535)</f>
        <v/>
      </c>
      <c r="DE10" s="13" t="str">
        <f>IF(动作要素测量!J540="","",动作要素测量!J540)</f>
        <v/>
      </c>
      <c r="DF10" s="13" t="str">
        <f>IF(动作要素测量!J545="","",动作要素测量!J545)</f>
        <v/>
      </c>
      <c r="DG10" s="13" t="str">
        <f>IF(动作要素测量!J550="","",动作要素测量!J550)</f>
        <v/>
      </c>
      <c r="DH10" s="13" t="str">
        <f>IF(动作要素测量!J555="","",动作要素测量!J555)</f>
        <v/>
      </c>
      <c r="DI10" s="13" t="str">
        <f>IF(动作要素测量!J560="","",动作要素测量!J560)</f>
        <v/>
      </c>
      <c r="DJ10" s="13" t="str">
        <f>IF(动作要素测量!J565="","",动作要素测量!J565)</f>
        <v/>
      </c>
      <c r="DK10" s="13" t="str">
        <f>IF(动作要素测量!J570="","",动作要素测量!J570)</f>
        <v/>
      </c>
      <c r="DL10" s="13" t="str">
        <f>IF(动作要素测量!J575="","",动作要素测量!J575)</f>
        <v/>
      </c>
      <c r="DM10" s="13" t="str">
        <f>IF(动作要素测量!J580="","",动作要素测量!J580)</f>
        <v/>
      </c>
      <c r="DN10" s="13" t="str">
        <f>IF(动作要素测量!J585="","",动作要素测量!J585)</f>
        <v/>
      </c>
      <c r="DO10" s="13" t="str">
        <f>IF(动作要素测量!J590="","",动作要素测量!J590)</f>
        <v/>
      </c>
      <c r="DP10" s="13" t="str">
        <f>IF(动作要素测量!J595="","",动作要素测量!J595)</f>
        <v/>
      </c>
      <c r="DQ10" s="13" t="str">
        <f>IF(动作要素测量!J600="","",动作要素测量!J600)</f>
        <v/>
      </c>
      <c r="DR10" s="13" t="str">
        <f>IF(动作要素测量!J605="","",动作要素测量!J605)</f>
        <v/>
      </c>
      <c r="DS10" s="13" t="str">
        <f>IF(动作要素测量!J610="","",动作要素测量!J610)</f>
        <v/>
      </c>
      <c r="DT10" s="13" t="str">
        <f>IF(动作要素测量!J615="","",动作要素测量!J615)</f>
        <v/>
      </c>
      <c r="DU10" s="13" t="str">
        <f>IF(动作要素测量!J620="","",动作要素测量!J620)</f>
        <v/>
      </c>
      <c r="DV10" s="13" t="str">
        <f>IF(动作要素测量!J625="","",动作要素测量!J625)</f>
        <v/>
      </c>
      <c r="DW10" s="13" t="str">
        <f>IF(动作要素测量!J630="","",动作要素测量!J630)</f>
        <v/>
      </c>
      <c r="DX10" s="13" t="str">
        <f>IF(动作要素测量!J635="","",动作要素测量!J635)</f>
        <v/>
      </c>
      <c r="DY10" s="13" t="str">
        <f>IF(动作要素测量!J640="","",动作要素测量!J640)</f>
        <v/>
      </c>
      <c r="DZ10" s="13" t="str">
        <f>IF(动作要素测量!J645="","",动作要素测量!J645)</f>
        <v/>
      </c>
      <c r="EA10" s="13" t="str">
        <f>IF(动作要素测量!J650="","",动作要素测量!J650)</f>
        <v/>
      </c>
      <c r="EB10" s="13" t="str">
        <f>IF(动作要素测量!J655="","",动作要素测量!J655)</f>
        <v/>
      </c>
      <c r="EC10" s="13" t="str">
        <f>IF(动作要素测量!J660="","",动作要素测量!J660)</f>
        <v/>
      </c>
      <c r="ED10" s="13" t="str">
        <f>IF(动作要素测量!J665="","",动作要素测量!J665)</f>
        <v/>
      </c>
      <c r="EE10" s="13" t="str">
        <f>IF(动作要素测量!J670="","",动作要素测量!J670)</f>
        <v/>
      </c>
      <c r="EF10" s="13" t="str">
        <f>IF(动作要素测量!J675="","",动作要素测量!J675)</f>
        <v/>
      </c>
      <c r="EG10" s="13" t="str">
        <f>IF(动作要素测量!J680="","",动作要素测量!J680)</f>
        <v/>
      </c>
      <c r="EH10" s="13" t="str">
        <f>IF(动作要素测量!J685="","",动作要素测量!J685)</f>
        <v/>
      </c>
      <c r="EI10" s="13" t="str">
        <f>IF(动作要素测量!J690="","",动作要素测量!J690)</f>
        <v/>
      </c>
      <c r="EJ10" s="13" t="str">
        <f>IF(动作要素测量!J695="","",动作要素测量!J695)</f>
        <v/>
      </c>
      <c r="EK10" s="13" t="str">
        <f>IF(动作要素测量!J700="","",动作要素测量!J700)</f>
        <v/>
      </c>
    </row>
    <row r="11" spans="1:141" x14ac:dyDescent="0.25">
      <c r="A11" s="10" t="s">
        <v>49</v>
      </c>
      <c r="B11" s="13" t="str">
        <f>IF(动作要素测量!J6="","",动作要素测量!J6)</f>
        <v/>
      </c>
      <c r="C11" s="13" t="str">
        <f>IF(动作要素测量!J11="","",动作要素测量!J11)</f>
        <v/>
      </c>
      <c r="D11" s="13" t="str">
        <f>IF(动作要素测量!J16="","",动作要素测量!J16)</f>
        <v/>
      </c>
      <c r="E11" s="13" t="str">
        <f>IF(动作要素测量!J21="","",动作要素测量!J21)</f>
        <v/>
      </c>
      <c r="F11" s="13" t="str">
        <f>IF(动作要素测量!J26="","",动作要素测量!J26)</f>
        <v/>
      </c>
      <c r="G11" s="13" t="str">
        <f>IF(动作要素测量!J31="","",动作要素测量!J31)</f>
        <v/>
      </c>
      <c r="H11" s="13" t="str">
        <f>IF(动作要素测量!J36="","",动作要素测量!J36)</f>
        <v/>
      </c>
      <c r="I11" s="13" t="str">
        <f>IF(动作要素测量!J41="","",动作要素测量!J41)</f>
        <v/>
      </c>
      <c r="J11" s="13" t="str">
        <f>IF(动作要素测量!J46="","",动作要素测量!J46)</f>
        <v/>
      </c>
      <c r="K11" s="13" t="str">
        <f>IF(动作要素测量!J51="","",动作要素测量!J51)</f>
        <v/>
      </c>
      <c r="L11" s="13" t="str">
        <f>IF(动作要素测量!J56="","",动作要素测量!J56)</f>
        <v/>
      </c>
      <c r="M11" s="13" t="str">
        <f>IF(动作要素测量!J61="","",动作要素测量!J61)</f>
        <v/>
      </c>
      <c r="N11" s="13" t="str">
        <f>IF(动作要素测量!J66="","",动作要素测量!J66)</f>
        <v/>
      </c>
      <c r="O11" s="13" t="str">
        <f>IF(动作要素测量!J71="","",动作要素测量!J71)</f>
        <v/>
      </c>
      <c r="P11" s="13" t="str">
        <f>IF(动作要素测量!J76="","",动作要素测量!J76)</f>
        <v/>
      </c>
      <c r="Q11" s="13" t="str">
        <f>IF(动作要素测量!J81="","",动作要素测量!J81)</f>
        <v/>
      </c>
      <c r="R11" s="13" t="str">
        <f>IF(动作要素测量!J86="","",动作要素测量!J86)</f>
        <v/>
      </c>
      <c r="S11" s="13" t="str">
        <f>IF(动作要素测量!J91="","",动作要素测量!J91)</f>
        <v/>
      </c>
      <c r="T11" s="13" t="str">
        <f>IF(动作要素测量!J96="","",动作要素测量!J96)</f>
        <v/>
      </c>
      <c r="U11" s="13" t="str">
        <f>IF(动作要素测量!J101="","",动作要素测量!J101)</f>
        <v/>
      </c>
      <c r="V11" s="13" t="str">
        <f>IF(动作要素测量!J106="","",动作要素测量!J106)</f>
        <v/>
      </c>
      <c r="W11" s="13" t="str">
        <f>IF(动作要素测量!J111="","",动作要素测量!J111)</f>
        <v/>
      </c>
      <c r="X11" s="13" t="str">
        <f>IF(动作要素测量!J116="","",动作要素测量!J116)</f>
        <v/>
      </c>
      <c r="Y11" s="13" t="str">
        <f>IF(动作要素测量!J121="","",动作要素测量!J121)</f>
        <v/>
      </c>
      <c r="Z11" s="13" t="str">
        <f>IF(动作要素测量!J126="","",动作要素测量!J126)</f>
        <v/>
      </c>
      <c r="AA11" s="13" t="str">
        <f>IF(动作要素测量!J131="","",动作要素测量!J131)</f>
        <v/>
      </c>
      <c r="AB11" s="13" t="str">
        <f>IF(动作要素测量!J136="","",动作要素测量!J136)</f>
        <v/>
      </c>
      <c r="AC11" s="13" t="str">
        <f>IF(动作要素测量!J141="","",动作要素测量!J141)</f>
        <v/>
      </c>
      <c r="AD11" s="13" t="str">
        <f>IF(动作要素测量!J146="","",动作要素测量!J146)</f>
        <v/>
      </c>
      <c r="AE11" s="13" t="str">
        <f>IF(动作要素测量!J151="","",动作要素测量!J151)</f>
        <v/>
      </c>
      <c r="AF11" s="13" t="str">
        <f>IF(动作要素测量!J156="","",动作要素测量!J156)</f>
        <v/>
      </c>
      <c r="AG11" s="13" t="str">
        <f>IF(动作要素测量!J161="","",动作要素测量!J161)</f>
        <v/>
      </c>
      <c r="AH11" s="13" t="str">
        <f>IF(动作要素测量!J166="","",动作要素测量!J166)</f>
        <v/>
      </c>
      <c r="AI11" s="13" t="str">
        <f>IF(动作要素测量!J171="","",动作要素测量!J171)</f>
        <v/>
      </c>
      <c r="AJ11" s="13" t="str">
        <f>IF(动作要素测量!J176="","",动作要素测量!J176)</f>
        <v/>
      </c>
      <c r="AK11" s="13" t="str">
        <f>IF(动作要素测量!J181="","",动作要素测量!J181)</f>
        <v/>
      </c>
      <c r="AL11" s="13" t="str">
        <f>IF(动作要素测量!J186="","",动作要素测量!J186)</f>
        <v/>
      </c>
      <c r="AM11" s="13" t="str">
        <f>IF(动作要素测量!J191="","",动作要素测量!J191)</f>
        <v/>
      </c>
      <c r="AN11" s="13" t="str">
        <f>IF(动作要素测量!J196="","",动作要素测量!J196)</f>
        <v/>
      </c>
      <c r="AO11" s="13" t="str">
        <f>IF(动作要素测量!J201="","",动作要素测量!J201)</f>
        <v/>
      </c>
      <c r="AP11" s="13" t="str">
        <f>IF(动作要素测量!J206="","",动作要素测量!J206)</f>
        <v/>
      </c>
      <c r="AQ11" s="13" t="str">
        <f>IF(动作要素测量!J211="","",动作要素测量!J211)</f>
        <v/>
      </c>
      <c r="AR11" s="13" t="str">
        <f>IF(动作要素测量!J216="","",动作要素测量!J216)</f>
        <v/>
      </c>
      <c r="AS11" s="13" t="str">
        <f>IF(动作要素测量!J221="","",动作要素测量!J221)</f>
        <v/>
      </c>
      <c r="AT11" s="13" t="str">
        <f>IF(动作要素测量!J226="","",动作要素测量!J226)</f>
        <v/>
      </c>
      <c r="AU11" s="13" t="str">
        <f>IF(动作要素测量!J231="","",动作要素测量!J231)</f>
        <v/>
      </c>
      <c r="AV11" s="13" t="str">
        <f>IF(动作要素测量!J236="","",动作要素测量!J236)</f>
        <v/>
      </c>
      <c r="AW11" s="13" t="str">
        <f>IF(动作要素测量!J241="","",动作要素测量!J241)</f>
        <v/>
      </c>
      <c r="AX11" s="13" t="str">
        <f>IF(动作要素测量!J246="","",动作要素测量!J246)</f>
        <v/>
      </c>
      <c r="AY11" s="13" t="str">
        <f>IF(动作要素测量!J251="","",动作要素测量!J251)</f>
        <v/>
      </c>
      <c r="AZ11" s="13" t="str">
        <f>IF(动作要素测量!J256="","",动作要素测量!J256)</f>
        <v/>
      </c>
      <c r="BA11" s="13" t="str">
        <f>IF(动作要素测量!J261="","",动作要素测量!J261)</f>
        <v/>
      </c>
      <c r="BB11" s="13" t="str">
        <f>IF(动作要素测量!J266="","",动作要素测量!J266)</f>
        <v/>
      </c>
      <c r="BC11" s="13" t="str">
        <f>IF(动作要素测量!J271="","",动作要素测量!J271)</f>
        <v/>
      </c>
      <c r="BD11" s="13" t="str">
        <f>IF(动作要素测量!J276="","",动作要素测量!J276)</f>
        <v/>
      </c>
      <c r="BE11" s="13" t="str">
        <f>IF(动作要素测量!J281="","",动作要素测量!J281)</f>
        <v/>
      </c>
      <c r="BF11" s="13" t="str">
        <f>IF(动作要素测量!J286="","",动作要素测量!J286)</f>
        <v/>
      </c>
      <c r="BG11" s="13" t="str">
        <f>IF(动作要素测量!J291="","",动作要素测量!J291)</f>
        <v/>
      </c>
      <c r="BH11" s="13" t="str">
        <f>IF(动作要素测量!J296="","",动作要素测量!J296)</f>
        <v/>
      </c>
      <c r="BI11" s="13" t="str">
        <f>IF(动作要素测量!J301="","",动作要素测量!J301)</f>
        <v/>
      </c>
      <c r="BJ11" s="13" t="str">
        <f>IF(动作要素测量!J306="","",动作要素测量!J306)</f>
        <v/>
      </c>
      <c r="BK11" s="13" t="str">
        <f>IF(动作要素测量!J311="","",动作要素测量!J311)</f>
        <v/>
      </c>
      <c r="BL11" s="13" t="str">
        <f>IF(动作要素测量!J316="","",动作要素测量!J316)</f>
        <v/>
      </c>
      <c r="BM11" s="13" t="str">
        <f>IF(动作要素测量!J321="","",动作要素测量!J321)</f>
        <v/>
      </c>
      <c r="BN11" s="13" t="str">
        <f>IF(动作要素测量!J326="","",动作要素测量!J326)</f>
        <v/>
      </c>
      <c r="BO11" s="13" t="str">
        <f>IF(动作要素测量!J331="","",动作要素测量!J331)</f>
        <v/>
      </c>
      <c r="BP11" s="13" t="str">
        <f>IF(动作要素测量!J336="","",动作要素测量!J336)</f>
        <v/>
      </c>
      <c r="BQ11" s="13" t="str">
        <f>IF(动作要素测量!J341="","",动作要素测量!J341)</f>
        <v/>
      </c>
      <c r="BR11" s="13" t="str">
        <f>IF(动作要素测量!J346="","",动作要素测量!J346)</f>
        <v/>
      </c>
      <c r="BS11" s="13" t="str">
        <f>IF(动作要素测量!J351="","",动作要素测量!J351)</f>
        <v/>
      </c>
      <c r="BT11" s="13" t="str">
        <f>IF(动作要素测量!J356="","",动作要素测量!J356)</f>
        <v/>
      </c>
      <c r="BU11" s="13" t="str">
        <f>IF(动作要素测量!J361="","",动作要素测量!J361)</f>
        <v/>
      </c>
      <c r="BV11" s="13" t="str">
        <f>IF(动作要素测量!J366="","",动作要素测量!J366)</f>
        <v/>
      </c>
      <c r="BW11" s="13" t="str">
        <f>IF(动作要素测量!J371="","",动作要素测量!J371)</f>
        <v/>
      </c>
      <c r="BX11" s="13" t="str">
        <f>IF(动作要素测量!J376="","",动作要素测量!J376)</f>
        <v/>
      </c>
      <c r="BY11" s="13" t="str">
        <f>IF(动作要素测量!J381="","",动作要素测量!J381)</f>
        <v/>
      </c>
      <c r="BZ11" s="13" t="str">
        <f>IF(动作要素测量!J386="","",动作要素测量!J386)</f>
        <v/>
      </c>
      <c r="CA11" s="13" t="str">
        <f>IF(动作要素测量!J391="","",动作要素测量!J391)</f>
        <v/>
      </c>
      <c r="CB11" s="13" t="str">
        <f>IF(动作要素测量!J396="","",动作要素测量!J396)</f>
        <v/>
      </c>
      <c r="CC11" s="13" t="str">
        <f>IF(动作要素测量!J401="","",动作要素测量!J401)</f>
        <v/>
      </c>
      <c r="CD11" s="13" t="str">
        <f>IF(动作要素测量!J406="","",动作要素测量!J406)</f>
        <v/>
      </c>
      <c r="CE11" s="13" t="str">
        <f>IF(动作要素测量!J411="","",动作要素测量!J411)</f>
        <v/>
      </c>
      <c r="CF11" s="13" t="str">
        <f>IF(动作要素测量!J416="","",动作要素测量!J416)</f>
        <v/>
      </c>
      <c r="CG11" s="13" t="str">
        <f>IF(动作要素测量!J421="","",动作要素测量!J421)</f>
        <v/>
      </c>
      <c r="CH11" s="13" t="str">
        <f>IF(动作要素测量!J426="","",动作要素测量!J426)</f>
        <v/>
      </c>
      <c r="CI11" s="13" t="str">
        <f>IF(动作要素测量!J431="","",动作要素测量!J431)</f>
        <v/>
      </c>
      <c r="CJ11" s="13" t="str">
        <f>IF(动作要素测量!J436="","",动作要素测量!J436)</f>
        <v/>
      </c>
      <c r="CK11" s="13" t="str">
        <f>IF(动作要素测量!J441="","",动作要素测量!J441)</f>
        <v/>
      </c>
      <c r="CL11" s="13" t="str">
        <f>IF(动作要素测量!J446="","",动作要素测量!J446)</f>
        <v/>
      </c>
      <c r="CM11" s="13" t="str">
        <f>IF(动作要素测量!J451="","",动作要素测量!J451)</f>
        <v/>
      </c>
      <c r="CN11" s="13" t="str">
        <f>IF(动作要素测量!J456="","",动作要素测量!J456)</f>
        <v/>
      </c>
      <c r="CO11" s="13" t="str">
        <f>IF(动作要素测量!J461="","",动作要素测量!J461)</f>
        <v/>
      </c>
      <c r="CP11" s="13" t="str">
        <f>IF(动作要素测量!J466="","",动作要素测量!J466)</f>
        <v/>
      </c>
      <c r="CQ11" s="13" t="str">
        <f>IF(动作要素测量!J471="","",动作要素测量!J471)</f>
        <v/>
      </c>
      <c r="CR11" s="13" t="str">
        <f>IF(动作要素测量!J476="","",动作要素测量!J476)</f>
        <v/>
      </c>
      <c r="CS11" s="13" t="str">
        <f>IF(动作要素测量!J481="","",动作要素测量!J481)</f>
        <v/>
      </c>
      <c r="CT11" s="13" t="str">
        <f>IF(动作要素测量!J486="","",动作要素测量!J486)</f>
        <v/>
      </c>
      <c r="CU11" s="13" t="str">
        <f>IF(动作要素测量!J491="","",动作要素测量!J491)</f>
        <v/>
      </c>
      <c r="CV11" s="13" t="str">
        <f>IF(动作要素测量!J496="","",动作要素测量!J496)</f>
        <v/>
      </c>
      <c r="CW11" s="13" t="str">
        <f>IF(动作要素测量!J501="","",动作要素测量!J501)</f>
        <v/>
      </c>
      <c r="CX11" s="13" t="str">
        <f>IF(动作要素测量!J506="","",动作要素测量!J506)</f>
        <v/>
      </c>
      <c r="CY11" s="13" t="str">
        <f>IF(动作要素测量!J511="","",动作要素测量!J511)</f>
        <v/>
      </c>
      <c r="CZ11" s="13" t="str">
        <f>IF(动作要素测量!J516="","",动作要素测量!J516)</f>
        <v/>
      </c>
      <c r="DA11" s="13" t="str">
        <f>IF(动作要素测量!J521="","",动作要素测量!J521)</f>
        <v/>
      </c>
      <c r="DB11" s="13" t="str">
        <f>IF(动作要素测量!J526="","",动作要素测量!J526)</f>
        <v/>
      </c>
      <c r="DC11" s="13" t="str">
        <f>IF(动作要素测量!J531="","",动作要素测量!J531)</f>
        <v/>
      </c>
      <c r="DD11" s="13" t="str">
        <f>IF(动作要素测量!J536="","",动作要素测量!J536)</f>
        <v/>
      </c>
      <c r="DE11" s="13" t="str">
        <f>IF(动作要素测量!J541="","",动作要素测量!J541)</f>
        <v/>
      </c>
      <c r="DF11" s="13" t="str">
        <f>IF(动作要素测量!J546="","",动作要素测量!J546)</f>
        <v/>
      </c>
      <c r="DG11" s="13" t="str">
        <f>IF(动作要素测量!J551="","",动作要素测量!J551)</f>
        <v/>
      </c>
      <c r="DH11" s="13" t="str">
        <f>IF(动作要素测量!J556="","",动作要素测量!J556)</f>
        <v/>
      </c>
      <c r="DI11" s="13" t="str">
        <f>IF(动作要素测量!J561="","",动作要素测量!J561)</f>
        <v/>
      </c>
      <c r="DJ11" s="13" t="str">
        <f>IF(动作要素测量!J566="","",动作要素测量!J566)</f>
        <v/>
      </c>
      <c r="DK11" s="13" t="str">
        <f>IF(动作要素测量!J571="","",动作要素测量!J571)</f>
        <v/>
      </c>
      <c r="DL11" s="13" t="str">
        <f>IF(动作要素测量!J576="","",动作要素测量!J576)</f>
        <v/>
      </c>
      <c r="DM11" s="13" t="str">
        <f>IF(动作要素测量!J581="","",动作要素测量!J581)</f>
        <v/>
      </c>
      <c r="DN11" s="13" t="str">
        <f>IF(动作要素测量!J586="","",动作要素测量!J586)</f>
        <v/>
      </c>
      <c r="DO11" s="13" t="str">
        <f>IF(动作要素测量!J591="","",动作要素测量!J591)</f>
        <v/>
      </c>
      <c r="DP11" s="13" t="str">
        <f>IF(动作要素测量!J596="","",动作要素测量!J596)</f>
        <v/>
      </c>
      <c r="DQ11" s="13" t="str">
        <f>IF(动作要素测量!J601="","",动作要素测量!J601)</f>
        <v/>
      </c>
      <c r="DR11" s="13" t="str">
        <f>IF(动作要素测量!J606="","",动作要素测量!J606)</f>
        <v/>
      </c>
      <c r="DS11" s="13" t="str">
        <f>IF(动作要素测量!J611="","",动作要素测量!J611)</f>
        <v/>
      </c>
      <c r="DT11" s="13" t="str">
        <f>IF(动作要素测量!J616="","",动作要素测量!J616)</f>
        <v/>
      </c>
      <c r="DU11" s="13" t="str">
        <f>IF(动作要素测量!J621="","",动作要素测量!J621)</f>
        <v/>
      </c>
      <c r="DV11" s="13" t="str">
        <f>IF(动作要素测量!J626="","",动作要素测量!J626)</f>
        <v/>
      </c>
      <c r="DW11" s="13" t="str">
        <f>IF(动作要素测量!J631="","",动作要素测量!J631)</f>
        <v/>
      </c>
      <c r="DX11" s="13" t="str">
        <f>IF(动作要素测量!J636="","",动作要素测量!J636)</f>
        <v/>
      </c>
      <c r="DY11" s="13" t="str">
        <f>IF(动作要素测量!J641="","",动作要素测量!J641)</f>
        <v/>
      </c>
      <c r="DZ11" s="13" t="str">
        <f>IF(动作要素测量!J646="","",动作要素测量!J646)</f>
        <v/>
      </c>
      <c r="EA11" s="13" t="str">
        <f>IF(动作要素测量!J651="","",动作要素测量!J651)</f>
        <v/>
      </c>
      <c r="EB11" s="13" t="str">
        <f>IF(动作要素测量!J656="","",动作要素测量!J656)</f>
        <v/>
      </c>
      <c r="EC11" s="13" t="str">
        <f>IF(动作要素测量!J661="","",动作要素测量!J661)</f>
        <v/>
      </c>
      <c r="ED11" s="13" t="str">
        <f>IF(动作要素测量!J666="","",动作要素测量!J666)</f>
        <v/>
      </c>
      <c r="EE11" s="13" t="str">
        <f>IF(动作要素测量!J671="","",动作要素测量!J671)</f>
        <v/>
      </c>
      <c r="EF11" s="13" t="str">
        <f>IF(动作要素测量!J676="","",动作要素测量!J676)</f>
        <v/>
      </c>
      <c r="EG11" s="13" t="str">
        <f>IF(动作要素测量!J681="","",动作要素测量!J681)</f>
        <v/>
      </c>
      <c r="EH11" s="13" t="str">
        <f>IF(动作要素测量!J686="","",动作要素测量!J686)</f>
        <v/>
      </c>
      <c r="EI11" s="13" t="str">
        <f>IF(动作要素测量!J691="","",动作要素测量!J691)</f>
        <v/>
      </c>
      <c r="EJ11" s="13" t="str">
        <f>IF(动作要素测量!J696="","",动作要素测量!J696)</f>
        <v/>
      </c>
      <c r="EK11" s="13" t="str">
        <f>IF(动作要素测量!J701="","",动作要素测量!J701)</f>
        <v/>
      </c>
    </row>
    <row r="12" spans="1:141" x14ac:dyDescent="0.25">
      <c r="A12" s="10" t="s">
        <v>50</v>
      </c>
      <c r="B12" s="13" t="str">
        <f>IF(动作要素测量!J7="","",动作要素测量!J7)</f>
        <v/>
      </c>
      <c r="C12" s="13" t="str">
        <f>IF(动作要素测量!J12="","",动作要素测量!J12)</f>
        <v/>
      </c>
      <c r="D12" s="13" t="str">
        <f>IF(动作要素测量!J17="","",动作要素测量!J17)</f>
        <v/>
      </c>
      <c r="E12" s="13" t="str">
        <f>IF(动作要素测量!J22="","",动作要素测量!J22)</f>
        <v/>
      </c>
      <c r="F12" s="13" t="str">
        <f>IF(动作要素测量!J27="","",动作要素测量!J27)</f>
        <v/>
      </c>
      <c r="G12" s="13" t="str">
        <f>IF(动作要素测量!J32="","",动作要素测量!J32)</f>
        <v/>
      </c>
      <c r="H12" s="13" t="str">
        <f>IF(动作要素测量!J37="","",动作要素测量!J37)</f>
        <v/>
      </c>
      <c r="I12" s="13" t="str">
        <f>IF(动作要素测量!J42="","",动作要素测量!J42)</f>
        <v/>
      </c>
      <c r="J12" s="13" t="str">
        <f>IF(动作要素测量!J47="","",动作要素测量!J47)</f>
        <v/>
      </c>
      <c r="K12" s="13" t="str">
        <f>IF(动作要素测量!J52="","",动作要素测量!J52)</f>
        <v/>
      </c>
      <c r="L12" s="13" t="str">
        <f>IF(动作要素测量!J57="","",动作要素测量!J57)</f>
        <v/>
      </c>
      <c r="M12" s="13" t="str">
        <f>IF(动作要素测量!J62="","",动作要素测量!J62)</f>
        <v/>
      </c>
      <c r="N12" s="13" t="str">
        <f>IF(动作要素测量!J67="","",动作要素测量!J67)</f>
        <v/>
      </c>
      <c r="O12" s="13" t="str">
        <f>IF(动作要素测量!J72="","",动作要素测量!J72)</f>
        <v/>
      </c>
      <c r="P12" s="13" t="str">
        <f>IF(动作要素测量!J77="","",动作要素测量!J77)</f>
        <v/>
      </c>
      <c r="Q12" s="13" t="str">
        <f>IF(动作要素测量!J82="","",动作要素测量!J82)</f>
        <v/>
      </c>
      <c r="R12" s="13" t="str">
        <f>IF(动作要素测量!J87="","",动作要素测量!J87)</f>
        <v/>
      </c>
      <c r="S12" s="13" t="str">
        <f>IF(动作要素测量!J92="","",动作要素测量!J92)</f>
        <v/>
      </c>
      <c r="T12" s="13" t="str">
        <f>IF(动作要素测量!J97="","",动作要素测量!J97)</f>
        <v/>
      </c>
      <c r="U12" s="13" t="str">
        <f>IF(动作要素测量!J102="","",动作要素测量!J102)</f>
        <v/>
      </c>
      <c r="V12" s="13" t="str">
        <f>IF(动作要素测量!J107="","",动作要素测量!J107)</f>
        <v/>
      </c>
      <c r="W12" s="13" t="str">
        <f>IF(动作要素测量!J112="","",动作要素测量!J112)</f>
        <v/>
      </c>
      <c r="X12" s="13" t="str">
        <f>IF(动作要素测量!J117="","",动作要素测量!J117)</f>
        <v/>
      </c>
      <c r="Y12" s="13" t="str">
        <f>IF(动作要素测量!J122="","",动作要素测量!J122)</f>
        <v/>
      </c>
      <c r="Z12" s="13" t="str">
        <f>IF(动作要素测量!J127="","",动作要素测量!J127)</f>
        <v/>
      </c>
      <c r="AA12" s="13" t="str">
        <f>IF(动作要素测量!J132="","",动作要素测量!J132)</f>
        <v/>
      </c>
      <c r="AB12" s="13" t="str">
        <f>IF(动作要素测量!J137="","",动作要素测量!J137)</f>
        <v/>
      </c>
      <c r="AC12" s="13" t="str">
        <f>IF(动作要素测量!J142="","",动作要素测量!J142)</f>
        <v/>
      </c>
      <c r="AD12" s="13" t="str">
        <f>IF(动作要素测量!J147="","",动作要素测量!J147)</f>
        <v/>
      </c>
      <c r="AE12" s="13" t="str">
        <f>IF(动作要素测量!J152="","",动作要素测量!J152)</f>
        <v/>
      </c>
      <c r="AF12" s="13" t="str">
        <f>IF(动作要素测量!J157="","",动作要素测量!J157)</f>
        <v/>
      </c>
      <c r="AG12" s="13" t="str">
        <f>IF(动作要素测量!J162="","",动作要素测量!J162)</f>
        <v/>
      </c>
      <c r="AH12" s="13" t="str">
        <f>IF(动作要素测量!J167="","",动作要素测量!J167)</f>
        <v/>
      </c>
      <c r="AI12" s="13" t="str">
        <f>IF(动作要素测量!J172="","",动作要素测量!J172)</f>
        <v/>
      </c>
      <c r="AJ12" s="13" t="str">
        <f>IF(动作要素测量!J177="","",动作要素测量!J177)</f>
        <v/>
      </c>
      <c r="AK12" s="13" t="str">
        <f>IF(动作要素测量!J182="","",动作要素测量!J182)</f>
        <v/>
      </c>
      <c r="AL12" s="13" t="str">
        <f>IF(动作要素测量!J187="","",动作要素测量!J187)</f>
        <v/>
      </c>
      <c r="AM12" s="13" t="str">
        <f>IF(动作要素测量!J192="","",动作要素测量!J192)</f>
        <v/>
      </c>
      <c r="AN12" s="13" t="str">
        <f>IF(动作要素测量!J197="","",动作要素测量!J197)</f>
        <v/>
      </c>
      <c r="AO12" s="13" t="str">
        <f>IF(动作要素测量!J202="","",动作要素测量!J202)</f>
        <v/>
      </c>
      <c r="AP12" s="13" t="str">
        <f>IF(动作要素测量!J207="","",动作要素测量!J207)</f>
        <v/>
      </c>
      <c r="AQ12" s="13" t="str">
        <f>IF(动作要素测量!J212="","",动作要素测量!J212)</f>
        <v/>
      </c>
      <c r="AR12" s="13" t="str">
        <f>IF(动作要素测量!J217="","",动作要素测量!J217)</f>
        <v/>
      </c>
      <c r="AS12" s="13" t="str">
        <f>IF(动作要素测量!J222="","",动作要素测量!J222)</f>
        <v/>
      </c>
      <c r="AT12" s="13" t="str">
        <f>IF(动作要素测量!J227="","",动作要素测量!J227)</f>
        <v/>
      </c>
      <c r="AU12" s="13" t="str">
        <f>IF(动作要素测量!J232="","",动作要素测量!J232)</f>
        <v/>
      </c>
      <c r="AV12" s="13" t="str">
        <f>IF(动作要素测量!J237="","",动作要素测量!J237)</f>
        <v/>
      </c>
      <c r="AW12" s="13" t="str">
        <f>IF(动作要素测量!J242="","",动作要素测量!J242)</f>
        <v/>
      </c>
      <c r="AX12" s="13" t="str">
        <f>IF(动作要素测量!J247="","",动作要素测量!J247)</f>
        <v/>
      </c>
      <c r="AY12" s="13" t="str">
        <f>IF(动作要素测量!J252="","",动作要素测量!J252)</f>
        <v/>
      </c>
      <c r="AZ12" s="13" t="str">
        <f>IF(动作要素测量!J257="","",动作要素测量!J257)</f>
        <v/>
      </c>
      <c r="BA12" s="13" t="str">
        <f>IF(动作要素测量!J262="","",动作要素测量!J262)</f>
        <v/>
      </c>
      <c r="BB12" s="13" t="str">
        <f>IF(动作要素测量!J267="","",动作要素测量!J267)</f>
        <v/>
      </c>
      <c r="BC12" s="13" t="str">
        <f>IF(动作要素测量!J272="","",动作要素测量!J272)</f>
        <v/>
      </c>
      <c r="BD12" s="13" t="str">
        <f>IF(动作要素测量!J277="","",动作要素测量!J277)</f>
        <v/>
      </c>
      <c r="BE12" s="13" t="str">
        <f>IF(动作要素测量!J282="","",动作要素测量!J282)</f>
        <v/>
      </c>
      <c r="BF12" s="13" t="str">
        <f>IF(动作要素测量!J287="","",动作要素测量!J287)</f>
        <v/>
      </c>
      <c r="BG12" s="13" t="str">
        <f>IF(动作要素测量!J292="","",动作要素测量!J292)</f>
        <v/>
      </c>
      <c r="BH12" s="13" t="str">
        <f>IF(动作要素测量!J297="","",动作要素测量!J297)</f>
        <v/>
      </c>
      <c r="BI12" s="13" t="str">
        <f>IF(动作要素测量!J302="","",动作要素测量!J302)</f>
        <v/>
      </c>
      <c r="BJ12" s="13" t="str">
        <f>IF(动作要素测量!J307="","",动作要素测量!J307)</f>
        <v/>
      </c>
      <c r="BK12" s="13" t="str">
        <f>IF(动作要素测量!J312="","",动作要素测量!J312)</f>
        <v/>
      </c>
      <c r="BL12" s="13" t="str">
        <f>IF(动作要素测量!J317="","",动作要素测量!J317)</f>
        <v/>
      </c>
      <c r="BM12" s="13" t="str">
        <f>IF(动作要素测量!J322="","",动作要素测量!J322)</f>
        <v/>
      </c>
      <c r="BN12" s="13" t="str">
        <f>IF(动作要素测量!J327="","",动作要素测量!J327)</f>
        <v/>
      </c>
      <c r="BO12" s="13" t="str">
        <f>IF(动作要素测量!J332="","",动作要素测量!J332)</f>
        <v/>
      </c>
      <c r="BP12" s="13" t="str">
        <f>IF(动作要素测量!J337="","",动作要素测量!J337)</f>
        <v/>
      </c>
      <c r="BQ12" s="13" t="str">
        <f>IF(动作要素测量!J342="","",动作要素测量!J342)</f>
        <v/>
      </c>
      <c r="BR12" s="13" t="str">
        <f>IF(动作要素测量!J347="","",动作要素测量!J347)</f>
        <v/>
      </c>
      <c r="BS12" s="13" t="str">
        <f>IF(动作要素测量!J352="","",动作要素测量!J352)</f>
        <v/>
      </c>
      <c r="BT12" s="13" t="str">
        <f>IF(动作要素测量!J357="","",动作要素测量!J357)</f>
        <v/>
      </c>
      <c r="BU12" s="13" t="str">
        <f>IF(动作要素测量!J362="","",动作要素测量!J362)</f>
        <v/>
      </c>
      <c r="BV12" s="13" t="str">
        <f>IF(动作要素测量!J367="","",动作要素测量!J367)</f>
        <v/>
      </c>
      <c r="BW12" s="13" t="str">
        <f>IF(动作要素测量!J372="","",动作要素测量!J372)</f>
        <v/>
      </c>
      <c r="BX12" s="13" t="str">
        <f>IF(动作要素测量!J377="","",动作要素测量!J377)</f>
        <v/>
      </c>
      <c r="BY12" s="13" t="str">
        <f>IF(动作要素测量!J382="","",动作要素测量!J382)</f>
        <v/>
      </c>
      <c r="BZ12" s="13" t="str">
        <f>IF(动作要素测量!J387="","",动作要素测量!J387)</f>
        <v/>
      </c>
      <c r="CA12" s="13" t="str">
        <f>IF(动作要素测量!J392="","",动作要素测量!J392)</f>
        <v/>
      </c>
      <c r="CB12" s="13" t="str">
        <f>IF(动作要素测量!J397="","",动作要素测量!J397)</f>
        <v/>
      </c>
      <c r="CC12" s="13" t="str">
        <f>IF(动作要素测量!J402="","",动作要素测量!J402)</f>
        <v/>
      </c>
      <c r="CD12" s="13" t="str">
        <f>IF(动作要素测量!J407="","",动作要素测量!J407)</f>
        <v/>
      </c>
      <c r="CE12" s="13" t="str">
        <f>IF(动作要素测量!J412="","",动作要素测量!J412)</f>
        <v/>
      </c>
      <c r="CF12" s="13" t="str">
        <f>IF(动作要素测量!J417="","",动作要素测量!J417)</f>
        <v/>
      </c>
      <c r="CG12" s="13" t="str">
        <f>IF(动作要素测量!J422="","",动作要素测量!J422)</f>
        <v/>
      </c>
      <c r="CH12" s="13" t="str">
        <f>IF(动作要素测量!J427="","",动作要素测量!J427)</f>
        <v/>
      </c>
      <c r="CI12" s="13" t="str">
        <f>IF(动作要素测量!J432="","",动作要素测量!J432)</f>
        <v/>
      </c>
      <c r="CJ12" s="13" t="str">
        <f>IF(动作要素测量!J437="","",动作要素测量!J437)</f>
        <v/>
      </c>
      <c r="CK12" s="13" t="str">
        <f>IF(动作要素测量!J442="","",动作要素测量!J442)</f>
        <v/>
      </c>
      <c r="CL12" s="13" t="str">
        <f>IF(动作要素测量!J447="","",动作要素测量!J447)</f>
        <v/>
      </c>
      <c r="CM12" s="13" t="str">
        <f>IF(动作要素测量!J452="","",动作要素测量!J452)</f>
        <v/>
      </c>
      <c r="CN12" s="13" t="str">
        <f>IF(动作要素测量!J457="","",动作要素测量!J457)</f>
        <v/>
      </c>
      <c r="CO12" s="13" t="str">
        <f>IF(动作要素测量!J462="","",动作要素测量!J462)</f>
        <v/>
      </c>
      <c r="CP12" s="13" t="str">
        <f>IF(动作要素测量!J467="","",动作要素测量!J467)</f>
        <v/>
      </c>
      <c r="CQ12" s="13" t="str">
        <f>IF(动作要素测量!J472="","",动作要素测量!J472)</f>
        <v/>
      </c>
      <c r="CR12" s="13" t="str">
        <f>IF(动作要素测量!J477="","",动作要素测量!J477)</f>
        <v/>
      </c>
      <c r="CS12" s="13" t="str">
        <f>IF(动作要素测量!J482="","",动作要素测量!J482)</f>
        <v/>
      </c>
      <c r="CT12" s="13" t="str">
        <f>IF(动作要素测量!J487="","",动作要素测量!J487)</f>
        <v/>
      </c>
      <c r="CU12" s="13" t="str">
        <f>IF(动作要素测量!J492="","",动作要素测量!J492)</f>
        <v/>
      </c>
      <c r="CV12" s="13" t="str">
        <f>IF(动作要素测量!J497="","",动作要素测量!J497)</f>
        <v/>
      </c>
      <c r="CW12" s="13" t="str">
        <f>IF(动作要素测量!J502="","",动作要素测量!J502)</f>
        <v/>
      </c>
      <c r="CX12" s="13" t="str">
        <f>IF(动作要素测量!J507="","",动作要素测量!J507)</f>
        <v/>
      </c>
      <c r="CY12" s="13" t="str">
        <f>IF(动作要素测量!J512="","",动作要素测量!J512)</f>
        <v/>
      </c>
      <c r="CZ12" s="13" t="str">
        <f>IF(动作要素测量!J517="","",动作要素测量!J517)</f>
        <v/>
      </c>
      <c r="DA12" s="13" t="str">
        <f>IF(动作要素测量!J522="","",动作要素测量!J522)</f>
        <v/>
      </c>
      <c r="DB12" s="13" t="str">
        <f>IF(动作要素测量!J527="","",动作要素测量!J527)</f>
        <v/>
      </c>
      <c r="DC12" s="13" t="str">
        <f>IF(动作要素测量!J532="","",动作要素测量!J532)</f>
        <v/>
      </c>
      <c r="DD12" s="13" t="str">
        <f>IF(动作要素测量!J537="","",动作要素测量!J537)</f>
        <v/>
      </c>
      <c r="DE12" s="13" t="str">
        <f>IF(动作要素测量!J542="","",动作要素测量!J542)</f>
        <v/>
      </c>
      <c r="DF12" s="13" t="str">
        <f>IF(动作要素测量!J547="","",动作要素测量!J547)</f>
        <v/>
      </c>
      <c r="DG12" s="13" t="str">
        <f>IF(动作要素测量!J552="","",动作要素测量!J552)</f>
        <v/>
      </c>
      <c r="DH12" s="13" t="str">
        <f>IF(动作要素测量!J557="","",动作要素测量!J557)</f>
        <v/>
      </c>
      <c r="DI12" s="13" t="str">
        <f>IF(动作要素测量!J562="","",动作要素测量!J562)</f>
        <v/>
      </c>
      <c r="DJ12" s="13" t="str">
        <f>IF(动作要素测量!J567="","",动作要素测量!J567)</f>
        <v/>
      </c>
      <c r="DK12" s="13" t="str">
        <f>IF(动作要素测量!J572="","",动作要素测量!J572)</f>
        <v/>
      </c>
      <c r="DL12" s="13" t="str">
        <f>IF(动作要素测量!J577="","",动作要素测量!J577)</f>
        <v/>
      </c>
      <c r="DM12" s="13" t="str">
        <f>IF(动作要素测量!J582="","",动作要素测量!J582)</f>
        <v/>
      </c>
      <c r="DN12" s="13" t="str">
        <f>IF(动作要素测量!J587="","",动作要素测量!J587)</f>
        <v/>
      </c>
      <c r="DO12" s="13" t="str">
        <f>IF(动作要素测量!J592="","",动作要素测量!J592)</f>
        <v/>
      </c>
      <c r="DP12" s="13" t="str">
        <f>IF(动作要素测量!J597="","",动作要素测量!J597)</f>
        <v/>
      </c>
      <c r="DQ12" s="13" t="str">
        <f>IF(动作要素测量!J602="","",动作要素测量!J602)</f>
        <v/>
      </c>
      <c r="DR12" s="13" t="str">
        <f>IF(动作要素测量!J607="","",动作要素测量!J607)</f>
        <v/>
      </c>
      <c r="DS12" s="13" t="str">
        <f>IF(动作要素测量!J612="","",动作要素测量!J612)</f>
        <v/>
      </c>
      <c r="DT12" s="13" t="str">
        <f>IF(动作要素测量!J617="","",动作要素测量!J617)</f>
        <v/>
      </c>
      <c r="DU12" s="13" t="str">
        <f>IF(动作要素测量!J622="","",动作要素测量!J622)</f>
        <v/>
      </c>
      <c r="DV12" s="13" t="str">
        <f>IF(动作要素测量!J627="","",动作要素测量!J627)</f>
        <v/>
      </c>
      <c r="DW12" s="13" t="str">
        <f>IF(动作要素测量!J632="","",动作要素测量!J632)</f>
        <v/>
      </c>
      <c r="DX12" s="13" t="str">
        <f>IF(动作要素测量!J637="","",动作要素测量!J637)</f>
        <v/>
      </c>
      <c r="DY12" s="13" t="str">
        <f>IF(动作要素测量!J642="","",动作要素测量!J642)</f>
        <v/>
      </c>
      <c r="DZ12" s="13" t="str">
        <f>IF(动作要素测量!J647="","",动作要素测量!J647)</f>
        <v/>
      </c>
      <c r="EA12" s="13" t="str">
        <f>IF(动作要素测量!J652="","",动作要素测量!J652)</f>
        <v/>
      </c>
      <c r="EB12" s="13" t="str">
        <f>IF(动作要素测量!J657="","",动作要素测量!J657)</f>
        <v/>
      </c>
      <c r="EC12" s="13" t="str">
        <f>IF(动作要素测量!J662="","",动作要素测量!J662)</f>
        <v/>
      </c>
      <c r="ED12" s="13" t="str">
        <f>IF(动作要素测量!J667="","",动作要素测量!J667)</f>
        <v/>
      </c>
      <c r="EE12" s="13" t="str">
        <f>IF(动作要素测量!J672="","",动作要素测量!J672)</f>
        <v/>
      </c>
      <c r="EF12" s="13" t="str">
        <f>IF(动作要素测量!J677="","",动作要素测量!J677)</f>
        <v/>
      </c>
      <c r="EG12" s="13" t="str">
        <f>IF(动作要素测量!J682="","",动作要素测量!J682)</f>
        <v/>
      </c>
      <c r="EH12" s="13" t="str">
        <f>IF(动作要素测量!J687="","",动作要素测量!J687)</f>
        <v/>
      </c>
      <c r="EI12" s="13" t="str">
        <f>IF(动作要素测量!J692="","",动作要素测量!J692)</f>
        <v/>
      </c>
      <c r="EJ12" s="13" t="str">
        <f>IF(动作要素测量!J697="","",动作要素测量!J697)</f>
        <v/>
      </c>
      <c r="EK12" s="13" t="str">
        <f>IF(动作要素测量!J702="","",动作要素测量!J702)</f>
        <v/>
      </c>
    </row>
    <row r="13" spans="1:141" x14ac:dyDescent="0.25">
      <c r="A13" s="14" t="s">
        <v>51</v>
      </c>
      <c r="B13" s="15" t="str">
        <f>IF(COUNT(B$8:B$12)=0,"",SUM(B$8:B$12))</f>
        <v/>
      </c>
      <c r="C13" s="15" t="str">
        <f>IF(COUNT(C$8:C$12)=0,"",SUM(C$8:C$12))</f>
        <v/>
      </c>
      <c r="D13" s="15" t="str">
        <f>IF(COUNT(D$8:D$12)=0,"",SUM(D$8:D$12))</f>
        <v/>
      </c>
      <c r="E13" s="15" t="str">
        <f>IF(COUNT(E$8:E$12)=0,"",SUM(E$8:E$12))</f>
        <v/>
      </c>
      <c r="F13" s="15" t="str">
        <f>IF(COUNT(F$8:F$12)=0,"",SUM(F$8:F$12))</f>
        <v/>
      </c>
      <c r="G13" s="15" t="str">
        <f>IF(COUNT(G$8:G$12)=0,"",SUM(G$8:G$12))</f>
        <v/>
      </c>
      <c r="H13" s="15" t="str">
        <f>IF(COUNT(H$8:H$12)=0,"",SUM(H$8:H$12))</f>
        <v/>
      </c>
      <c r="I13" s="15" t="str">
        <f>IF(COUNT(I$8:I$12)=0,"",SUM(I$8:I$12))</f>
        <v/>
      </c>
      <c r="J13" s="15" t="str">
        <f>IF(COUNT(J$8:J$12)=0,"",SUM(J$8:J$12))</f>
        <v/>
      </c>
      <c r="K13" s="15" t="str">
        <f>IF(COUNT(K$8:K$12)=0,"",SUM(K$8:K$12))</f>
        <v/>
      </c>
      <c r="L13" s="15" t="str">
        <f>IF(COUNT(L$8:L$12)=0,"",SUM(L$8:L$12))</f>
        <v/>
      </c>
      <c r="M13" s="15" t="str">
        <f>IF(COUNT(M$8:M$12)=0,"",SUM(M$8:M$12))</f>
        <v/>
      </c>
      <c r="N13" s="15" t="str">
        <f>IF(COUNT(N$8:N$12)=0,"",SUM(N$8:N$12))</f>
        <v/>
      </c>
      <c r="O13" s="15" t="str">
        <f>IF(COUNT(O$8:O$12)=0,"",SUM(O$8:O$12))</f>
        <v/>
      </c>
      <c r="P13" s="15" t="str">
        <f>IF(COUNT(P$8:P$12)=0,"",SUM(P$8:P$12))</f>
        <v/>
      </c>
      <c r="Q13" s="15" t="str">
        <f>IF(COUNT(Q$8:Q$12)=0,"",SUM(Q$8:Q$12))</f>
        <v/>
      </c>
      <c r="R13" s="15" t="str">
        <f>IF(COUNT(R$8:R$12)=0,"",SUM(R$8:R$12))</f>
        <v/>
      </c>
      <c r="S13" s="15" t="str">
        <f>IF(COUNT(S$8:S$12)=0,"",SUM(S$8:S$12))</f>
        <v/>
      </c>
      <c r="T13" s="15" t="str">
        <f>IF(COUNT(T$8:T$12)=0,"",SUM(T$8:T$12))</f>
        <v/>
      </c>
      <c r="U13" s="15" t="str">
        <f>IF(COUNT(U$8:U$12)=0,"",SUM(U$8:U$12))</f>
        <v/>
      </c>
      <c r="V13" s="15" t="str">
        <f>IF(COUNT(V$8:V$12)=0,"",SUM(V$8:V$12))</f>
        <v/>
      </c>
      <c r="W13" s="15" t="str">
        <f>IF(COUNT(W$8:W$12)=0,"",SUM(W$8:W$12))</f>
        <v/>
      </c>
      <c r="X13" s="15" t="str">
        <f>IF(COUNT(X$8:X$12)=0,"",SUM(X$8:X$12))</f>
        <v/>
      </c>
      <c r="Y13" s="15" t="str">
        <f>IF(COUNT(Y$8:Y$12)=0,"",SUM(Y$8:Y$12))</f>
        <v/>
      </c>
      <c r="Z13" s="15" t="str">
        <f>IF(COUNT(Z$8:Z$12)=0,"",SUM(Z$8:Z$12))</f>
        <v/>
      </c>
      <c r="AA13" s="15" t="str">
        <f>IF(COUNT(AA$8:AA$12)=0,"",SUM(AA$8:AA$12))</f>
        <v/>
      </c>
      <c r="AB13" s="15" t="str">
        <f>IF(COUNT(AB$8:AB$12)=0,"",SUM(AB$8:AB$12))</f>
        <v/>
      </c>
      <c r="AC13" s="15" t="str">
        <f>IF(COUNT(AC$8:AC$12)=0,"",SUM(AC$8:AC$12))</f>
        <v/>
      </c>
      <c r="AD13" s="15" t="str">
        <f>IF(COUNT(AD$8:AD$12)=0,"",SUM(AD$8:AD$12))</f>
        <v/>
      </c>
      <c r="AE13" s="15" t="str">
        <f>IF(COUNT(AE$8:AE$12)=0,"",SUM(AE$8:AE$12))</f>
        <v/>
      </c>
      <c r="AF13" s="15" t="str">
        <f>IF(COUNT(AF$8:AF$12)=0,"",SUM(AF$8:AF$12))</f>
        <v/>
      </c>
      <c r="AG13" s="15" t="str">
        <f>IF(COUNT(AG$8:AG$12)=0,"",SUM(AG$8:AG$12))</f>
        <v/>
      </c>
      <c r="AH13" s="15" t="str">
        <f>IF(COUNT(AH$8:AH$12)=0,"",SUM(AH$8:AH$12))</f>
        <v/>
      </c>
      <c r="AI13" s="15" t="str">
        <f>IF(COUNT(AI$8:AI$12)=0,"",SUM(AI$8:AI$12))</f>
        <v/>
      </c>
      <c r="AJ13" s="15" t="str">
        <f>IF(COUNT(AJ$8:AJ$12)=0,"",SUM(AJ$8:AJ$12))</f>
        <v/>
      </c>
      <c r="AK13" s="15" t="str">
        <f>IF(COUNT(AK$8:AK$12)=0,"",SUM(AK$8:AK$12))</f>
        <v/>
      </c>
      <c r="AL13" s="15" t="str">
        <f>IF(COUNT(AL$8:AL$12)=0,"",SUM(AL$8:AL$12))</f>
        <v/>
      </c>
      <c r="AM13" s="15" t="str">
        <f>IF(COUNT(AM$8:AM$12)=0,"",SUM(AM$8:AM$12))</f>
        <v/>
      </c>
      <c r="AN13" s="15" t="str">
        <f>IF(COUNT(AN$8:AN$12)=0,"",SUM(AN$8:AN$12))</f>
        <v/>
      </c>
      <c r="AO13" s="15" t="str">
        <f>IF(COUNT(AO$8:AO$12)=0,"",SUM(AO$8:AO$12))</f>
        <v/>
      </c>
      <c r="AP13" s="15" t="str">
        <f>IF(COUNT(AP$8:AP$12)=0,"",SUM(AP$8:AP$12))</f>
        <v/>
      </c>
      <c r="AQ13" s="15" t="str">
        <f>IF(COUNT(AQ$8:AQ$12)=0,"",SUM(AQ$8:AQ$12))</f>
        <v/>
      </c>
      <c r="AR13" s="15" t="str">
        <f>IF(COUNT(AR$8:AR$12)=0,"",SUM(AR$8:AR$12))</f>
        <v/>
      </c>
      <c r="AS13" s="15" t="str">
        <f>IF(COUNT(AS$8:AS$12)=0,"",SUM(AS$8:AS$12))</f>
        <v/>
      </c>
      <c r="AT13" s="15" t="str">
        <f>IF(COUNT(AT$8:AT$12)=0,"",SUM(AT$8:AT$12))</f>
        <v/>
      </c>
      <c r="AU13" s="15" t="str">
        <f>IF(COUNT(AU$8:AU$12)=0,"",SUM(AU$8:AU$12))</f>
        <v/>
      </c>
      <c r="AV13" s="15" t="str">
        <f>IF(COUNT(AV$8:AV$12)=0,"",SUM(AV$8:AV$12))</f>
        <v/>
      </c>
      <c r="AW13" s="15" t="str">
        <f>IF(COUNT(AW$8:AW$12)=0,"",SUM(AW$8:AW$12))</f>
        <v/>
      </c>
      <c r="AX13" s="15" t="str">
        <f>IF(COUNT(AX$8:AX$12)=0,"",SUM(AX$8:AX$12))</f>
        <v/>
      </c>
      <c r="AY13" s="15" t="str">
        <f>IF(COUNT(AY$8:AY$12)=0,"",SUM(AY$8:AY$12))</f>
        <v/>
      </c>
      <c r="AZ13" s="15" t="str">
        <f>IF(COUNT(AZ$8:AZ$12)=0,"",SUM(AZ$8:AZ$12))</f>
        <v/>
      </c>
      <c r="BA13" s="15" t="str">
        <f>IF(COUNT(BA$8:BA$12)=0,"",SUM(BA$8:BA$12))</f>
        <v/>
      </c>
      <c r="BB13" s="15" t="str">
        <f>IF(COUNT(BB$8:BB$12)=0,"",SUM(BB$8:BB$12))</f>
        <v/>
      </c>
      <c r="BC13" s="15" t="str">
        <f>IF(COUNT(BC$8:BC$12)=0,"",SUM(BC$8:BC$12))</f>
        <v/>
      </c>
      <c r="BD13" s="15" t="str">
        <f>IF(COUNT(BD$8:BD$12)=0,"",SUM(BD$8:BD$12))</f>
        <v/>
      </c>
      <c r="BE13" s="15" t="str">
        <f>IF(COUNT(BE$8:BE$12)=0,"",SUM(BE$8:BE$12))</f>
        <v/>
      </c>
      <c r="BF13" s="15" t="str">
        <f>IF(COUNT(BF$8:BF$12)=0,"",SUM(BF$8:BF$12))</f>
        <v/>
      </c>
      <c r="BG13" s="15" t="str">
        <f>IF(COUNT(BG$8:BG$12)=0,"",SUM(BG$8:BG$12))</f>
        <v/>
      </c>
      <c r="BH13" s="15" t="str">
        <f>IF(COUNT(BH$8:BH$12)=0,"",SUM(BH$8:BH$12))</f>
        <v/>
      </c>
      <c r="BI13" s="15" t="str">
        <f>IF(COUNT(BI$8:BI$12)=0,"",SUM(BI$8:BI$12))</f>
        <v/>
      </c>
      <c r="BJ13" s="15" t="str">
        <f>IF(COUNT(BJ$8:BJ$12)=0,"",SUM(BJ$8:BJ$12))</f>
        <v/>
      </c>
      <c r="BK13" s="15" t="str">
        <f>IF(COUNT(BK$8:BK$12)=0,"",SUM(BK$8:BK$12))</f>
        <v/>
      </c>
      <c r="BL13" s="15" t="str">
        <f>IF(COUNT(BL$8:BL$12)=0,"",SUM(BL$8:BL$12))</f>
        <v/>
      </c>
      <c r="BM13" s="15" t="str">
        <f>IF(COUNT(BM$8:BM$12)=0,"",SUM(BM$8:BM$12))</f>
        <v/>
      </c>
      <c r="BN13" s="15" t="str">
        <f>IF(COUNT(BN$8:BN$12)=0,"",SUM(BN$8:BN$12))</f>
        <v/>
      </c>
      <c r="BO13" s="15" t="str">
        <f>IF(COUNT(BO$8:BO$12)=0,"",SUM(BO$8:BO$12))</f>
        <v/>
      </c>
      <c r="BP13" s="15" t="str">
        <f>IF(COUNT(BP$8:BP$12)=0,"",SUM(BP$8:BP$12))</f>
        <v/>
      </c>
      <c r="BQ13" s="15" t="str">
        <f>IF(COUNT(BQ$8:BQ$12)=0,"",SUM(BQ$8:BQ$12))</f>
        <v/>
      </c>
      <c r="BR13" s="15" t="str">
        <f>IF(COUNT(BR$8:BR$12)=0,"",SUM(BR$8:BR$12))</f>
        <v/>
      </c>
      <c r="BS13" s="15" t="str">
        <f>IF(COUNT(BS$8:BS$12)=0,"",SUM(BS$8:BS$12))</f>
        <v/>
      </c>
      <c r="BT13" s="15" t="str">
        <f>IF(COUNT(BT$8:BT$12)=0,"",SUM(BT$8:BT$12))</f>
        <v/>
      </c>
      <c r="BU13" s="15" t="str">
        <f>IF(COUNT(BU$8:BU$12)=0,"",SUM(BU$8:BU$12))</f>
        <v/>
      </c>
      <c r="BV13" s="15" t="str">
        <f>IF(COUNT(BV$8:BV$12)=0,"",SUM(BV$8:BV$12))</f>
        <v/>
      </c>
      <c r="BW13" s="15" t="str">
        <f>IF(COUNT(BW$8:BW$12)=0,"",SUM(BW$8:BW$12))</f>
        <v/>
      </c>
      <c r="BX13" s="15" t="str">
        <f>IF(COUNT(BX$8:BX$12)=0,"",SUM(BX$8:BX$12))</f>
        <v/>
      </c>
      <c r="BY13" s="15" t="str">
        <f>IF(COUNT(BY$8:BY$12)=0,"",SUM(BY$8:BY$12))</f>
        <v/>
      </c>
      <c r="BZ13" s="15" t="str">
        <f>IF(COUNT(BZ$8:BZ$12)=0,"",SUM(BZ$8:BZ$12))</f>
        <v/>
      </c>
      <c r="CA13" s="15" t="str">
        <f>IF(COUNT(CA$8:CA$12)=0,"",SUM(CA$8:CA$12))</f>
        <v/>
      </c>
      <c r="CB13" s="15" t="str">
        <f>IF(COUNT(CB$8:CB$12)=0,"",SUM(CB$8:CB$12))</f>
        <v/>
      </c>
      <c r="CC13" s="15" t="str">
        <f>IF(COUNT(CC$8:CC$12)=0,"",SUM(CC$8:CC$12))</f>
        <v/>
      </c>
      <c r="CD13" s="15" t="str">
        <f>IF(COUNT(CD$8:CD$12)=0,"",SUM(CD$8:CD$12))</f>
        <v/>
      </c>
      <c r="CE13" s="15" t="str">
        <f>IF(COUNT(CE$8:CE$12)=0,"",SUM(CE$8:CE$12))</f>
        <v/>
      </c>
      <c r="CF13" s="15" t="str">
        <f>IF(COUNT(CF$8:CF$12)=0,"",SUM(CF$8:CF$12))</f>
        <v/>
      </c>
      <c r="CG13" s="15" t="str">
        <f>IF(COUNT(CG$8:CG$12)=0,"",SUM(CG$8:CG$12))</f>
        <v/>
      </c>
      <c r="CH13" s="15" t="str">
        <f>IF(COUNT(CH$8:CH$12)=0,"",SUM(CH$8:CH$12))</f>
        <v/>
      </c>
      <c r="CI13" s="15" t="str">
        <f>IF(COUNT(CI$8:CI$12)=0,"",SUM(CI$8:CI$12))</f>
        <v/>
      </c>
      <c r="CJ13" s="15" t="str">
        <f>IF(COUNT(CJ$8:CJ$12)=0,"",SUM(CJ$8:CJ$12))</f>
        <v/>
      </c>
      <c r="CK13" s="15" t="str">
        <f>IF(COUNT(CK$8:CK$12)=0,"",SUM(CK$8:CK$12))</f>
        <v/>
      </c>
      <c r="CL13" s="15" t="str">
        <f>IF(COUNT(CL$8:CL$12)=0,"",SUM(CL$8:CL$12))</f>
        <v/>
      </c>
      <c r="CM13" s="15" t="str">
        <f>IF(COUNT(CM$8:CM$12)=0,"",SUM(CM$8:CM$12))</f>
        <v/>
      </c>
      <c r="CN13" s="15" t="str">
        <f>IF(COUNT(CN$8:CN$12)=0,"",SUM(CN$8:CN$12))</f>
        <v/>
      </c>
      <c r="CO13" s="15" t="str">
        <f>IF(COUNT(CO$8:CO$12)=0,"",SUM(CO$8:CO$12))</f>
        <v/>
      </c>
      <c r="CP13" s="15" t="str">
        <f>IF(COUNT(CP$8:CP$12)=0,"",SUM(CP$8:CP$12))</f>
        <v/>
      </c>
      <c r="CQ13" s="15" t="str">
        <f>IF(COUNT(CQ$8:CQ$12)=0,"",SUM(CQ$8:CQ$12))</f>
        <v/>
      </c>
      <c r="CR13" s="15" t="str">
        <f>IF(COUNT(CR$8:CR$12)=0,"",SUM(CR$8:CR$12))</f>
        <v/>
      </c>
      <c r="CS13" s="15" t="str">
        <f>IF(COUNT(CS$8:CS$12)=0,"",SUM(CS$8:CS$12))</f>
        <v/>
      </c>
      <c r="CT13" s="15" t="str">
        <f>IF(COUNT(CT$8:CT$12)=0,"",SUM(CT$8:CT$12))</f>
        <v/>
      </c>
      <c r="CU13" s="15" t="str">
        <f>IF(COUNT(CU$8:CU$12)=0,"",SUM(CU$8:CU$12))</f>
        <v/>
      </c>
      <c r="CV13" s="15" t="str">
        <f>IF(COUNT(CV$8:CV$12)=0,"",SUM(CV$8:CV$12))</f>
        <v/>
      </c>
      <c r="CW13" s="15" t="str">
        <f>IF(COUNT(CW$8:CW$12)=0,"",SUM(CW$8:CW$12))</f>
        <v/>
      </c>
      <c r="CX13" s="15" t="str">
        <f>IF(COUNT(CX$8:CX$12)=0,"",SUM(CX$8:CX$12))</f>
        <v/>
      </c>
      <c r="CY13" s="15" t="str">
        <f>IF(COUNT(CY$8:CY$12)=0,"",SUM(CY$8:CY$12))</f>
        <v/>
      </c>
      <c r="CZ13" s="15" t="str">
        <f>IF(COUNT(CZ$8:CZ$12)=0,"",SUM(CZ$8:CZ$12))</f>
        <v/>
      </c>
      <c r="DA13" s="15" t="str">
        <f>IF(COUNT(DA$8:DA$12)=0,"",SUM(DA$8:DA$12))</f>
        <v/>
      </c>
      <c r="DB13" s="15" t="str">
        <f>IF(COUNT(DB$8:DB$12)=0,"",SUM(DB$8:DB$12))</f>
        <v/>
      </c>
      <c r="DC13" s="15" t="str">
        <f>IF(COUNT(DC$8:DC$12)=0,"",SUM(DC$8:DC$12))</f>
        <v/>
      </c>
      <c r="DD13" s="15" t="str">
        <f>IF(COUNT(DD$8:DD$12)=0,"",SUM(DD$8:DD$12))</f>
        <v/>
      </c>
      <c r="DE13" s="15" t="str">
        <f>IF(COUNT(DE$8:DE$12)=0,"",SUM(DE$8:DE$12))</f>
        <v/>
      </c>
      <c r="DF13" s="15" t="str">
        <f>IF(COUNT(DF$8:DF$12)=0,"",SUM(DF$8:DF$12))</f>
        <v/>
      </c>
      <c r="DG13" s="15" t="str">
        <f>IF(COUNT(DG$8:DG$12)=0,"",SUM(DG$8:DG$12))</f>
        <v/>
      </c>
      <c r="DH13" s="15" t="str">
        <f>IF(COUNT(DH$8:DH$12)=0,"",SUM(DH$8:DH$12))</f>
        <v/>
      </c>
      <c r="DI13" s="15" t="str">
        <f>IF(COUNT(DI$8:DI$12)=0,"",SUM(DI$8:DI$12))</f>
        <v/>
      </c>
      <c r="DJ13" s="15" t="str">
        <f>IF(COUNT(DJ$8:DJ$12)=0,"",SUM(DJ$8:DJ$12))</f>
        <v/>
      </c>
      <c r="DK13" s="15" t="str">
        <f>IF(COUNT(DK$8:DK$12)=0,"",SUM(DK$8:DK$12))</f>
        <v/>
      </c>
      <c r="DL13" s="15" t="str">
        <f>IF(COUNT(DL$8:DL$12)=0,"",SUM(DL$8:DL$12))</f>
        <v/>
      </c>
      <c r="DM13" s="15" t="str">
        <f>IF(COUNT(DM$8:DM$12)=0,"",SUM(DM$8:DM$12))</f>
        <v/>
      </c>
      <c r="DN13" s="15" t="str">
        <f>IF(COUNT(DN$8:DN$12)=0,"",SUM(DN$8:DN$12))</f>
        <v/>
      </c>
      <c r="DO13" s="15" t="str">
        <f>IF(COUNT(DO$8:DO$12)=0,"",SUM(DO$8:DO$12))</f>
        <v/>
      </c>
      <c r="DP13" s="15" t="str">
        <f>IF(COUNT(DP$8:DP$12)=0,"",SUM(DP$8:DP$12))</f>
        <v/>
      </c>
      <c r="DQ13" s="15" t="str">
        <f>IF(COUNT(DQ$8:DQ$12)=0,"",SUM(DQ$8:DQ$12))</f>
        <v/>
      </c>
      <c r="DR13" s="15" t="str">
        <f>IF(COUNT(DR$8:DR$12)=0,"",SUM(DR$8:DR$12))</f>
        <v/>
      </c>
      <c r="DS13" s="15" t="str">
        <f>IF(COUNT(DS$8:DS$12)=0,"",SUM(DS$8:DS$12))</f>
        <v/>
      </c>
      <c r="DT13" s="15" t="str">
        <f>IF(COUNT(DT$8:DT$12)=0,"",SUM(DT$8:DT$12))</f>
        <v/>
      </c>
      <c r="DU13" s="15" t="str">
        <f>IF(COUNT(DU$8:DU$12)=0,"",SUM(DU$8:DU$12))</f>
        <v/>
      </c>
      <c r="DV13" s="15" t="str">
        <f>IF(COUNT(DV$8:DV$12)=0,"",SUM(DV$8:DV$12))</f>
        <v/>
      </c>
      <c r="DW13" s="15" t="str">
        <f>IF(COUNT(DW$8:DW$12)=0,"",SUM(DW$8:DW$12))</f>
        <v/>
      </c>
      <c r="DX13" s="15" t="str">
        <f>IF(COUNT(DX$8:DX$12)=0,"",SUM(DX$8:DX$12))</f>
        <v/>
      </c>
      <c r="DY13" s="15" t="str">
        <f>IF(COUNT(DY$8:DY$12)=0,"",SUM(DY$8:DY$12))</f>
        <v/>
      </c>
      <c r="DZ13" s="15" t="str">
        <f>IF(COUNT(DZ$8:DZ$12)=0,"",SUM(DZ$8:DZ$12))</f>
        <v/>
      </c>
      <c r="EA13" s="15" t="str">
        <f>IF(COUNT(EA$8:EA$12)=0,"",SUM(EA$8:EA$12))</f>
        <v/>
      </c>
      <c r="EB13" s="15" t="str">
        <f>IF(COUNT(EB$8:EB$12)=0,"",SUM(EB$8:EB$12))</f>
        <v/>
      </c>
      <c r="EC13" s="15" t="str">
        <f>IF(COUNT(EC$8:EC$12)=0,"",SUM(EC$8:EC$12))</f>
        <v/>
      </c>
      <c r="ED13" s="15" t="str">
        <f>IF(COUNT(ED$8:ED$12)=0,"",SUM(ED$8:ED$12))</f>
        <v/>
      </c>
      <c r="EE13" s="15" t="str">
        <f>IF(COUNT(EE$8:EE$12)=0,"",SUM(EE$8:EE$12))</f>
        <v/>
      </c>
      <c r="EF13" s="15" t="str">
        <f>IF(COUNT(EF$8:EF$12)=0,"",SUM(EF$8:EF$12))</f>
        <v/>
      </c>
      <c r="EG13" s="15" t="str">
        <f>IF(COUNT(EG$8:EG$12)=0,"",SUM(EG$8:EG$12))</f>
        <v/>
      </c>
      <c r="EH13" s="15" t="str">
        <f>IF(COUNT(EH$8:EH$12)=0,"",SUM(EH$8:EH$12))</f>
        <v/>
      </c>
      <c r="EI13" s="15" t="str">
        <f>IF(COUNT(EI$8:EI$12)=0,"",SUM(EI$8:EI$12))</f>
        <v/>
      </c>
      <c r="EJ13" s="15" t="str">
        <f>IF(COUNT(EJ$8:EJ$12)=0,"",SUM(EJ$8:EJ$12))</f>
        <v/>
      </c>
      <c r="EK13" s="15" t="str">
        <f>IF(COUNT(EK$8:EK$12)=0,"",SUM(EK$8:EK$12))</f>
        <v/>
      </c>
    </row>
    <row r="14" spans="1:141" x14ac:dyDescent="0.25">
      <c r="A14" s="16" t="s">
        <v>52</v>
      </c>
      <c r="B14" s="17" t="str">
        <f>IF(B$13="","",参数设置!$B$7)</f>
        <v/>
      </c>
      <c r="C14" s="17" t="str">
        <f>IF(C$13="","",参数设置!$B$7)</f>
        <v/>
      </c>
      <c r="D14" s="17" t="str">
        <f>IF(D$13="","",参数设置!$B$7)</f>
        <v/>
      </c>
      <c r="E14" s="17" t="str">
        <f>IF(E$13="","",参数设置!$B$7)</f>
        <v/>
      </c>
      <c r="F14" s="17" t="str">
        <f>IF(F$13="","",参数设置!$B$7)</f>
        <v/>
      </c>
      <c r="G14" s="17" t="str">
        <f>IF(G$13="","",参数设置!$B$7)</f>
        <v/>
      </c>
      <c r="H14" s="17" t="str">
        <f>IF(H$13="","",参数设置!$B$7)</f>
        <v/>
      </c>
      <c r="I14" s="17" t="str">
        <f>IF(I$13="","",参数设置!$B$7)</f>
        <v/>
      </c>
      <c r="J14" s="17" t="str">
        <f>IF(J$13="","",参数设置!$B$7)</f>
        <v/>
      </c>
      <c r="K14" s="17" t="str">
        <f>IF(K$13="","",参数设置!$B$7)</f>
        <v/>
      </c>
      <c r="L14" s="17" t="str">
        <f>IF(L$13="","",参数设置!$B$7)</f>
        <v/>
      </c>
      <c r="M14" s="17" t="str">
        <f>IF(M$13="","",参数设置!$B$7)</f>
        <v/>
      </c>
      <c r="N14" s="17" t="str">
        <f>IF(N$13="","",参数设置!$B$7)</f>
        <v/>
      </c>
      <c r="O14" s="17" t="str">
        <f>IF(O$13="","",参数设置!$B$7)</f>
        <v/>
      </c>
      <c r="P14" s="17" t="str">
        <f>IF(P$13="","",参数设置!$B$7)</f>
        <v/>
      </c>
      <c r="Q14" s="17" t="str">
        <f>IF(Q$13="","",参数设置!$B$7)</f>
        <v/>
      </c>
      <c r="R14" s="17" t="str">
        <f>IF(R$13="","",参数设置!$B$7)</f>
        <v/>
      </c>
      <c r="S14" s="17" t="str">
        <f>IF(S$13="","",参数设置!$B$7)</f>
        <v/>
      </c>
      <c r="T14" s="17" t="str">
        <f>IF(T$13="","",参数设置!$B$7)</f>
        <v/>
      </c>
      <c r="U14" s="17" t="str">
        <f>IF(U$13="","",参数设置!$B$7)</f>
        <v/>
      </c>
      <c r="V14" s="17" t="str">
        <f>IF(V$13="","",参数设置!$B$7)</f>
        <v/>
      </c>
      <c r="W14" s="17" t="str">
        <f>IF(W$13="","",参数设置!$B$7)</f>
        <v/>
      </c>
      <c r="X14" s="17" t="str">
        <f>IF(X$13="","",参数设置!$B$7)</f>
        <v/>
      </c>
      <c r="Y14" s="17" t="str">
        <f>IF(Y$13="","",参数设置!$B$7)</f>
        <v/>
      </c>
      <c r="Z14" s="17" t="str">
        <f>IF(Z$13="","",参数设置!$B$7)</f>
        <v/>
      </c>
      <c r="AA14" s="17" t="str">
        <f>IF(AA$13="","",参数设置!$B$7)</f>
        <v/>
      </c>
      <c r="AB14" s="17" t="str">
        <f>IF(AB$13="","",参数设置!$B$7)</f>
        <v/>
      </c>
      <c r="AC14" s="17" t="str">
        <f>IF(AC$13="","",参数设置!$B$7)</f>
        <v/>
      </c>
      <c r="AD14" s="17" t="str">
        <f>IF(AD$13="","",参数设置!$B$7)</f>
        <v/>
      </c>
      <c r="AE14" s="17" t="str">
        <f>IF(AE$13="","",参数设置!$B$7)</f>
        <v/>
      </c>
      <c r="AF14" s="17" t="str">
        <f>IF(AF$13="","",参数设置!$B$7)</f>
        <v/>
      </c>
      <c r="AG14" s="17" t="str">
        <f>IF(AG$13="","",参数设置!$B$7)</f>
        <v/>
      </c>
      <c r="AH14" s="17" t="str">
        <f>IF(AH$13="","",参数设置!$B$7)</f>
        <v/>
      </c>
      <c r="AI14" s="17" t="str">
        <f>IF(AI$13="","",参数设置!$B$7)</f>
        <v/>
      </c>
      <c r="AJ14" s="17" t="str">
        <f>IF(AJ$13="","",参数设置!$B$7)</f>
        <v/>
      </c>
      <c r="AK14" s="17" t="str">
        <f>IF(AK$13="","",参数设置!$B$7)</f>
        <v/>
      </c>
      <c r="AL14" s="17" t="str">
        <f>IF(AL$13="","",参数设置!$B$7)</f>
        <v/>
      </c>
      <c r="AM14" s="17" t="str">
        <f>IF(AM$13="","",参数设置!$B$7)</f>
        <v/>
      </c>
      <c r="AN14" s="17" t="str">
        <f>IF(AN$13="","",参数设置!$B$7)</f>
        <v/>
      </c>
      <c r="AO14" s="17" t="str">
        <f>IF(AO$13="","",参数设置!$B$7)</f>
        <v/>
      </c>
      <c r="AP14" s="17" t="str">
        <f>IF(AP$13="","",参数设置!$B$7)</f>
        <v/>
      </c>
      <c r="AQ14" s="17" t="str">
        <f>IF(AQ$13="","",参数设置!$B$7)</f>
        <v/>
      </c>
      <c r="AR14" s="17" t="str">
        <f>IF(AR$13="","",参数设置!$B$7)</f>
        <v/>
      </c>
      <c r="AS14" s="17" t="str">
        <f>IF(AS$13="","",参数设置!$B$7)</f>
        <v/>
      </c>
      <c r="AT14" s="17" t="str">
        <f>IF(AT$13="","",参数设置!$B$7)</f>
        <v/>
      </c>
      <c r="AU14" s="17" t="str">
        <f>IF(AU$13="","",参数设置!$B$7)</f>
        <v/>
      </c>
      <c r="AV14" s="17" t="str">
        <f>IF(AV$13="","",参数设置!$B$7)</f>
        <v/>
      </c>
      <c r="AW14" s="17" t="str">
        <f>IF(AW$13="","",参数设置!$B$7)</f>
        <v/>
      </c>
      <c r="AX14" s="17" t="str">
        <f>IF(AX$13="","",参数设置!$B$7)</f>
        <v/>
      </c>
      <c r="AY14" s="17" t="str">
        <f>IF(AY$13="","",参数设置!$B$7)</f>
        <v/>
      </c>
      <c r="AZ14" s="17" t="str">
        <f>IF(AZ$13="","",参数设置!$B$7)</f>
        <v/>
      </c>
      <c r="BA14" s="17" t="str">
        <f>IF(BA$13="","",参数设置!$B$7)</f>
        <v/>
      </c>
      <c r="BB14" s="17" t="str">
        <f>IF(BB$13="","",参数设置!$B$7)</f>
        <v/>
      </c>
      <c r="BC14" s="17" t="str">
        <f>IF(BC$13="","",参数设置!$B$7)</f>
        <v/>
      </c>
      <c r="BD14" s="17" t="str">
        <f>IF(BD$13="","",参数设置!$B$7)</f>
        <v/>
      </c>
      <c r="BE14" s="17" t="str">
        <f>IF(BE$13="","",参数设置!$B$7)</f>
        <v/>
      </c>
      <c r="BF14" s="17" t="str">
        <f>IF(BF$13="","",参数设置!$B$7)</f>
        <v/>
      </c>
      <c r="BG14" s="17" t="str">
        <f>IF(BG$13="","",参数设置!$B$7)</f>
        <v/>
      </c>
      <c r="BH14" s="17" t="str">
        <f>IF(BH$13="","",参数设置!$B$7)</f>
        <v/>
      </c>
      <c r="BI14" s="17" t="str">
        <f>IF(BI$13="","",参数设置!$B$7)</f>
        <v/>
      </c>
      <c r="BJ14" s="17" t="str">
        <f>IF(BJ$13="","",参数设置!$B$7)</f>
        <v/>
      </c>
      <c r="BK14" s="17" t="str">
        <f>IF(BK$13="","",参数设置!$B$7)</f>
        <v/>
      </c>
      <c r="BL14" s="17" t="str">
        <f>IF(BL$13="","",参数设置!$B$7)</f>
        <v/>
      </c>
      <c r="BM14" s="17" t="str">
        <f>IF(BM$13="","",参数设置!$B$7)</f>
        <v/>
      </c>
      <c r="BN14" s="17" t="str">
        <f>IF(BN$13="","",参数设置!$B$7)</f>
        <v/>
      </c>
      <c r="BO14" s="17" t="str">
        <f>IF(BO$13="","",参数设置!$B$7)</f>
        <v/>
      </c>
      <c r="BP14" s="17" t="str">
        <f>IF(BP$13="","",参数设置!$B$7)</f>
        <v/>
      </c>
      <c r="BQ14" s="17" t="str">
        <f>IF(BQ$13="","",参数设置!$B$7)</f>
        <v/>
      </c>
      <c r="BR14" s="17" t="str">
        <f>IF(BR$13="","",参数设置!$B$7)</f>
        <v/>
      </c>
      <c r="BS14" s="17" t="str">
        <f>IF(BS$13="","",参数设置!$B$7)</f>
        <v/>
      </c>
      <c r="BT14" s="17" t="str">
        <f>IF(BT$13="","",参数设置!$B$7)</f>
        <v/>
      </c>
      <c r="BU14" s="17" t="str">
        <f>IF(BU$13="","",参数设置!$B$7)</f>
        <v/>
      </c>
      <c r="BV14" s="17" t="str">
        <f>IF(BV$13="","",参数设置!$B$7)</f>
        <v/>
      </c>
      <c r="BW14" s="17" t="str">
        <f>IF(BW$13="","",参数设置!$B$7)</f>
        <v/>
      </c>
      <c r="BX14" s="17" t="str">
        <f>IF(BX$13="","",参数设置!$B$7)</f>
        <v/>
      </c>
      <c r="BY14" s="17" t="str">
        <f>IF(BY$13="","",参数设置!$B$7)</f>
        <v/>
      </c>
      <c r="BZ14" s="17" t="str">
        <f>IF(BZ$13="","",参数设置!$B$7)</f>
        <v/>
      </c>
      <c r="CA14" s="17" t="str">
        <f>IF(CA$13="","",参数设置!$B$7)</f>
        <v/>
      </c>
      <c r="CB14" s="17" t="str">
        <f>IF(CB$13="","",参数设置!$B$7)</f>
        <v/>
      </c>
      <c r="CC14" s="17" t="str">
        <f>IF(CC$13="","",参数设置!$B$7)</f>
        <v/>
      </c>
      <c r="CD14" s="17" t="str">
        <f>IF(CD$13="","",参数设置!$B$7)</f>
        <v/>
      </c>
      <c r="CE14" s="17" t="str">
        <f>IF(CE$13="","",参数设置!$B$7)</f>
        <v/>
      </c>
      <c r="CF14" s="17" t="str">
        <f>IF(CF$13="","",参数设置!$B$7)</f>
        <v/>
      </c>
      <c r="CG14" s="17" t="str">
        <f>IF(CG$13="","",参数设置!$B$7)</f>
        <v/>
      </c>
      <c r="CH14" s="17" t="str">
        <f>IF(CH$13="","",参数设置!$B$7)</f>
        <v/>
      </c>
      <c r="CI14" s="17" t="str">
        <f>IF(CI$13="","",参数设置!$B$7)</f>
        <v/>
      </c>
      <c r="CJ14" s="17" t="str">
        <f>IF(CJ$13="","",参数设置!$B$7)</f>
        <v/>
      </c>
      <c r="CK14" s="17" t="str">
        <f>IF(CK$13="","",参数设置!$B$7)</f>
        <v/>
      </c>
      <c r="CL14" s="17" t="str">
        <f>IF(CL$13="","",参数设置!$B$7)</f>
        <v/>
      </c>
      <c r="CM14" s="17" t="str">
        <f>IF(CM$13="","",参数设置!$B$7)</f>
        <v/>
      </c>
      <c r="CN14" s="17" t="str">
        <f>IF(CN$13="","",参数设置!$B$7)</f>
        <v/>
      </c>
      <c r="CO14" s="17" t="str">
        <f>IF(CO$13="","",参数设置!$B$7)</f>
        <v/>
      </c>
      <c r="CP14" s="17" t="str">
        <f>IF(CP$13="","",参数设置!$B$7)</f>
        <v/>
      </c>
      <c r="CQ14" s="17" t="str">
        <f>IF(CQ$13="","",参数设置!$B$7)</f>
        <v/>
      </c>
      <c r="CR14" s="17" t="str">
        <f>IF(CR$13="","",参数设置!$B$7)</f>
        <v/>
      </c>
      <c r="CS14" s="17" t="str">
        <f>IF(CS$13="","",参数设置!$B$7)</f>
        <v/>
      </c>
      <c r="CT14" s="17" t="str">
        <f>IF(CT$13="","",参数设置!$B$7)</f>
        <v/>
      </c>
      <c r="CU14" s="17" t="str">
        <f>IF(CU$13="","",参数设置!$B$7)</f>
        <v/>
      </c>
      <c r="CV14" s="17" t="str">
        <f>IF(CV$13="","",参数设置!$B$7)</f>
        <v/>
      </c>
      <c r="CW14" s="17" t="str">
        <f>IF(CW$13="","",参数设置!$B$7)</f>
        <v/>
      </c>
      <c r="CX14" s="17" t="str">
        <f>IF(CX$13="","",参数设置!$B$7)</f>
        <v/>
      </c>
      <c r="CY14" s="17" t="str">
        <f>IF(CY$13="","",参数设置!$B$7)</f>
        <v/>
      </c>
      <c r="CZ14" s="17" t="str">
        <f>IF(CZ$13="","",参数设置!$B$7)</f>
        <v/>
      </c>
      <c r="DA14" s="17" t="str">
        <f>IF(DA$13="","",参数设置!$B$7)</f>
        <v/>
      </c>
      <c r="DB14" s="17" t="str">
        <f>IF(DB$13="","",参数设置!$B$7)</f>
        <v/>
      </c>
      <c r="DC14" s="17" t="str">
        <f>IF(DC$13="","",参数设置!$B$7)</f>
        <v/>
      </c>
      <c r="DD14" s="17" t="str">
        <f>IF(DD$13="","",参数设置!$B$7)</f>
        <v/>
      </c>
      <c r="DE14" s="17" t="str">
        <f>IF(DE$13="","",参数设置!$B$7)</f>
        <v/>
      </c>
      <c r="DF14" s="17" t="str">
        <f>IF(DF$13="","",参数设置!$B$7)</f>
        <v/>
      </c>
      <c r="DG14" s="17" t="str">
        <f>IF(DG$13="","",参数设置!$B$7)</f>
        <v/>
      </c>
      <c r="DH14" s="17" t="str">
        <f>IF(DH$13="","",参数设置!$B$7)</f>
        <v/>
      </c>
      <c r="DI14" s="17" t="str">
        <f>IF(DI$13="","",参数设置!$B$7)</f>
        <v/>
      </c>
      <c r="DJ14" s="17" t="str">
        <f>IF(DJ$13="","",参数设置!$B$7)</f>
        <v/>
      </c>
      <c r="DK14" s="17" t="str">
        <f>IF(DK$13="","",参数设置!$B$7)</f>
        <v/>
      </c>
      <c r="DL14" s="17" t="str">
        <f>IF(DL$13="","",参数设置!$B$7)</f>
        <v/>
      </c>
      <c r="DM14" s="17" t="str">
        <f>IF(DM$13="","",参数设置!$B$7)</f>
        <v/>
      </c>
      <c r="DN14" s="17" t="str">
        <f>IF(DN$13="","",参数设置!$B$7)</f>
        <v/>
      </c>
      <c r="DO14" s="17" t="str">
        <f>IF(DO$13="","",参数设置!$B$7)</f>
        <v/>
      </c>
      <c r="DP14" s="17" t="str">
        <f>IF(DP$13="","",参数设置!$B$7)</f>
        <v/>
      </c>
      <c r="DQ14" s="17" t="str">
        <f>IF(DQ$13="","",参数设置!$B$7)</f>
        <v/>
      </c>
      <c r="DR14" s="17" t="str">
        <f>IF(DR$13="","",参数设置!$B$7)</f>
        <v/>
      </c>
      <c r="DS14" s="17" t="str">
        <f>IF(DS$13="","",参数设置!$B$7)</f>
        <v/>
      </c>
      <c r="DT14" s="17" t="str">
        <f>IF(DT$13="","",参数设置!$B$7)</f>
        <v/>
      </c>
      <c r="DU14" s="17" t="str">
        <f>IF(DU$13="","",参数设置!$B$7)</f>
        <v/>
      </c>
      <c r="DV14" s="17" t="str">
        <f>IF(DV$13="","",参数设置!$B$7)</f>
        <v/>
      </c>
      <c r="DW14" s="17" t="str">
        <f>IF(DW$13="","",参数设置!$B$7)</f>
        <v/>
      </c>
      <c r="DX14" s="17" t="str">
        <f>IF(DX$13="","",参数设置!$B$7)</f>
        <v/>
      </c>
      <c r="DY14" s="17" t="str">
        <f>IF(DY$13="","",参数设置!$B$7)</f>
        <v/>
      </c>
      <c r="DZ14" s="17" t="str">
        <f>IF(DZ$13="","",参数设置!$B$7)</f>
        <v/>
      </c>
      <c r="EA14" s="17" t="str">
        <f>IF(EA$13="","",参数设置!$B$7)</f>
        <v/>
      </c>
      <c r="EB14" s="17" t="str">
        <f>IF(EB$13="","",参数设置!$B$7)</f>
        <v/>
      </c>
      <c r="EC14" s="17" t="str">
        <f>IF(EC$13="","",参数设置!$B$7)</f>
        <v/>
      </c>
      <c r="ED14" s="17" t="str">
        <f>IF(ED$13="","",参数设置!$B$7)</f>
        <v/>
      </c>
      <c r="EE14" s="17" t="str">
        <f>IF(EE$13="","",参数设置!$B$7)</f>
        <v/>
      </c>
      <c r="EF14" s="17" t="str">
        <f>IF(EF$13="","",参数设置!$B$7)</f>
        <v/>
      </c>
      <c r="EG14" s="17" t="str">
        <f>IF(EG$13="","",参数设置!$B$7)</f>
        <v/>
      </c>
      <c r="EH14" s="17" t="str">
        <f>IF(EH$13="","",参数设置!$B$7)</f>
        <v/>
      </c>
      <c r="EI14" s="17" t="str">
        <f>IF(EI$13="","",参数设置!$B$7)</f>
        <v/>
      </c>
      <c r="EJ14" s="17" t="str">
        <f>IF(EJ$13="","",参数设置!$B$7)</f>
        <v/>
      </c>
      <c r="EK14" s="17" t="str">
        <f>IF(EK$13="","",参数设置!$B$7)</f>
        <v/>
      </c>
    </row>
    <row r="15" spans="1:141" x14ac:dyDescent="0.25">
      <c r="A15" s="18" t="s">
        <v>53</v>
      </c>
      <c r="B15" s="19" t="str">
        <f>B$13</f>
        <v/>
      </c>
      <c r="C15" s="19" t="str">
        <f>C$13</f>
        <v/>
      </c>
      <c r="D15" s="19" t="str">
        <f>D$13</f>
        <v/>
      </c>
      <c r="E15" s="19" t="str">
        <f>E$13</f>
        <v/>
      </c>
      <c r="F15" s="19" t="str">
        <f>F$13</f>
        <v/>
      </c>
      <c r="G15" s="19" t="str">
        <f>G$13</f>
        <v/>
      </c>
      <c r="H15" s="19" t="str">
        <f>H$13</f>
        <v/>
      </c>
      <c r="I15" s="19" t="str">
        <f>I$13</f>
        <v/>
      </c>
      <c r="J15" s="19" t="str">
        <f>J$13</f>
        <v/>
      </c>
      <c r="K15" s="19" t="str">
        <f>K$13</f>
        <v/>
      </c>
      <c r="L15" s="19" t="str">
        <f>L$13</f>
        <v/>
      </c>
      <c r="M15" s="19" t="str">
        <f>M$13</f>
        <v/>
      </c>
      <c r="N15" s="19" t="str">
        <f>N$13</f>
        <v/>
      </c>
      <c r="O15" s="19" t="str">
        <f>O$13</f>
        <v/>
      </c>
      <c r="P15" s="19" t="str">
        <f>P$13</f>
        <v/>
      </c>
      <c r="Q15" s="19" t="str">
        <f>Q$13</f>
        <v/>
      </c>
      <c r="R15" s="19" t="str">
        <f>R$13</f>
        <v/>
      </c>
      <c r="S15" s="19" t="str">
        <f>S$13</f>
        <v/>
      </c>
      <c r="T15" s="19" t="str">
        <f>T$13</f>
        <v/>
      </c>
      <c r="U15" s="19" t="str">
        <f>U$13</f>
        <v/>
      </c>
      <c r="V15" s="19" t="str">
        <f>V$13</f>
        <v/>
      </c>
      <c r="W15" s="19" t="str">
        <f>W$13</f>
        <v/>
      </c>
      <c r="X15" s="19" t="str">
        <f>X$13</f>
        <v/>
      </c>
      <c r="Y15" s="19" t="str">
        <f>Y$13</f>
        <v/>
      </c>
      <c r="Z15" s="19" t="str">
        <f>Z$13</f>
        <v/>
      </c>
      <c r="AA15" s="19" t="str">
        <f>AA$13</f>
        <v/>
      </c>
      <c r="AB15" s="19" t="str">
        <f>AB$13</f>
        <v/>
      </c>
      <c r="AC15" s="19" t="str">
        <f>AC$13</f>
        <v/>
      </c>
      <c r="AD15" s="19" t="str">
        <f>AD$13</f>
        <v/>
      </c>
      <c r="AE15" s="19" t="str">
        <f>AE$13</f>
        <v/>
      </c>
      <c r="AF15" s="19" t="str">
        <f>AF$13</f>
        <v/>
      </c>
      <c r="AG15" s="19" t="str">
        <f>AG$13</f>
        <v/>
      </c>
      <c r="AH15" s="19" t="str">
        <f>AH$13</f>
        <v/>
      </c>
      <c r="AI15" s="19" t="str">
        <f>AI$13</f>
        <v/>
      </c>
      <c r="AJ15" s="19" t="str">
        <f>AJ$13</f>
        <v/>
      </c>
      <c r="AK15" s="19" t="str">
        <f>AK$13</f>
        <v/>
      </c>
      <c r="AL15" s="19" t="str">
        <f>AL$13</f>
        <v/>
      </c>
      <c r="AM15" s="19" t="str">
        <f>AM$13</f>
        <v/>
      </c>
      <c r="AN15" s="19" t="str">
        <f>AN$13</f>
        <v/>
      </c>
      <c r="AO15" s="19" t="str">
        <f>AO$13</f>
        <v/>
      </c>
      <c r="AP15" s="19" t="str">
        <f>AP$13</f>
        <v/>
      </c>
      <c r="AQ15" s="19" t="str">
        <f>AQ$13</f>
        <v/>
      </c>
      <c r="AR15" s="19" t="str">
        <f>AR$13</f>
        <v/>
      </c>
      <c r="AS15" s="19" t="str">
        <f>AS$13</f>
        <v/>
      </c>
      <c r="AT15" s="19" t="str">
        <f>AT$13</f>
        <v/>
      </c>
      <c r="AU15" s="19" t="str">
        <f>AU$13</f>
        <v/>
      </c>
      <c r="AV15" s="19" t="str">
        <f>AV$13</f>
        <v/>
      </c>
      <c r="AW15" s="19" t="str">
        <f>AW$13</f>
        <v/>
      </c>
      <c r="AX15" s="19" t="str">
        <f>AX$13</f>
        <v/>
      </c>
      <c r="AY15" s="19" t="str">
        <f>AY$13</f>
        <v/>
      </c>
      <c r="AZ15" s="19" t="str">
        <f>AZ$13</f>
        <v/>
      </c>
      <c r="BA15" s="19" t="str">
        <f>BA$13</f>
        <v/>
      </c>
      <c r="BB15" s="19" t="str">
        <f>BB$13</f>
        <v/>
      </c>
      <c r="BC15" s="19" t="str">
        <f>BC$13</f>
        <v/>
      </c>
      <c r="BD15" s="19" t="str">
        <f>BD$13</f>
        <v/>
      </c>
      <c r="BE15" s="19" t="str">
        <f>BE$13</f>
        <v/>
      </c>
      <c r="BF15" s="19" t="str">
        <f>BF$13</f>
        <v/>
      </c>
      <c r="BG15" s="19" t="str">
        <f>BG$13</f>
        <v/>
      </c>
      <c r="BH15" s="19" t="str">
        <f>BH$13</f>
        <v/>
      </c>
      <c r="BI15" s="19" t="str">
        <f>BI$13</f>
        <v/>
      </c>
      <c r="BJ15" s="19" t="str">
        <f>BJ$13</f>
        <v/>
      </c>
      <c r="BK15" s="19" t="str">
        <f>BK$13</f>
        <v/>
      </c>
      <c r="BL15" s="19" t="str">
        <f>BL$13</f>
        <v/>
      </c>
      <c r="BM15" s="19" t="str">
        <f>BM$13</f>
        <v/>
      </c>
      <c r="BN15" s="19" t="str">
        <f>BN$13</f>
        <v/>
      </c>
      <c r="BO15" s="19" t="str">
        <f>BO$13</f>
        <v/>
      </c>
      <c r="BP15" s="19" t="str">
        <f>BP$13</f>
        <v/>
      </c>
      <c r="BQ15" s="19" t="str">
        <f>BQ$13</f>
        <v/>
      </c>
      <c r="BR15" s="19" t="str">
        <f>BR$13</f>
        <v/>
      </c>
      <c r="BS15" s="19" t="str">
        <f>BS$13</f>
        <v/>
      </c>
      <c r="BT15" s="19" t="str">
        <f>BT$13</f>
        <v/>
      </c>
      <c r="BU15" s="19" t="str">
        <f>BU$13</f>
        <v/>
      </c>
      <c r="BV15" s="19" t="str">
        <f>BV$13</f>
        <v/>
      </c>
      <c r="BW15" s="19" t="str">
        <f>BW$13</f>
        <v/>
      </c>
      <c r="BX15" s="19" t="str">
        <f>BX$13</f>
        <v/>
      </c>
      <c r="BY15" s="19" t="str">
        <f>BY$13</f>
        <v/>
      </c>
      <c r="BZ15" s="19" t="str">
        <f>BZ$13</f>
        <v/>
      </c>
      <c r="CA15" s="19" t="str">
        <f>CA$13</f>
        <v/>
      </c>
      <c r="CB15" s="19" t="str">
        <f>CB$13</f>
        <v/>
      </c>
      <c r="CC15" s="19" t="str">
        <f>CC$13</f>
        <v/>
      </c>
      <c r="CD15" s="19" t="str">
        <f>CD$13</f>
        <v/>
      </c>
      <c r="CE15" s="19" t="str">
        <f>CE$13</f>
        <v/>
      </c>
      <c r="CF15" s="19" t="str">
        <f>CF$13</f>
        <v/>
      </c>
      <c r="CG15" s="19" t="str">
        <f>CG$13</f>
        <v/>
      </c>
      <c r="CH15" s="19" t="str">
        <f>CH$13</f>
        <v/>
      </c>
      <c r="CI15" s="19" t="str">
        <f>CI$13</f>
        <v/>
      </c>
      <c r="CJ15" s="19" t="str">
        <f>CJ$13</f>
        <v/>
      </c>
      <c r="CK15" s="19" t="str">
        <f>CK$13</f>
        <v/>
      </c>
      <c r="CL15" s="19" t="str">
        <f>CL$13</f>
        <v/>
      </c>
      <c r="CM15" s="19" t="str">
        <f>CM$13</f>
        <v/>
      </c>
      <c r="CN15" s="19" t="str">
        <f>CN$13</f>
        <v/>
      </c>
      <c r="CO15" s="19" t="str">
        <f>CO$13</f>
        <v/>
      </c>
      <c r="CP15" s="19" t="str">
        <f>CP$13</f>
        <v/>
      </c>
      <c r="CQ15" s="19" t="str">
        <f>CQ$13</f>
        <v/>
      </c>
      <c r="CR15" s="19" t="str">
        <f>CR$13</f>
        <v/>
      </c>
      <c r="CS15" s="19" t="str">
        <f>CS$13</f>
        <v/>
      </c>
      <c r="CT15" s="19" t="str">
        <f>CT$13</f>
        <v/>
      </c>
      <c r="CU15" s="19" t="str">
        <f>CU$13</f>
        <v/>
      </c>
      <c r="CV15" s="19" t="str">
        <f>CV$13</f>
        <v/>
      </c>
      <c r="CW15" s="19" t="str">
        <f>CW$13</f>
        <v/>
      </c>
      <c r="CX15" s="19" t="str">
        <f>CX$13</f>
        <v/>
      </c>
      <c r="CY15" s="19" t="str">
        <f>CY$13</f>
        <v/>
      </c>
      <c r="CZ15" s="19" t="str">
        <f>CZ$13</f>
        <v/>
      </c>
      <c r="DA15" s="19" t="str">
        <f>DA$13</f>
        <v/>
      </c>
      <c r="DB15" s="19" t="str">
        <f>DB$13</f>
        <v/>
      </c>
      <c r="DC15" s="19" t="str">
        <f>DC$13</f>
        <v/>
      </c>
      <c r="DD15" s="19" t="str">
        <f>DD$13</f>
        <v/>
      </c>
      <c r="DE15" s="19" t="str">
        <f>DE$13</f>
        <v/>
      </c>
      <c r="DF15" s="19" t="str">
        <f>DF$13</f>
        <v/>
      </c>
      <c r="DG15" s="19" t="str">
        <f>DG$13</f>
        <v/>
      </c>
      <c r="DH15" s="19" t="str">
        <f>DH$13</f>
        <v/>
      </c>
      <c r="DI15" s="19" t="str">
        <f>DI$13</f>
        <v/>
      </c>
      <c r="DJ15" s="19" t="str">
        <f>DJ$13</f>
        <v/>
      </c>
      <c r="DK15" s="19" t="str">
        <f>DK$13</f>
        <v/>
      </c>
      <c r="DL15" s="19" t="str">
        <f>DL$13</f>
        <v/>
      </c>
      <c r="DM15" s="19" t="str">
        <f>DM$13</f>
        <v/>
      </c>
      <c r="DN15" s="19" t="str">
        <f>DN$13</f>
        <v/>
      </c>
      <c r="DO15" s="19" t="str">
        <f>DO$13</f>
        <v/>
      </c>
      <c r="DP15" s="19" t="str">
        <f>DP$13</f>
        <v/>
      </c>
      <c r="DQ15" s="19" t="str">
        <f>DQ$13</f>
        <v/>
      </c>
      <c r="DR15" s="19" t="str">
        <f>DR$13</f>
        <v/>
      </c>
      <c r="DS15" s="19" t="str">
        <f>DS$13</f>
        <v/>
      </c>
      <c r="DT15" s="19" t="str">
        <f>DT$13</f>
        <v/>
      </c>
      <c r="DU15" s="19" t="str">
        <f>DU$13</f>
        <v/>
      </c>
      <c r="DV15" s="19" t="str">
        <f>DV$13</f>
        <v/>
      </c>
      <c r="DW15" s="19" t="str">
        <f>DW$13</f>
        <v/>
      </c>
      <c r="DX15" s="19" t="str">
        <f>DX$13</f>
        <v/>
      </c>
      <c r="DY15" s="19" t="str">
        <f>DY$13</f>
        <v/>
      </c>
      <c r="DZ15" s="19" t="str">
        <f>DZ$13</f>
        <v/>
      </c>
      <c r="EA15" s="19" t="str">
        <f>EA$13</f>
        <v/>
      </c>
      <c r="EB15" s="19" t="str">
        <f>EB$13</f>
        <v/>
      </c>
      <c r="EC15" s="19" t="str">
        <f>EC$13</f>
        <v/>
      </c>
      <c r="ED15" s="19" t="str">
        <f>ED$13</f>
        <v/>
      </c>
      <c r="EE15" s="19" t="str">
        <f>EE$13</f>
        <v/>
      </c>
      <c r="EF15" s="19" t="str">
        <f>EF$13</f>
        <v/>
      </c>
      <c r="EG15" s="19" t="str">
        <f>EG$13</f>
        <v/>
      </c>
      <c r="EH15" s="19" t="str">
        <f>EH$13</f>
        <v/>
      </c>
      <c r="EI15" s="19" t="str">
        <f>EI$13</f>
        <v/>
      </c>
      <c r="EJ15" s="19" t="str">
        <f>EJ$13</f>
        <v/>
      </c>
      <c r="EK15" s="19" t="str">
        <f>EK$13</f>
        <v/>
      </c>
    </row>
  </sheetData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E840B-0CB1-48F2-A5A5-477B53F253A5}">
  <dimension ref="A1:Q142"/>
  <sheetViews>
    <sheetView tabSelected="1" workbookViewId="0">
      <selection sqref="A1:H1"/>
    </sheetView>
  </sheetViews>
  <sheetFormatPr defaultRowHeight="13.8" x14ac:dyDescent="0.25"/>
  <cols>
    <col min="1" max="1" width="13.77734375" customWidth="1"/>
    <col min="2" max="2" width="12.77734375" customWidth="1"/>
    <col min="4" max="4" width="13.77734375" customWidth="1"/>
    <col min="5" max="5" width="16.77734375" customWidth="1"/>
    <col min="7" max="7" width="14.77734375" customWidth="1"/>
    <col min="8" max="8" width="12.77734375" customWidth="1"/>
    <col min="9" max="9" width="20.77734375" customWidth="1"/>
    <col min="10" max="17" width="11.77734375" customWidth="1"/>
  </cols>
  <sheetData>
    <row r="1" spans="1:17" ht="20.399999999999999" x14ac:dyDescent="0.25">
      <c r="A1" s="5" t="s">
        <v>54</v>
      </c>
      <c r="B1" s="2"/>
      <c r="C1" s="2"/>
      <c r="D1" s="2"/>
      <c r="E1" s="2"/>
      <c r="F1" s="2"/>
      <c r="G1" s="2"/>
      <c r="H1" s="2"/>
    </row>
    <row r="2" spans="1:17" x14ac:dyDescent="0.25">
      <c r="I2" s="10" t="s">
        <v>60</v>
      </c>
      <c r="J2" s="10" t="s">
        <v>29</v>
      </c>
      <c r="K2" s="10" t="s">
        <v>30</v>
      </c>
      <c r="L2" s="10" t="s">
        <v>31</v>
      </c>
      <c r="M2" s="10" t="s">
        <v>32</v>
      </c>
      <c r="N2" s="10" t="s">
        <v>33</v>
      </c>
      <c r="O2" s="10" t="s">
        <v>35</v>
      </c>
      <c r="P2" s="10" t="s">
        <v>37</v>
      </c>
      <c r="Q2" s="10" t="s">
        <v>38</v>
      </c>
    </row>
    <row r="3" spans="1:17" x14ac:dyDescent="0.25">
      <c r="A3" s="7" t="s">
        <v>55</v>
      </c>
      <c r="B3" s="8" t="str">
        <f>IFERROR(SUM(O3:O142)/(MAX(O3:O142)*COUNT(O3:O142)),"")</f>
        <v/>
      </c>
      <c r="C3" s="7"/>
      <c r="D3" s="7" t="s">
        <v>56</v>
      </c>
      <c r="E3" s="9">
        <f>IFERROR(MAX(O3:O142),"")</f>
        <v>0</v>
      </c>
      <c r="F3" s="7"/>
      <c r="G3" s="7" t="s">
        <v>57</v>
      </c>
      <c r="H3" s="7">
        <f>IFERROR(COUNTIF(Q3:Q142,"超节拍"),"")</f>
        <v>0</v>
      </c>
      <c r="I3" s="7">
        <f>IF(动作要素测量!B3&lt;&gt;"",动作要素测量!A3&amp;"-"&amp;动作要素测量!B3,动作要素测量!A3)</f>
        <v>1</v>
      </c>
      <c r="J3" s="9" t="str">
        <f>IF(动作要素测量!J3="","",动作要素测量!J3)</f>
        <v/>
      </c>
      <c r="K3" s="9" t="str">
        <f>IF(动作要素测量!J4="","",动作要素测量!J4)</f>
        <v/>
      </c>
      <c r="L3" s="9" t="str">
        <f>IF(动作要素测量!J5="","",动作要素测量!J5)</f>
        <v/>
      </c>
      <c r="M3" s="9" t="str">
        <f>IF(动作要素测量!J6="","",动作要素测量!J6)</f>
        <v/>
      </c>
      <c r="N3" s="9" t="str">
        <f>IF(动作要素测量!J7="","",动作要素测量!J7)</f>
        <v/>
      </c>
      <c r="O3" s="9" t="str">
        <f>IF(COUNT(J3:N3)=0,"",SUM(J3:N3))</f>
        <v/>
      </c>
      <c r="P3" s="9" t="str">
        <f>IF(O3="","",参数设置!B7)</f>
        <v/>
      </c>
      <c r="Q3" s="7" t="str">
        <f>IF(O3="","",IF(P3="","",IF(O3&gt;P3,"超节拍",IF(O3&gt;=P3*0.9,"接近上限","正常"))))</f>
        <v/>
      </c>
    </row>
    <row r="4" spans="1:17" x14ac:dyDescent="0.25">
      <c r="A4" s="7" t="s">
        <v>58</v>
      </c>
      <c r="B4" s="9" t="str">
        <f>IFERROR(AVERAGE(O3:O142),"")</f>
        <v/>
      </c>
      <c r="C4" s="7"/>
      <c r="D4" s="7" t="s">
        <v>14</v>
      </c>
      <c r="E4" s="7" t="s">
        <v>59</v>
      </c>
      <c r="F4" s="7"/>
      <c r="G4" s="7"/>
      <c r="H4" s="7"/>
      <c r="I4" s="7">
        <f>IF(动作要素测量!B8&lt;&gt;"",动作要素测量!A8&amp;"-"&amp;动作要素测量!B8,动作要素测量!A8)</f>
        <v>2</v>
      </c>
      <c r="J4" s="9" t="str">
        <f>IF(动作要素测量!J8="","",动作要素测量!J8)</f>
        <v/>
      </c>
      <c r="K4" s="9" t="str">
        <f>IF(动作要素测量!J9="","",动作要素测量!J9)</f>
        <v/>
      </c>
      <c r="L4" s="9" t="str">
        <f>IF(动作要素测量!J10="","",动作要素测量!J10)</f>
        <v/>
      </c>
      <c r="M4" s="9" t="str">
        <f>IF(动作要素测量!J11="","",动作要素测量!J11)</f>
        <v/>
      </c>
      <c r="N4" s="9" t="str">
        <f>IF(动作要素测量!J12="","",动作要素测量!J12)</f>
        <v/>
      </c>
      <c r="O4" s="9" t="str">
        <f>IF(COUNT(J4:N4)=0,"",SUM(J4:N4))</f>
        <v/>
      </c>
      <c r="P4" s="9" t="str">
        <f>IF(O4="","",参数设置!B7)</f>
        <v/>
      </c>
      <c r="Q4" s="7" t="str">
        <f>IF(O4="","",IF(P4="","",IF(O4&gt;P4,"超节拍",IF(O4&gt;=P4*0.9,"接近上限","正常"))))</f>
        <v/>
      </c>
    </row>
    <row r="5" spans="1:17" x14ac:dyDescent="0.25">
      <c r="I5" s="7">
        <f>IF(动作要素测量!B13&lt;&gt;"",动作要素测量!A13&amp;"-"&amp;动作要素测量!B13,动作要素测量!A13)</f>
        <v>3</v>
      </c>
      <c r="J5" s="9" t="str">
        <f>IF(动作要素测量!J13="","",动作要素测量!J13)</f>
        <v/>
      </c>
      <c r="K5" s="9" t="str">
        <f>IF(动作要素测量!J14="","",动作要素测量!J14)</f>
        <v/>
      </c>
      <c r="L5" s="9" t="str">
        <f>IF(动作要素测量!J15="","",动作要素测量!J15)</f>
        <v/>
      </c>
      <c r="M5" s="9" t="str">
        <f>IF(动作要素测量!J16="","",动作要素测量!J16)</f>
        <v/>
      </c>
      <c r="N5" s="9" t="str">
        <f>IF(动作要素测量!J17="","",动作要素测量!J17)</f>
        <v/>
      </c>
      <c r="O5" s="9" t="str">
        <f>IF(COUNT(J5:N5)=0,"",SUM(J5:N5))</f>
        <v/>
      </c>
      <c r="P5" s="9" t="str">
        <f>IF(O5="","",参数设置!B7)</f>
        <v/>
      </c>
      <c r="Q5" s="7" t="str">
        <f>IF(O5="","",IF(P5="","",IF(O5&gt;P5,"超节拍",IF(O5&gt;=P5*0.9,"接近上限","正常"))))</f>
        <v/>
      </c>
    </row>
    <row r="6" spans="1:17" x14ac:dyDescent="0.25">
      <c r="I6" s="7">
        <f>IF(动作要素测量!B18&lt;&gt;"",动作要素测量!A18&amp;"-"&amp;动作要素测量!B18,动作要素测量!A18)</f>
        <v>4</v>
      </c>
      <c r="J6" s="9" t="str">
        <f>IF(动作要素测量!J18="","",动作要素测量!J18)</f>
        <v/>
      </c>
      <c r="K6" s="9" t="str">
        <f>IF(动作要素测量!J19="","",动作要素测量!J19)</f>
        <v/>
      </c>
      <c r="L6" s="9" t="str">
        <f>IF(动作要素测量!J20="","",动作要素测量!J20)</f>
        <v/>
      </c>
      <c r="M6" s="9" t="str">
        <f>IF(动作要素测量!J21="","",动作要素测量!J21)</f>
        <v/>
      </c>
      <c r="N6" s="9" t="str">
        <f>IF(动作要素测量!J22="","",动作要素测量!J22)</f>
        <v/>
      </c>
      <c r="O6" s="9" t="str">
        <f>IF(COUNT(J6:N6)=0,"",SUM(J6:N6))</f>
        <v/>
      </c>
      <c r="P6" s="9" t="str">
        <f>IF(O6="","",参数设置!B7)</f>
        <v/>
      </c>
      <c r="Q6" s="7" t="str">
        <f>IF(O6="","",IF(P6="","",IF(O6&gt;P6,"超节拍",IF(O6&gt;=P6*0.9,"接近上限","正常"))))</f>
        <v/>
      </c>
    </row>
    <row r="7" spans="1:17" x14ac:dyDescent="0.25">
      <c r="I7" s="7">
        <f>IF(动作要素测量!B23&lt;&gt;"",动作要素测量!A23&amp;"-"&amp;动作要素测量!B23,动作要素测量!A23)</f>
        <v>5</v>
      </c>
      <c r="J7" s="9" t="str">
        <f>IF(动作要素测量!J23="","",动作要素测量!J23)</f>
        <v/>
      </c>
      <c r="K7" s="9" t="str">
        <f>IF(动作要素测量!J24="","",动作要素测量!J24)</f>
        <v/>
      </c>
      <c r="L7" s="9" t="str">
        <f>IF(动作要素测量!J25="","",动作要素测量!J25)</f>
        <v/>
      </c>
      <c r="M7" s="9" t="str">
        <f>IF(动作要素测量!J26="","",动作要素测量!J26)</f>
        <v/>
      </c>
      <c r="N7" s="9" t="str">
        <f>IF(动作要素测量!J27="","",动作要素测量!J27)</f>
        <v/>
      </c>
      <c r="O7" s="9" t="str">
        <f>IF(COUNT(J7:N7)=0,"",SUM(J7:N7))</f>
        <v/>
      </c>
      <c r="P7" s="9" t="str">
        <f>IF(O7="","",参数设置!B7)</f>
        <v/>
      </c>
      <c r="Q7" s="7" t="str">
        <f>IF(O7="","",IF(P7="","",IF(O7&gt;P7,"超节拍",IF(O7&gt;=P7*0.9,"接近上限","正常"))))</f>
        <v/>
      </c>
    </row>
    <row r="8" spans="1:17" x14ac:dyDescent="0.25">
      <c r="I8" s="7">
        <f>IF(动作要素测量!B28&lt;&gt;"",动作要素测量!A28&amp;"-"&amp;动作要素测量!B28,动作要素测量!A28)</f>
        <v>6</v>
      </c>
      <c r="J8" s="9" t="str">
        <f>IF(动作要素测量!J28="","",动作要素测量!J28)</f>
        <v/>
      </c>
      <c r="K8" s="9" t="str">
        <f>IF(动作要素测量!J29="","",动作要素测量!J29)</f>
        <v/>
      </c>
      <c r="L8" s="9" t="str">
        <f>IF(动作要素测量!J30="","",动作要素测量!J30)</f>
        <v/>
      </c>
      <c r="M8" s="9" t="str">
        <f>IF(动作要素测量!J31="","",动作要素测量!J31)</f>
        <v/>
      </c>
      <c r="N8" s="9" t="str">
        <f>IF(动作要素测量!J32="","",动作要素测量!J32)</f>
        <v/>
      </c>
      <c r="O8" s="9" t="str">
        <f>IF(COUNT(J8:N8)=0,"",SUM(J8:N8))</f>
        <v/>
      </c>
      <c r="P8" s="9" t="str">
        <f>IF(O8="","",参数设置!B7)</f>
        <v/>
      </c>
      <c r="Q8" s="7" t="str">
        <f>IF(O8="","",IF(P8="","",IF(O8&gt;P8,"超节拍",IF(O8&gt;=P8*0.9,"接近上限","正常"))))</f>
        <v/>
      </c>
    </row>
    <row r="9" spans="1:17" x14ac:dyDescent="0.25">
      <c r="I9" s="7">
        <f>IF(动作要素测量!B33&lt;&gt;"",动作要素测量!A33&amp;"-"&amp;动作要素测量!B33,动作要素测量!A33)</f>
        <v>7</v>
      </c>
      <c r="J9" s="9" t="str">
        <f>IF(动作要素测量!J33="","",动作要素测量!J33)</f>
        <v/>
      </c>
      <c r="K9" s="9" t="str">
        <f>IF(动作要素测量!J34="","",动作要素测量!J34)</f>
        <v/>
      </c>
      <c r="L9" s="9" t="str">
        <f>IF(动作要素测量!J35="","",动作要素测量!J35)</f>
        <v/>
      </c>
      <c r="M9" s="9" t="str">
        <f>IF(动作要素测量!J36="","",动作要素测量!J36)</f>
        <v/>
      </c>
      <c r="N9" s="9" t="str">
        <f>IF(动作要素测量!J37="","",动作要素测量!J37)</f>
        <v/>
      </c>
      <c r="O9" s="9" t="str">
        <f>IF(COUNT(J9:N9)=0,"",SUM(J9:N9))</f>
        <v/>
      </c>
      <c r="P9" s="9" t="str">
        <f>IF(O9="","",参数设置!B7)</f>
        <v/>
      </c>
      <c r="Q9" s="7" t="str">
        <f>IF(O9="","",IF(P9="","",IF(O9&gt;P9,"超节拍",IF(O9&gt;=P9*0.9,"接近上限","正常"))))</f>
        <v/>
      </c>
    </row>
    <row r="10" spans="1:17" x14ac:dyDescent="0.25">
      <c r="I10" s="7">
        <f>IF(动作要素测量!B38&lt;&gt;"",动作要素测量!A38&amp;"-"&amp;动作要素测量!B38,动作要素测量!A38)</f>
        <v>8</v>
      </c>
      <c r="J10" s="9" t="str">
        <f>IF(动作要素测量!J38="","",动作要素测量!J38)</f>
        <v/>
      </c>
      <c r="K10" s="9" t="str">
        <f>IF(动作要素测量!J39="","",动作要素测量!J39)</f>
        <v/>
      </c>
      <c r="L10" s="9" t="str">
        <f>IF(动作要素测量!J40="","",动作要素测量!J40)</f>
        <v/>
      </c>
      <c r="M10" s="9" t="str">
        <f>IF(动作要素测量!J41="","",动作要素测量!J41)</f>
        <v/>
      </c>
      <c r="N10" s="9" t="str">
        <f>IF(动作要素测量!J42="","",动作要素测量!J42)</f>
        <v/>
      </c>
      <c r="O10" s="9" t="str">
        <f>IF(COUNT(J10:N10)=0,"",SUM(J10:N10))</f>
        <v/>
      </c>
      <c r="P10" s="9" t="str">
        <f>IF(O10="","",参数设置!B7)</f>
        <v/>
      </c>
      <c r="Q10" s="7" t="str">
        <f>IF(O10="","",IF(P10="","",IF(O10&gt;P10,"超节拍",IF(O10&gt;=P10*0.9,"接近上限","正常"))))</f>
        <v/>
      </c>
    </row>
    <row r="11" spans="1:17" x14ac:dyDescent="0.25">
      <c r="I11" s="7">
        <f>IF(动作要素测量!B43&lt;&gt;"",动作要素测量!A43&amp;"-"&amp;动作要素测量!B43,动作要素测量!A43)</f>
        <v>9</v>
      </c>
      <c r="J11" s="9" t="str">
        <f>IF(动作要素测量!J43="","",动作要素测量!J43)</f>
        <v/>
      </c>
      <c r="K11" s="9" t="str">
        <f>IF(动作要素测量!J44="","",动作要素测量!J44)</f>
        <v/>
      </c>
      <c r="L11" s="9" t="str">
        <f>IF(动作要素测量!J45="","",动作要素测量!J45)</f>
        <v/>
      </c>
      <c r="M11" s="9" t="str">
        <f>IF(动作要素测量!J46="","",动作要素测量!J46)</f>
        <v/>
      </c>
      <c r="N11" s="9" t="str">
        <f>IF(动作要素测量!J47="","",动作要素测量!J47)</f>
        <v/>
      </c>
      <c r="O11" s="9" t="str">
        <f>IF(COUNT(J11:N11)=0,"",SUM(J11:N11))</f>
        <v/>
      </c>
      <c r="P11" s="9" t="str">
        <f>IF(O11="","",参数设置!B7)</f>
        <v/>
      </c>
      <c r="Q11" s="7" t="str">
        <f>IF(O11="","",IF(P11="","",IF(O11&gt;P11,"超节拍",IF(O11&gt;=P11*0.9,"接近上限","正常"))))</f>
        <v/>
      </c>
    </row>
    <row r="12" spans="1:17" x14ac:dyDescent="0.25">
      <c r="I12" s="7">
        <f>IF(动作要素测量!B48&lt;&gt;"",动作要素测量!A48&amp;"-"&amp;动作要素测量!B48,动作要素测量!A48)</f>
        <v>10</v>
      </c>
      <c r="J12" s="9" t="str">
        <f>IF(动作要素测量!J48="","",动作要素测量!J48)</f>
        <v/>
      </c>
      <c r="K12" s="9" t="str">
        <f>IF(动作要素测量!J49="","",动作要素测量!J49)</f>
        <v/>
      </c>
      <c r="L12" s="9" t="str">
        <f>IF(动作要素测量!J50="","",动作要素测量!J50)</f>
        <v/>
      </c>
      <c r="M12" s="9" t="str">
        <f>IF(动作要素测量!J51="","",动作要素测量!J51)</f>
        <v/>
      </c>
      <c r="N12" s="9" t="str">
        <f>IF(动作要素测量!J52="","",动作要素测量!J52)</f>
        <v/>
      </c>
      <c r="O12" s="9" t="str">
        <f>IF(COUNT(J12:N12)=0,"",SUM(J12:N12))</f>
        <v/>
      </c>
      <c r="P12" s="9" t="str">
        <f>IF(O12="","",参数设置!B7)</f>
        <v/>
      </c>
      <c r="Q12" s="7" t="str">
        <f>IF(O12="","",IF(P12="","",IF(O12&gt;P12,"超节拍",IF(O12&gt;=P12*0.9,"接近上限","正常"))))</f>
        <v/>
      </c>
    </row>
    <row r="13" spans="1:17" x14ac:dyDescent="0.25">
      <c r="I13" s="7">
        <f>IF(动作要素测量!B53&lt;&gt;"",动作要素测量!A53&amp;"-"&amp;动作要素测量!B53,动作要素测量!A53)</f>
        <v>11</v>
      </c>
      <c r="J13" s="9" t="str">
        <f>IF(动作要素测量!J53="","",动作要素测量!J53)</f>
        <v/>
      </c>
      <c r="K13" s="9" t="str">
        <f>IF(动作要素测量!J54="","",动作要素测量!J54)</f>
        <v/>
      </c>
      <c r="L13" s="9" t="str">
        <f>IF(动作要素测量!J55="","",动作要素测量!J55)</f>
        <v/>
      </c>
      <c r="M13" s="9" t="str">
        <f>IF(动作要素测量!J56="","",动作要素测量!J56)</f>
        <v/>
      </c>
      <c r="N13" s="9" t="str">
        <f>IF(动作要素测量!J57="","",动作要素测量!J57)</f>
        <v/>
      </c>
      <c r="O13" s="9" t="str">
        <f>IF(COUNT(J13:N13)=0,"",SUM(J13:N13))</f>
        <v/>
      </c>
      <c r="P13" s="9" t="str">
        <f>IF(O13="","",参数设置!B7)</f>
        <v/>
      </c>
      <c r="Q13" s="7" t="str">
        <f>IF(O13="","",IF(P13="","",IF(O13&gt;P13,"超节拍",IF(O13&gt;=P13*0.9,"接近上限","正常"))))</f>
        <v/>
      </c>
    </row>
    <row r="14" spans="1:17" x14ac:dyDescent="0.25">
      <c r="I14" s="7">
        <f>IF(动作要素测量!B58&lt;&gt;"",动作要素测量!A58&amp;"-"&amp;动作要素测量!B58,动作要素测量!A58)</f>
        <v>12</v>
      </c>
      <c r="J14" s="9" t="str">
        <f>IF(动作要素测量!J58="","",动作要素测量!J58)</f>
        <v/>
      </c>
      <c r="K14" s="9" t="str">
        <f>IF(动作要素测量!J59="","",动作要素测量!J59)</f>
        <v/>
      </c>
      <c r="L14" s="9" t="str">
        <f>IF(动作要素测量!J60="","",动作要素测量!J60)</f>
        <v/>
      </c>
      <c r="M14" s="9" t="str">
        <f>IF(动作要素测量!J61="","",动作要素测量!J61)</f>
        <v/>
      </c>
      <c r="N14" s="9" t="str">
        <f>IF(动作要素测量!J62="","",动作要素测量!J62)</f>
        <v/>
      </c>
      <c r="O14" s="9" t="str">
        <f>IF(COUNT(J14:N14)=0,"",SUM(J14:N14))</f>
        <v/>
      </c>
      <c r="P14" s="9" t="str">
        <f>IF(O14="","",参数设置!B7)</f>
        <v/>
      </c>
      <c r="Q14" s="7" t="str">
        <f>IF(O14="","",IF(P14="","",IF(O14&gt;P14,"超节拍",IF(O14&gt;=P14*0.9,"接近上限","正常"))))</f>
        <v/>
      </c>
    </row>
    <row r="15" spans="1:17" x14ac:dyDescent="0.25">
      <c r="I15" s="7">
        <f>IF(动作要素测量!B63&lt;&gt;"",动作要素测量!A63&amp;"-"&amp;动作要素测量!B63,动作要素测量!A63)</f>
        <v>13</v>
      </c>
      <c r="J15" s="9" t="str">
        <f>IF(动作要素测量!J63="","",动作要素测量!J63)</f>
        <v/>
      </c>
      <c r="K15" s="9" t="str">
        <f>IF(动作要素测量!J64="","",动作要素测量!J64)</f>
        <v/>
      </c>
      <c r="L15" s="9" t="str">
        <f>IF(动作要素测量!J65="","",动作要素测量!J65)</f>
        <v/>
      </c>
      <c r="M15" s="9" t="str">
        <f>IF(动作要素测量!J66="","",动作要素测量!J66)</f>
        <v/>
      </c>
      <c r="N15" s="9" t="str">
        <f>IF(动作要素测量!J67="","",动作要素测量!J67)</f>
        <v/>
      </c>
      <c r="O15" s="9" t="str">
        <f>IF(COUNT(J15:N15)=0,"",SUM(J15:N15))</f>
        <v/>
      </c>
      <c r="P15" s="9" t="str">
        <f>IF(O15="","",参数设置!B7)</f>
        <v/>
      </c>
      <c r="Q15" s="7" t="str">
        <f>IF(O15="","",IF(P15="","",IF(O15&gt;P15,"超节拍",IF(O15&gt;=P15*0.9,"接近上限","正常"))))</f>
        <v/>
      </c>
    </row>
    <row r="16" spans="1:17" x14ac:dyDescent="0.25">
      <c r="I16" s="7">
        <f>IF(动作要素测量!B68&lt;&gt;"",动作要素测量!A68&amp;"-"&amp;动作要素测量!B68,动作要素测量!A68)</f>
        <v>14</v>
      </c>
      <c r="J16" s="9" t="str">
        <f>IF(动作要素测量!J68="","",动作要素测量!J68)</f>
        <v/>
      </c>
      <c r="K16" s="9" t="str">
        <f>IF(动作要素测量!J69="","",动作要素测量!J69)</f>
        <v/>
      </c>
      <c r="L16" s="9" t="str">
        <f>IF(动作要素测量!J70="","",动作要素测量!J70)</f>
        <v/>
      </c>
      <c r="M16" s="9" t="str">
        <f>IF(动作要素测量!J71="","",动作要素测量!J71)</f>
        <v/>
      </c>
      <c r="N16" s="9" t="str">
        <f>IF(动作要素测量!J72="","",动作要素测量!J72)</f>
        <v/>
      </c>
      <c r="O16" s="9" t="str">
        <f>IF(COUNT(J16:N16)=0,"",SUM(J16:N16))</f>
        <v/>
      </c>
      <c r="P16" s="9" t="str">
        <f>IF(O16="","",参数设置!B7)</f>
        <v/>
      </c>
      <c r="Q16" s="7" t="str">
        <f>IF(O16="","",IF(P16="","",IF(O16&gt;P16,"超节拍",IF(O16&gt;=P16*0.9,"接近上限","正常"))))</f>
        <v/>
      </c>
    </row>
    <row r="17" spans="9:17" x14ac:dyDescent="0.25">
      <c r="I17" s="7">
        <f>IF(动作要素测量!B73&lt;&gt;"",动作要素测量!A73&amp;"-"&amp;动作要素测量!B73,动作要素测量!A73)</f>
        <v>15</v>
      </c>
      <c r="J17" s="9" t="str">
        <f>IF(动作要素测量!J73="","",动作要素测量!J73)</f>
        <v/>
      </c>
      <c r="K17" s="9" t="str">
        <f>IF(动作要素测量!J74="","",动作要素测量!J74)</f>
        <v/>
      </c>
      <c r="L17" s="9" t="str">
        <f>IF(动作要素测量!J75="","",动作要素测量!J75)</f>
        <v/>
      </c>
      <c r="M17" s="9" t="str">
        <f>IF(动作要素测量!J76="","",动作要素测量!J76)</f>
        <v/>
      </c>
      <c r="N17" s="9" t="str">
        <f>IF(动作要素测量!J77="","",动作要素测量!J77)</f>
        <v/>
      </c>
      <c r="O17" s="9" t="str">
        <f>IF(COUNT(J17:N17)=0,"",SUM(J17:N17))</f>
        <v/>
      </c>
      <c r="P17" s="9" t="str">
        <f>IF(O17="","",参数设置!B7)</f>
        <v/>
      </c>
      <c r="Q17" s="7" t="str">
        <f>IF(O17="","",IF(P17="","",IF(O17&gt;P17,"超节拍",IF(O17&gt;=P17*0.9,"接近上限","正常"))))</f>
        <v/>
      </c>
    </row>
    <row r="18" spans="9:17" x14ac:dyDescent="0.25">
      <c r="I18" s="7">
        <f>IF(动作要素测量!B78&lt;&gt;"",动作要素测量!A78&amp;"-"&amp;动作要素测量!B78,动作要素测量!A78)</f>
        <v>16</v>
      </c>
      <c r="J18" s="9" t="str">
        <f>IF(动作要素测量!J78="","",动作要素测量!J78)</f>
        <v/>
      </c>
      <c r="K18" s="9" t="str">
        <f>IF(动作要素测量!J79="","",动作要素测量!J79)</f>
        <v/>
      </c>
      <c r="L18" s="9" t="str">
        <f>IF(动作要素测量!J80="","",动作要素测量!J80)</f>
        <v/>
      </c>
      <c r="M18" s="9" t="str">
        <f>IF(动作要素测量!J81="","",动作要素测量!J81)</f>
        <v/>
      </c>
      <c r="N18" s="9" t="str">
        <f>IF(动作要素测量!J82="","",动作要素测量!J82)</f>
        <v/>
      </c>
      <c r="O18" s="9" t="str">
        <f>IF(COUNT(J18:N18)=0,"",SUM(J18:N18))</f>
        <v/>
      </c>
      <c r="P18" s="9" t="str">
        <f>IF(O18="","",参数设置!B7)</f>
        <v/>
      </c>
      <c r="Q18" s="7" t="str">
        <f>IF(O18="","",IF(P18="","",IF(O18&gt;P18,"超节拍",IF(O18&gt;=P18*0.9,"接近上限","正常"))))</f>
        <v/>
      </c>
    </row>
    <row r="19" spans="9:17" x14ac:dyDescent="0.25">
      <c r="I19" s="7">
        <f>IF(动作要素测量!B83&lt;&gt;"",动作要素测量!A83&amp;"-"&amp;动作要素测量!B83,动作要素测量!A83)</f>
        <v>17</v>
      </c>
      <c r="J19" s="9" t="str">
        <f>IF(动作要素测量!J83="","",动作要素测量!J83)</f>
        <v/>
      </c>
      <c r="K19" s="9" t="str">
        <f>IF(动作要素测量!J84="","",动作要素测量!J84)</f>
        <v/>
      </c>
      <c r="L19" s="9" t="str">
        <f>IF(动作要素测量!J85="","",动作要素测量!J85)</f>
        <v/>
      </c>
      <c r="M19" s="9" t="str">
        <f>IF(动作要素测量!J86="","",动作要素测量!J86)</f>
        <v/>
      </c>
      <c r="N19" s="9" t="str">
        <f>IF(动作要素测量!J87="","",动作要素测量!J87)</f>
        <v/>
      </c>
      <c r="O19" s="9" t="str">
        <f>IF(COUNT(J19:N19)=0,"",SUM(J19:N19))</f>
        <v/>
      </c>
      <c r="P19" s="9" t="str">
        <f>IF(O19="","",参数设置!B7)</f>
        <v/>
      </c>
      <c r="Q19" s="7" t="str">
        <f>IF(O19="","",IF(P19="","",IF(O19&gt;P19,"超节拍",IF(O19&gt;=P19*0.9,"接近上限","正常"))))</f>
        <v/>
      </c>
    </row>
    <row r="20" spans="9:17" x14ac:dyDescent="0.25">
      <c r="I20" s="7">
        <f>IF(动作要素测量!B88&lt;&gt;"",动作要素测量!A88&amp;"-"&amp;动作要素测量!B88,动作要素测量!A88)</f>
        <v>18</v>
      </c>
      <c r="J20" s="9" t="str">
        <f>IF(动作要素测量!J88="","",动作要素测量!J88)</f>
        <v/>
      </c>
      <c r="K20" s="9" t="str">
        <f>IF(动作要素测量!J89="","",动作要素测量!J89)</f>
        <v/>
      </c>
      <c r="L20" s="9" t="str">
        <f>IF(动作要素测量!J90="","",动作要素测量!J90)</f>
        <v/>
      </c>
      <c r="M20" s="9" t="str">
        <f>IF(动作要素测量!J91="","",动作要素测量!J91)</f>
        <v/>
      </c>
      <c r="N20" s="9" t="str">
        <f>IF(动作要素测量!J92="","",动作要素测量!J92)</f>
        <v/>
      </c>
      <c r="O20" s="9" t="str">
        <f>IF(COUNT(J20:N20)=0,"",SUM(J20:N20))</f>
        <v/>
      </c>
      <c r="P20" s="9" t="str">
        <f>IF(O20="","",参数设置!B7)</f>
        <v/>
      </c>
      <c r="Q20" s="7" t="str">
        <f>IF(O20="","",IF(P20="","",IF(O20&gt;P20,"超节拍",IF(O20&gt;=P20*0.9,"接近上限","正常"))))</f>
        <v/>
      </c>
    </row>
    <row r="21" spans="9:17" x14ac:dyDescent="0.25">
      <c r="I21" s="7">
        <f>IF(动作要素测量!B93&lt;&gt;"",动作要素测量!A93&amp;"-"&amp;动作要素测量!B93,动作要素测量!A93)</f>
        <v>19</v>
      </c>
      <c r="J21" s="9" t="str">
        <f>IF(动作要素测量!J93="","",动作要素测量!J93)</f>
        <v/>
      </c>
      <c r="K21" s="9" t="str">
        <f>IF(动作要素测量!J94="","",动作要素测量!J94)</f>
        <v/>
      </c>
      <c r="L21" s="9" t="str">
        <f>IF(动作要素测量!J95="","",动作要素测量!J95)</f>
        <v/>
      </c>
      <c r="M21" s="9" t="str">
        <f>IF(动作要素测量!J96="","",动作要素测量!J96)</f>
        <v/>
      </c>
      <c r="N21" s="9" t="str">
        <f>IF(动作要素测量!J97="","",动作要素测量!J97)</f>
        <v/>
      </c>
      <c r="O21" s="9" t="str">
        <f>IF(COUNT(J21:N21)=0,"",SUM(J21:N21))</f>
        <v/>
      </c>
      <c r="P21" s="9" t="str">
        <f>IF(O21="","",参数设置!B7)</f>
        <v/>
      </c>
      <c r="Q21" s="7" t="str">
        <f>IF(O21="","",IF(P21="","",IF(O21&gt;P21,"超节拍",IF(O21&gt;=P21*0.9,"接近上限","正常"))))</f>
        <v/>
      </c>
    </row>
    <row r="22" spans="9:17" x14ac:dyDescent="0.25">
      <c r="I22" s="7">
        <f>IF(动作要素测量!B98&lt;&gt;"",动作要素测量!A98&amp;"-"&amp;动作要素测量!B98,动作要素测量!A98)</f>
        <v>20</v>
      </c>
      <c r="J22" s="9" t="str">
        <f>IF(动作要素测量!J98="","",动作要素测量!J98)</f>
        <v/>
      </c>
      <c r="K22" s="9" t="str">
        <f>IF(动作要素测量!J99="","",动作要素测量!J99)</f>
        <v/>
      </c>
      <c r="L22" s="9" t="str">
        <f>IF(动作要素测量!J100="","",动作要素测量!J100)</f>
        <v/>
      </c>
      <c r="M22" s="9" t="str">
        <f>IF(动作要素测量!J101="","",动作要素测量!J101)</f>
        <v/>
      </c>
      <c r="N22" s="9" t="str">
        <f>IF(动作要素测量!J102="","",动作要素测量!J102)</f>
        <v/>
      </c>
      <c r="O22" s="9" t="str">
        <f>IF(COUNT(J22:N22)=0,"",SUM(J22:N22))</f>
        <v/>
      </c>
      <c r="P22" s="9" t="str">
        <f>IF(O22="","",参数设置!B7)</f>
        <v/>
      </c>
      <c r="Q22" s="7" t="str">
        <f>IF(O22="","",IF(P22="","",IF(O22&gt;P22,"超节拍",IF(O22&gt;=P22*0.9,"接近上限","正常"))))</f>
        <v/>
      </c>
    </row>
    <row r="23" spans="9:17" x14ac:dyDescent="0.25">
      <c r="I23" s="7">
        <f>IF(动作要素测量!B103&lt;&gt;"",动作要素测量!A103&amp;"-"&amp;动作要素测量!B103,动作要素测量!A103)</f>
        <v>21</v>
      </c>
      <c r="J23" s="9" t="str">
        <f>IF(动作要素测量!J103="","",动作要素测量!J103)</f>
        <v/>
      </c>
      <c r="K23" s="9" t="str">
        <f>IF(动作要素测量!J104="","",动作要素测量!J104)</f>
        <v/>
      </c>
      <c r="L23" s="9" t="str">
        <f>IF(动作要素测量!J105="","",动作要素测量!J105)</f>
        <v/>
      </c>
      <c r="M23" s="9" t="str">
        <f>IF(动作要素测量!J106="","",动作要素测量!J106)</f>
        <v/>
      </c>
      <c r="N23" s="9" t="str">
        <f>IF(动作要素测量!J107="","",动作要素测量!J107)</f>
        <v/>
      </c>
      <c r="O23" s="9" t="str">
        <f>IF(COUNT(J23:N23)=0,"",SUM(J23:N23))</f>
        <v/>
      </c>
      <c r="P23" s="9" t="str">
        <f>IF(O23="","",参数设置!B7)</f>
        <v/>
      </c>
      <c r="Q23" s="7" t="str">
        <f>IF(O23="","",IF(P23="","",IF(O23&gt;P23,"超节拍",IF(O23&gt;=P23*0.9,"接近上限","正常"))))</f>
        <v/>
      </c>
    </row>
    <row r="24" spans="9:17" x14ac:dyDescent="0.25">
      <c r="I24" s="7">
        <f>IF(动作要素测量!B108&lt;&gt;"",动作要素测量!A108&amp;"-"&amp;动作要素测量!B108,动作要素测量!A108)</f>
        <v>22</v>
      </c>
      <c r="J24" s="9" t="str">
        <f>IF(动作要素测量!J108="","",动作要素测量!J108)</f>
        <v/>
      </c>
      <c r="K24" s="9" t="str">
        <f>IF(动作要素测量!J109="","",动作要素测量!J109)</f>
        <v/>
      </c>
      <c r="L24" s="9" t="str">
        <f>IF(动作要素测量!J110="","",动作要素测量!J110)</f>
        <v/>
      </c>
      <c r="M24" s="9" t="str">
        <f>IF(动作要素测量!J111="","",动作要素测量!J111)</f>
        <v/>
      </c>
      <c r="N24" s="9" t="str">
        <f>IF(动作要素测量!J112="","",动作要素测量!J112)</f>
        <v/>
      </c>
      <c r="O24" s="9" t="str">
        <f>IF(COUNT(J24:N24)=0,"",SUM(J24:N24))</f>
        <v/>
      </c>
      <c r="P24" s="9" t="str">
        <f>IF(O24="","",参数设置!B7)</f>
        <v/>
      </c>
      <c r="Q24" s="7" t="str">
        <f>IF(O24="","",IF(P24="","",IF(O24&gt;P24,"超节拍",IF(O24&gt;=P24*0.9,"接近上限","正常"))))</f>
        <v/>
      </c>
    </row>
    <row r="25" spans="9:17" x14ac:dyDescent="0.25">
      <c r="I25" s="7">
        <f>IF(动作要素测量!B113&lt;&gt;"",动作要素测量!A113&amp;"-"&amp;动作要素测量!B113,动作要素测量!A113)</f>
        <v>23</v>
      </c>
      <c r="J25" s="9" t="str">
        <f>IF(动作要素测量!J113="","",动作要素测量!J113)</f>
        <v/>
      </c>
      <c r="K25" s="9" t="str">
        <f>IF(动作要素测量!J114="","",动作要素测量!J114)</f>
        <v/>
      </c>
      <c r="L25" s="9" t="str">
        <f>IF(动作要素测量!J115="","",动作要素测量!J115)</f>
        <v/>
      </c>
      <c r="M25" s="9" t="str">
        <f>IF(动作要素测量!J116="","",动作要素测量!J116)</f>
        <v/>
      </c>
      <c r="N25" s="9" t="str">
        <f>IF(动作要素测量!J117="","",动作要素测量!J117)</f>
        <v/>
      </c>
      <c r="O25" s="9" t="str">
        <f>IF(COUNT(J25:N25)=0,"",SUM(J25:N25))</f>
        <v/>
      </c>
      <c r="P25" s="9" t="str">
        <f>IF(O25="","",参数设置!B7)</f>
        <v/>
      </c>
      <c r="Q25" s="7" t="str">
        <f>IF(O25="","",IF(P25="","",IF(O25&gt;P25,"超节拍",IF(O25&gt;=P25*0.9,"接近上限","正常"))))</f>
        <v/>
      </c>
    </row>
    <row r="26" spans="9:17" x14ac:dyDescent="0.25">
      <c r="I26" s="7">
        <f>IF(动作要素测量!B118&lt;&gt;"",动作要素测量!A118&amp;"-"&amp;动作要素测量!B118,动作要素测量!A118)</f>
        <v>24</v>
      </c>
      <c r="J26" s="9" t="str">
        <f>IF(动作要素测量!J118="","",动作要素测量!J118)</f>
        <v/>
      </c>
      <c r="K26" s="9" t="str">
        <f>IF(动作要素测量!J119="","",动作要素测量!J119)</f>
        <v/>
      </c>
      <c r="L26" s="9" t="str">
        <f>IF(动作要素测量!J120="","",动作要素测量!J120)</f>
        <v/>
      </c>
      <c r="M26" s="9" t="str">
        <f>IF(动作要素测量!J121="","",动作要素测量!J121)</f>
        <v/>
      </c>
      <c r="N26" s="9" t="str">
        <f>IF(动作要素测量!J122="","",动作要素测量!J122)</f>
        <v/>
      </c>
      <c r="O26" s="9" t="str">
        <f>IF(COUNT(J26:N26)=0,"",SUM(J26:N26))</f>
        <v/>
      </c>
      <c r="P26" s="9" t="str">
        <f>IF(O26="","",参数设置!B7)</f>
        <v/>
      </c>
      <c r="Q26" s="7" t="str">
        <f>IF(O26="","",IF(P26="","",IF(O26&gt;P26,"超节拍",IF(O26&gt;=P26*0.9,"接近上限","正常"))))</f>
        <v/>
      </c>
    </row>
    <row r="27" spans="9:17" x14ac:dyDescent="0.25">
      <c r="I27" s="7">
        <f>IF(动作要素测量!B123&lt;&gt;"",动作要素测量!A123&amp;"-"&amp;动作要素测量!B123,动作要素测量!A123)</f>
        <v>25</v>
      </c>
      <c r="J27" s="9" t="str">
        <f>IF(动作要素测量!J123="","",动作要素测量!J123)</f>
        <v/>
      </c>
      <c r="K27" s="9" t="str">
        <f>IF(动作要素测量!J124="","",动作要素测量!J124)</f>
        <v/>
      </c>
      <c r="L27" s="9" t="str">
        <f>IF(动作要素测量!J125="","",动作要素测量!J125)</f>
        <v/>
      </c>
      <c r="M27" s="9" t="str">
        <f>IF(动作要素测量!J126="","",动作要素测量!J126)</f>
        <v/>
      </c>
      <c r="N27" s="9" t="str">
        <f>IF(动作要素测量!J127="","",动作要素测量!J127)</f>
        <v/>
      </c>
      <c r="O27" s="9" t="str">
        <f>IF(COUNT(J27:N27)=0,"",SUM(J27:N27))</f>
        <v/>
      </c>
      <c r="P27" s="9" t="str">
        <f>IF(O27="","",参数设置!B7)</f>
        <v/>
      </c>
      <c r="Q27" s="7" t="str">
        <f>IF(O27="","",IF(P27="","",IF(O27&gt;P27,"超节拍",IF(O27&gt;=P27*0.9,"接近上限","正常"))))</f>
        <v/>
      </c>
    </row>
    <row r="28" spans="9:17" x14ac:dyDescent="0.25">
      <c r="I28" s="7">
        <f>IF(动作要素测量!B128&lt;&gt;"",动作要素测量!A128&amp;"-"&amp;动作要素测量!B128,动作要素测量!A128)</f>
        <v>26</v>
      </c>
      <c r="J28" s="9" t="str">
        <f>IF(动作要素测量!J128="","",动作要素测量!J128)</f>
        <v/>
      </c>
      <c r="K28" s="9" t="str">
        <f>IF(动作要素测量!J129="","",动作要素测量!J129)</f>
        <v/>
      </c>
      <c r="L28" s="9" t="str">
        <f>IF(动作要素测量!J130="","",动作要素测量!J130)</f>
        <v/>
      </c>
      <c r="M28" s="9" t="str">
        <f>IF(动作要素测量!J131="","",动作要素测量!J131)</f>
        <v/>
      </c>
      <c r="N28" s="9" t="str">
        <f>IF(动作要素测量!J132="","",动作要素测量!J132)</f>
        <v/>
      </c>
      <c r="O28" s="9" t="str">
        <f>IF(COUNT(J28:N28)=0,"",SUM(J28:N28))</f>
        <v/>
      </c>
      <c r="P28" s="9" t="str">
        <f>IF(O28="","",参数设置!B7)</f>
        <v/>
      </c>
      <c r="Q28" s="7" t="str">
        <f>IF(O28="","",IF(P28="","",IF(O28&gt;P28,"超节拍",IF(O28&gt;=P28*0.9,"接近上限","正常"))))</f>
        <v/>
      </c>
    </row>
    <row r="29" spans="9:17" x14ac:dyDescent="0.25">
      <c r="I29" s="7">
        <f>IF(动作要素测量!B133&lt;&gt;"",动作要素测量!A133&amp;"-"&amp;动作要素测量!B133,动作要素测量!A133)</f>
        <v>27</v>
      </c>
      <c r="J29" s="9" t="str">
        <f>IF(动作要素测量!J133="","",动作要素测量!J133)</f>
        <v/>
      </c>
      <c r="K29" s="9" t="str">
        <f>IF(动作要素测量!J134="","",动作要素测量!J134)</f>
        <v/>
      </c>
      <c r="L29" s="9" t="str">
        <f>IF(动作要素测量!J135="","",动作要素测量!J135)</f>
        <v/>
      </c>
      <c r="M29" s="9" t="str">
        <f>IF(动作要素测量!J136="","",动作要素测量!J136)</f>
        <v/>
      </c>
      <c r="N29" s="9" t="str">
        <f>IF(动作要素测量!J137="","",动作要素测量!J137)</f>
        <v/>
      </c>
      <c r="O29" s="9" t="str">
        <f>IF(COUNT(J29:N29)=0,"",SUM(J29:N29))</f>
        <v/>
      </c>
      <c r="P29" s="9" t="str">
        <f>IF(O29="","",参数设置!B7)</f>
        <v/>
      </c>
      <c r="Q29" s="7" t="str">
        <f>IF(O29="","",IF(P29="","",IF(O29&gt;P29,"超节拍",IF(O29&gt;=P29*0.9,"接近上限","正常"))))</f>
        <v/>
      </c>
    </row>
    <row r="30" spans="9:17" x14ac:dyDescent="0.25">
      <c r="I30" s="7">
        <f>IF(动作要素测量!B138&lt;&gt;"",动作要素测量!A138&amp;"-"&amp;动作要素测量!B138,动作要素测量!A138)</f>
        <v>28</v>
      </c>
      <c r="J30" s="9" t="str">
        <f>IF(动作要素测量!J138="","",动作要素测量!J138)</f>
        <v/>
      </c>
      <c r="K30" s="9" t="str">
        <f>IF(动作要素测量!J139="","",动作要素测量!J139)</f>
        <v/>
      </c>
      <c r="L30" s="9" t="str">
        <f>IF(动作要素测量!J140="","",动作要素测量!J140)</f>
        <v/>
      </c>
      <c r="M30" s="9" t="str">
        <f>IF(动作要素测量!J141="","",动作要素测量!J141)</f>
        <v/>
      </c>
      <c r="N30" s="9" t="str">
        <f>IF(动作要素测量!J142="","",动作要素测量!J142)</f>
        <v/>
      </c>
      <c r="O30" s="9" t="str">
        <f>IF(COUNT(J30:N30)=0,"",SUM(J30:N30))</f>
        <v/>
      </c>
      <c r="P30" s="9" t="str">
        <f>IF(O30="","",参数设置!B7)</f>
        <v/>
      </c>
      <c r="Q30" s="7" t="str">
        <f>IF(O30="","",IF(P30="","",IF(O30&gt;P30,"超节拍",IF(O30&gt;=P30*0.9,"接近上限","正常"))))</f>
        <v/>
      </c>
    </row>
    <row r="31" spans="9:17" x14ac:dyDescent="0.25">
      <c r="I31" s="7">
        <f>IF(动作要素测量!B143&lt;&gt;"",动作要素测量!A143&amp;"-"&amp;动作要素测量!B143,动作要素测量!A143)</f>
        <v>29</v>
      </c>
      <c r="J31" s="9" t="str">
        <f>IF(动作要素测量!J143="","",动作要素测量!J143)</f>
        <v/>
      </c>
      <c r="K31" s="9" t="str">
        <f>IF(动作要素测量!J144="","",动作要素测量!J144)</f>
        <v/>
      </c>
      <c r="L31" s="9" t="str">
        <f>IF(动作要素测量!J145="","",动作要素测量!J145)</f>
        <v/>
      </c>
      <c r="M31" s="9" t="str">
        <f>IF(动作要素测量!J146="","",动作要素测量!J146)</f>
        <v/>
      </c>
      <c r="N31" s="9" t="str">
        <f>IF(动作要素测量!J147="","",动作要素测量!J147)</f>
        <v/>
      </c>
      <c r="O31" s="9" t="str">
        <f>IF(COUNT(J31:N31)=0,"",SUM(J31:N31))</f>
        <v/>
      </c>
      <c r="P31" s="9" t="str">
        <f>IF(O31="","",参数设置!B7)</f>
        <v/>
      </c>
      <c r="Q31" s="7" t="str">
        <f>IF(O31="","",IF(P31="","",IF(O31&gt;P31,"超节拍",IF(O31&gt;=P31*0.9,"接近上限","正常"))))</f>
        <v/>
      </c>
    </row>
    <row r="32" spans="9:17" x14ac:dyDescent="0.25">
      <c r="I32" s="7">
        <f>IF(动作要素测量!B148&lt;&gt;"",动作要素测量!A148&amp;"-"&amp;动作要素测量!B148,动作要素测量!A148)</f>
        <v>30</v>
      </c>
      <c r="J32" s="9" t="str">
        <f>IF(动作要素测量!J148="","",动作要素测量!J148)</f>
        <v/>
      </c>
      <c r="K32" s="9" t="str">
        <f>IF(动作要素测量!J149="","",动作要素测量!J149)</f>
        <v/>
      </c>
      <c r="L32" s="9" t="str">
        <f>IF(动作要素测量!J150="","",动作要素测量!J150)</f>
        <v/>
      </c>
      <c r="M32" s="9" t="str">
        <f>IF(动作要素测量!J151="","",动作要素测量!J151)</f>
        <v/>
      </c>
      <c r="N32" s="9" t="str">
        <f>IF(动作要素测量!J152="","",动作要素测量!J152)</f>
        <v/>
      </c>
      <c r="O32" s="9" t="str">
        <f>IF(COUNT(J32:N32)=0,"",SUM(J32:N32))</f>
        <v/>
      </c>
      <c r="P32" s="9" t="str">
        <f>IF(O32="","",参数设置!B7)</f>
        <v/>
      </c>
      <c r="Q32" s="7" t="str">
        <f>IF(O32="","",IF(P32="","",IF(O32&gt;P32,"超节拍",IF(O32&gt;=P32*0.9,"接近上限","正常"))))</f>
        <v/>
      </c>
    </row>
    <row r="33" spans="9:17" x14ac:dyDescent="0.25">
      <c r="I33" s="7">
        <f>IF(动作要素测量!B153&lt;&gt;"",动作要素测量!A153&amp;"-"&amp;动作要素测量!B153,动作要素测量!A153)</f>
        <v>31</v>
      </c>
      <c r="J33" s="9" t="str">
        <f>IF(动作要素测量!J153="","",动作要素测量!J153)</f>
        <v/>
      </c>
      <c r="K33" s="9" t="str">
        <f>IF(动作要素测量!J154="","",动作要素测量!J154)</f>
        <v/>
      </c>
      <c r="L33" s="9" t="str">
        <f>IF(动作要素测量!J155="","",动作要素测量!J155)</f>
        <v/>
      </c>
      <c r="M33" s="9" t="str">
        <f>IF(动作要素测量!J156="","",动作要素测量!J156)</f>
        <v/>
      </c>
      <c r="N33" s="9" t="str">
        <f>IF(动作要素测量!J157="","",动作要素测量!J157)</f>
        <v/>
      </c>
      <c r="O33" s="9" t="str">
        <f>IF(COUNT(J33:N33)=0,"",SUM(J33:N33))</f>
        <v/>
      </c>
      <c r="P33" s="9" t="str">
        <f>IF(O33="","",参数设置!B7)</f>
        <v/>
      </c>
      <c r="Q33" s="7" t="str">
        <f>IF(O33="","",IF(P33="","",IF(O33&gt;P33,"超节拍",IF(O33&gt;=P33*0.9,"接近上限","正常"))))</f>
        <v/>
      </c>
    </row>
    <row r="34" spans="9:17" x14ac:dyDescent="0.25">
      <c r="I34" s="7">
        <f>IF(动作要素测量!B158&lt;&gt;"",动作要素测量!A158&amp;"-"&amp;动作要素测量!B158,动作要素测量!A158)</f>
        <v>32</v>
      </c>
      <c r="J34" s="9" t="str">
        <f>IF(动作要素测量!J158="","",动作要素测量!J158)</f>
        <v/>
      </c>
      <c r="K34" s="9" t="str">
        <f>IF(动作要素测量!J159="","",动作要素测量!J159)</f>
        <v/>
      </c>
      <c r="L34" s="9" t="str">
        <f>IF(动作要素测量!J160="","",动作要素测量!J160)</f>
        <v/>
      </c>
      <c r="M34" s="9" t="str">
        <f>IF(动作要素测量!J161="","",动作要素测量!J161)</f>
        <v/>
      </c>
      <c r="N34" s="9" t="str">
        <f>IF(动作要素测量!J162="","",动作要素测量!J162)</f>
        <v/>
      </c>
      <c r="O34" s="9" t="str">
        <f>IF(COUNT(J34:N34)=0,"",SUM(J34:N34))</f>
        <v/>
      </c>
      <c r="P34" s="9" t="str">
        <f>IF(O34="","",参数设置!B7)</f>
        <v/>
      </c>
      <c r="Q34" s="7" t="str">
        <f>IF(O34="","",IF(P34="","",IF(O34&gt;P34,"超节拍",IF(O34&gt;=P34*0.9,"接近上限","正常"))))</f>
        <v/>
      </c>
    </row>
    <row r="35" spans="9:17" x14ac:dyDescent="0.25">
      <c r="I35" s="7">
        <f>IF(动作要素测量!B163&lt;&gt;"",动作要素测量!A163&amp;"-"&amp;动作要素测量!B163,动作要素测量!A163)</f>
        <v>33</v>
      </c>
      <c r="J35" s="9" t="str">
        <f>IF(动作要素测量!J163="","",动作要素测量!J163)</f>
        <v/>
      </c>
      <c r="K35" s="9" t="str">
        <f>IF(动作要素测量!J164="","",动作要素测量!J164)</f>
        <v/>
      </c>
      <c r="L35" s="9" t="str">
        <f>IF(动作要素测量!J165="","",动作要素测量!J165)</f>
        <v/>
      </c>
      <c r="M35" s="9" t="str">
        <f>IF(动作要素测量!J166="","",动作要素测量!J166)</f>
        <v/>
      </c>
      <c r="N35" s="9" t="str">
        <f>IF(动作要素测量!J167="","",动作要素测量!J167)</f>
        <v/>
      </c>
      <c r="O35" s="9" t="str">
        <f>IF(COUNT(J35:N35)=0,"",SUM(J35:N35))</f>
        <v/>
      </c>
      <c r="P35" s="9" t="str">
        <f>IF(O35="","",参数设置!B7)</f>
        <v/>
      </c>
      <c r="Q35" s="7" t="str">
        <f>IF(O35="","",IF(P35="","",IF(O35&gt;P35,"超节拍",IF(O35&gt;=P35*0.9,"接近上限","正常"))))</f>
        <v/>
      </c>
    </row>
    <row r="36" spans="9:17" x14ac:dyDescent="0.25">
      <c r="I36" s="7">
        <f>IF(动作要素测量!B168&lt;&gt;"",动作要素测量!A168&amp;"-"&amp;动作要素测量!B168,动作要素测量!A168)</f>
        <v>34</v>
      </c>
      <c r="J36" s="9" t="str">
        <f>IF(动作要素测量!J168="","",动作要素测量!J168)</f>
        <v/>
      </c>
      <c r="K36" s="9" t="str">
        <f>IF(动作要素测量!J169="","",动作要素测量!J169)</f>
        <v/>
      </c>
      <c r="L36" s="9" t="str">
        <f>IF(动作要素测量!J170="","",动作要素测量!J170)</f>
        <v/>
      </c>
      <c r="M36" s="9" t="str">
        <f>IF(动作要素测量!J171="","",动作要素测量!J171)</f>
        <v/>
      </c>
      <c r="N36" s="9" t="str">
        <f>IF(动作要素测量!J172="","",动作要素测量!J172)</f>
        <v/>
      </c>
      <c r="O36" s="9" t="str">
        <f>IF(COUNT(J36:N36)=0,"",SUM(J36:N36))</f>
        <v/>
      </c>
      <c r="P36" s="9" t="str">
        <f>IF(O36="","",参数设置!B7)</f>
        <v/>
      </c>
      <c r="Q36" s="7" t="str">
        <f>IF(O36="","",IF(P36="","",IF(O36&gt;P36,"超节拍",IF(O36&gt;=P36*0.9,"接近上限","正常"))))</f>
        <v/>
      </c>
    </row>
    <row r="37" spans="9:17" x14ac:dyDescent="0.25">
      <c r="I37" s="7">
        <f>IF(动作要素测量!B173&lt;&gt;"",动作要素测量!A173&amp;"-"&amp;动作要素测量!B173,动作要素测量!A173)</f>
        <v>35</v>
      </c>
      <c r="J37" s="9" t="str">
        <f>IF(动作要素测量!J173="","",动作要素测量!J173)</f>
        <v/>
      </c>
      <c r="K37" s="9" t="str">
        <f>IF(动作要素测量!J174="","",动作要素测量!J174)</f>
        <v/>
      </c>
      <c r="L37" s="9" t="str">
        <f>IF(动作要素测量!J175="","",动作要素测量!J175)</f>
        <v/>
      </c>
      <c r="M37" s="9" t="str">
        <f>IF(动作要素测量!J176="","",动作要素测量!J176)</f>
        <v/>
      </c>
      <c r="N37" s="9" t="str">
        <f>IF(动作要素测量!J177="","",动作要素测量!J177)</f>
        <v/>
      </c>
      <c r="O37" s="9" t="str">
        <f>IF(COUNT(J37:N37)=0,"",SUM(J37:N37))</f>
        <v/>
      </c>
      <c r="P37" s="9" t="str">
        <f>IF(O37="","",参数设置!B7)</f>
        <v/>
      </c>
      <c r="Q37" s="7" t="str">
        <f>IF(O37="","",IF(P37="","",IF(O37&gt;P37,"超节拍",IF(O37&gt;=P37*0.9,"接近上限","正常"))))</f>
        <v/>
      </c>
    </row>
    <row r="38" spans="9:17" x14ac:dyDescent="0.25">
      <c r="I38" s="7">
        <f>IF(动作要素测量!B178&lt;&gt;"",动作要素测量!A178&amp;"-"&amp;动作要素测量!B178,动作要素测量!A178)</f>
        <v>36</v>
      </c>
      <c r="J38" s="9" t="str">
        <f>IF(动作要素测量!J178="","",动作要素测量!J178)</f>
        <v/>
      </c>
      <c r="K38" s="9" t="str">
        <f>IF(动作要素测量!J179="","",动作要素测量!J179)</f>
        <v/>
      </c>
      <c r="L38" s="9" t="str">
        <f>IF(动作要素测量!J180="","",动作要素测量!J180)</f>
        <v/>
      </c>
      <c r="M38" s="9" t="str">
        <f>IF(动作要素测量!J181="","",动作要素测量!J181)</f>
        <v/>
      </c>
      <c r="N38" s="9" t="str">
        <f>IF(动作要素测量!J182="","",动作要素测量!J182)</f>
        <v/>
      </c>
      <c r="O38" s="9" t="str">
        <f>IF(COUNT(J38:N38)=0,"",SUM(J38:N38))</f>
        <v/>
      </c>
      <c r="P38" s="9" t="str">
        <f>IF(O38="","",参数设置!B7)</f>
        <v/>
      </c>
      <c r="Q38" s="7" t="str">
        <f>IF(O38="","",IF(P38="","",IF(O38&gt;P38,"超节拍",IF(O38&gt;=P38*0.9,"接近上限","正常"))))</f>
        <v/>
      </c>
    </row>
    <row r="39" spans="9:17" x14ac:dyDescent="0.25">
      <c r="I39" s="7">
        <f>IF(动作要素测量!B183&lt;&gt;"",动作要素测量!A183&amp;"-"&amp;动作要素测量!B183,动作要素测量!A183)</f>
        <v>37</v>
      </c>
      <c r="J39" s="9" t="str">
        <f>IF(动作要素测量!J183="","",动作要素测量!J183)</f>
        <v/>
      </c>
      <c r="K39" s="9" t="str">
        <f>IF(动作要素测量!J184="","",动作要素测量!J184)</f>
        <v/>
      </c>
      <c r="L39" s="9" t="str">
        <f>IF(动作要素测量!J185="","",动作要素测量!J185)</f>
        <v/>
      </c>
      <c r="M39" s="9" t="str">
        <f>IF(动作要素测量!J186="","",动作要素测量!J186)</f>
        <v/>
      </c>
      <c r="N39" s="9" t="str">
        <f>IF(动作要素测量!J187="","",动作要素测量!J187)</f>
        <v/>
      </c>
      <c r="O39" s="9" t="str">
        <f>IF(COUNT(J39:N39)=0,"",SUM(J39:N39))</f>
        <v/>
      </c>
      <c r="P39" s="9" t="str">
        <f>IF(O39="","",参数设置!B7)</f>
        <v/>
      </c>
      <c r="Q39" s="7" t="str">
        <f>IF(O39="","",IF(P39="","",IF(O39&gt;P39,"超节拍",IF(O39&gt;=P39*0.9,"接近上限","正常"))))</f>
        <v/>
      </c>
    </row>
    <row r="40" spans="9:17" x14ac:dyDescent="0.25">
      <c r="I40" s="7">
        <f>IF(动作要素测量!B188&lt;&gt;"",动作要素测量!A188&amp;"-"&amp;动作要素测量!B188,动作要素测量!A188)</f>
        <v>38</v>
      </c>
      <c r="J40" s="9" t="str">
        <f>IF(动作要素测量!J188="","",动作要素测量!J188)</f>
        <v/>
      </c>
      <c r="K40" s="9" t="str">
        <f>IF(动作要素测量!J189="","",动作要素测量!J189)</f>
        <v/>
      </c>
      <c r="L40" s="9" t="str">
        <f>IF(动作要素测量!J190="","",动作要素测量!J190)</f>
        <v/>
      </c>
      <c r="M40" s="9" t="str">
        <f>IF(动作要素测量!J191="","",动作要素测量!J191)</f>
        <v/>
      </c>
      <c r="N40" s="9" t="str">
        <f>IF(动作要素测量!J192="","",动作要素测量!J192)</f>
        <v/>
      </c>
      <c r="O40" s="9" t="str">
        <f>IF(COUNT(J40:N40)=0,"",SUM(J40:N40))</f>
        <v/>
      </c>
      <c r="P40" s="9" t="str">
        <f>IF(O40="","",参数设置!B7)</f>
        <v/>
      </c>
      <c r="Q40" s="7" t="str">
        <f>IF(O40="","",IF(P40="","",IF(O40&gt;P40,"超节拍",IF(O40&gt;=P40*0.9,"接近上限","正常"))))</f>
        <v/>
      </c>
    </row>
    <row r="41" spans="9:17" x14ac:dyDescent="0.25">
      <c r="I41" s="7">
        <f>IF(动作要素测量!B193&lt;&gt;"",动作要素测量!A193&amp;"-"&amp;动作要素测量!B193,动作要素测量!A193)</f>
        <v>39</v>
      </c>
      <c r="J41" s="9" t="str">
        <f>IF(动作要素测量!J193="","",动作要素测量!J193)</f>
        <v/>
      </c>
      <c r="K41" s="9" t="str">
        <f>IF(动作要素测量!J194="","",动作要素测量!J194)</f>
        <v/>
      </c>
      <c r="L41" s="9" t="str">
        <f>IF(动作要素测量!J195="","",动作要素测量!J195)</f>
        <v/>
      </c>
      <c r="M41" s="9" t="str">
        <f>IF(动作要素测量!J196="","",动作要素测量!J196)</f>
        <v/>
      </c>
      <c r="N41" s="9" t="str">
        <f>IF(动作要素测量!J197="","",动作要素测量!J197)</f>
        <v/>
      </c>
      <c r="O41" s="9" t="str">
        <f>IF(COUNT(J41:N41)=0,"",SUM(J41:N41))</f>
        <v/>
      </c>
      <c r="P41" s="9" t="str">
        <f>IF(O41="","",参数设置!B7)</f>
        <v/>
      </c>
      <c r="Q41" s="7" t="str">
        <f>IF(O41="","",IF(P41="","",IF(O41&gt;P41,"超节拍",IF(O41&gt;=P41*0.9,"接近上限","正常"))))</f>
        <v/>
      </c>
    </row>
    <row r="42" spans="9:17" x14ac:dyDescent="0.25">
      <c r="I42" s="7">
        <f>IF(动作要素测量!B198&lt;&gt;"",动作要素测量!A198&amp;"-"&amp;动作要素测量!B198,动作要素测量!A198)</f>
        <v>40</v>
      </c>
      <c r="J42" s="9" t="str">
        <f>IF(动作要素测量!J198="","",动作要素测量!J198)</f>
        <v/>
      </c>
      <c r="K42" s="9" t="str">
        <f>IF(动作要素测量!J199="","",动作要素测量!J199)</f>
        <v/>
      </c>
      <c r="L42" s="9" t="str">
        <f>IF(动作要素测量!J200="","",动作要素测量!J200)</f>
        <v/>
      </c>
      <c r="M42" s="9" t="str">
        <f>IF(动作要素测量!J201="","",动作要素测量!J201)</f>
        <v/>
      </c>
      <c r="N42" s="9" t="str">
        <f>IF(动作要素测量!J202="","",动作要素测量!J202)</f>
        <v/>
      </c>
      <c r="O42" s="9" t="str">
        <f>IF(COUNT(J42:N42)=0,"",SUM(J42:N42))</f>
        <v/>
      </c>
      <c r="P42" s="9" t="str">
        <f>IF(O42="","",参数设置!B7)</f>
        <v/>
      </c>
      <c r="Q42" s="7" t="str">
        <f>IF(O42="","",IF(P42="","",IF(O42&gt;P42,"超节拍",IF(O42&gt;=P42*0.9,"接近上限","正常"))))</f>
        <v/>
      </c>
    </row>
    <row r="43" spans="9:17" x14ac:dyDescent="0.25">
      <c r="I43" s="7">
        <f>IF(动作要素测量!B203&lt;&gt;"",动作要素测量!A203&amp;"-"&amp;动作要素测量!B203,动作要素测量!A203)</f>
        <v>41</v>
      </c>
      <c r="J43" s="9" t="str">
        <f>IF(动作要素测量!J203="","",动作要素测量!J203)</f>
        <v/>
      </c>
      <c r="K43" s="9" t="str">
        <f>IF(动作要素测量!J204="","",动作要素测量!J204)</f>
        <v/>
      </c>
      <c r="L43" s="9" t="str">
        <f>IF(动作要素测量!J205="","",动作要素测量!J205)</f>
        <v/>
      </c>
      <c r="M43" s="9" t="str">
        <f>IF(动作要素测量!J206="","",动作要素测量!J206)</f>
        <v/>
      </c>
      <c r="N43" s="9" t="str">
        <f>IF(动作要素测量!J207="","",动作要素测量!J207)</f>
        <v/>
      </c>
      <c r="O43" s="9" t="str">
        <f>IF(COUNT(J43:N43)=0,"",SUM(J43:N43))</f>
        <v/>
      </c>
      <c r="P43" s="9" t="str">
        <f>IF(O43="","",参数设置!B7)</f>
        <v/>
      </c>
      <c r="Q43" s="7" t="str">
        <f>IF(O43="","",IF(P43="","",IF(O43&gt;P43,"超节拍",IF(O43&gt;=P43*0.9,"接近上限","正常"))))</f>
        <v/>
      </c>
    </row>
    <row r="44" spans="9:17" x14ac:dyDescent="0.25">
      <c r="I44" s="7">
        <f>IF(动作要素测量!B208&lt;&gt;"",动作要素测量!A208&amp;"-"&amp;动作要素测量!B208,动作要素测量!A208)</f>
        <v>42</v>
      </c>
      <c r="J44" s="9" t="str">
        <f>IF(动作要素测量!J208="","",动作要素测量!J208)</f>
        <v/>
      </c>
      <c r="K44" s="9" t="str">
        <f>IF(动作要素测量!J209="","",动作要素测量!J209)</f>
        <v/>
      </c>
      <c r="L44" s="9" t="str">
        <f>IF(动作要素测量!J210="","",动作要素测量!J210)</f>
        <v/>
      </c>
      <c r="M44" s="9" t="str">
        <f>IF(动作要素测量!J211="","",动作要素测量!J211)</f>
        <v/>
      </c>
      <c r="N44" s="9" t="str">
        <f>IF(动作要素测量!J212="","",动作要素测量!J212)</f>
        <v/>
      </c>
      <c r="O44" s="9" t="str">
        <f>IF(COUNT(J44:N44)=0,"",SUM(J44:N44))</f>
        <v/>
      </c>
      <c r="P44" s="9" t="str">
        <f>IF(O44="","",参数设置!B7)</f>
        <v/>
      </c>
      <c r="Q44" s="7" t="str">
        <f>IF(O44="","",IF(P44="","",IF(O44&gt;P44,"超节拍",IF(O44&gt;=P44*0.9,"接近上限","正常"))))</f>
        <v/>
      </c>
    </row>
    <row r="45" spans="9:17" x14ac:dyDescent="0.25">
      <c r="I45" s="7">
        <f>IF(动作要素测量!B213&lt;&gt;"",动作要素测量!A213&amp;"-"&amp;动作要素测量!B213,动作要素测量!A213)</f>
        <v>43</v>
      </c>
      <c r="J45" s="9" t="str">
        <f>IF(动作要素测量!J213="","",动作要素测量!J213)</f>
        <v/>
      </c>
      <c r="K45" s="9" t="str">
        <f>IF(动作要素测量!J214="","",动作要素测量!J214)</f>
        <v/>
      </c>
      <c r="L45" s="9" t="str">
        <f>IF(动作要素测量!J215="","",动作要素测量!J215)</f>
        <v/>
      </c>
      <c r="M45" s="9" t="str">
        <f>IF(动作要素测量!J216="","",动作要素测量!J216)</f>
        <v/>
      </c>
      <c r="N45" s="9" t="str">
        <f>IF(动作要素测量!J217="","",动作要素测量!J217)</f>
        <v/>
      </c>
      <c r="O45" s="9" t="str">
        <f>IF(COUNT(J45:N45)=0,"",SUM(J45:N45))</f>
        <v/>
      </c>
      <c r="P45" s="9" t="str">
        <f>IF(O45="","",参数设置!B7)</f>
        <v/>
      </c>
      <c r="Q45" s="7" t="str">
        <f>IF(O45="","",IF(P45="","",IF(O45&gt;P45,"超节拍",IF(O45&gt;=P45*0.9,"接近上限","正常"))))</f>
        <v/>
      </c>
    </row>
    <row r="46" spans="9:17" x14ac:dyDescent="0.25">
      <c r="I46" s="7">
        <f>IF(动作要素测量!B218&lt;&gt;"",动作要素测量!A218&amp;"-"&amp;动作要素测量!B218,动作要素测量!A218)</f>
        <v>44</v>
      </c>
      <c r="J46" s="9" t="str">
        <f>IF(动作要素测量!J218="","",动作要素测量!J218)</f>
        <v/>
      </c>
      <c r="K46" s="9" t="str">
        <f>IF(动作要素测量!J219="","",动作要素测量!J219)</f>
        <v/>
      </c>
      <c r="L46" s="9" t="str">
        <f>IF(动作要素测量!J220="","",动作要素测量!J220)</f>
        <v/>
      </c>
      <c r="M46" s="9" t="str">
        <f>IF(动作要素测量!J221="","",动作要素测量!J221)</f>
        <v/>
      </c>
      <c r="N46" s="9" t="str">
        <f>IF(动作要素测量!J222="","",动作要素测量!J222)</f>
        <v/>
      </c>
      <c r="O46" s="9" t="str">
        <f>IF(COUNT(J46:N46)=0,"",SUM(J46:N46))</f>
        <v/>
      </c>
      <c r="P46" s="9" t="str">
        <f>IF(O46="","",参数设置!B7)</f>
        <v/>
      </c>
      <c r="Q46" s="7" t="str">
        <f>IF(O46="","",IF(P46="","",IF(O46&gt;P46,"超节拍",IF(O46&gt;=P46*0.9,"接近上限","正常"))))</f>
        <v/>
      </c>
    </row>
    <row r="47" spans="9:17" x14ac:dyDescent="0.25">
      <c r="I47" s="7">
        <f>IF(动作要素测量!B223&lt;&gt;"",动作要素测量!A223&amp;"-"&amp;动作要素测量!B223,动作要素测量!A223)</f>
        <v>45</v>
      </c>
      <c r="J47" s="9" t="str">
        <f>IF(动作要素测量!J223="","",动作要素测量!J223)</f>
        <v/>
      </c>
      <c r="K47" s="9" t="str">
        <f>IF(动作要素测量!J224="","",动作要素测量!J224)</f>
        <v/>
      </c>
      <c r="L47" s="9" t="str">
        <f>IF(动作要素测量!J225="","",动作要素测量!J225)</f>
        <v/>
      </c>
      <c r="M47" s="9" t="str">
        <f>IF(动作要素测量!J226="","",动作要素测量!J226)</f>
        <v/>
      </c>
      <c r="N47" s="9" t="str">
        <f>IF(动作要素测量!J227="","",动作要素测量!J227)</f>
        <v/>
      </c>
      <c r="O47" s="9" t="str">
        <f>IF(COUNT(J47:N47)=0,"",SUM(J47:N47))</f>
        <v/>
      </c>
      <c r="P47" s="9" t="str">
        <f>IF(O47="","",参数设置!B7)</f>
        <v/>
      </c>
      <c r="Q47" s="7" t="str">
        <f>IF(O47="","",IF(P47="","",IF(O47&gt;P47,"超节拍",IF(O47&gt;=P47*0.9,"接近上限","正常"))))</f>
        <v/>
      </c>
    </row>
    <row r="48" spans="9:17" x14ac:dyDescent="0.25">
      <c r="I48" s="7">
        <f>IF(动作要素测量!B228&lt;&gt;"",动作要素测量!A228&amp;"-"&amp;动作要素测量!B228,动作要素测量!A228)</f>
        <v>46</v>
      </c>
      <c r="J48" s="9" t="str">
        <f>IF(动作要素测量!J228="","",动作要素测量!J228)</f>
        <v/>
      </c>
      <c r="K48" s="9" t="str">
        <f>IF(动作要素测量!J229="","",动作要素测量!J229)</f>
        <v/>
      </c>
      <c r="L48" s="9" t="str">
        <f>IF(动作要素测量!J230="","",动作要素测量!J230)</f>
        <v/>
      </c>
      <c r="M48" s="9" t="str">
        <f>IF(动作要素测量!J231="","",动作要素测量!J231)</f>
        <v/>
      </c>
      <c r="N48" s="9" t="str">
        <f>IF(动作要素测量!J232="","",动作要素测量!J232)</f>
        <v/>
      </c>
      <c r="O48" s="9" t="str">
        <f>IF(COUNT(J48:N48)=0,"",SUM(J48:N48))</f>
        <v/>
      </c>
      <c r="P48" s="9" t="str">
        <f>IF(O48="","",参数设置!B7)</f>
        <v/>
      </c>
      <c r="Q48" s="7" t="str">
        <f>IF(O48="","",IF(P48="","",IF(O48&gt;P48,"超节拍",IF(O48&gt;=P48*0.9,"接近上限","正常"))))</f>
        <v/>
      </c>
    </row>
    <row r="49" spans="9:17" x14ac:dyDescent="0.25">
      <c r="I49" s="7">
        <f>IF(动作要素测量!B233&lt;&gt;"",动作要素测量!A233&amp;"-"&amp;动作要素测量!B233,动作要素测量!A233)</f>
        <v>47</v>
      </c>
      <c r="J49" s="9" t="str">
        <f>IF(动作要素测量!J233="","",动作要素测量!J233)</f>
        <v/>
      </c>
      <c r="K49" s="9" t="str">
        <f>IF(动作要素测量!J234="","",动作要素测量!J234)</f>
        <v/>
      </c>
      <c r="L49" s="9" t="str">
        <f>IF(动作要素测量!J235="","",动作要素测量!J235)</f>
        <v/>
      </c>
      <c r="M49" s="9" t="str">
        <f>IF(动作要素测量!J236="","",动作要素测量!J236)</f>
        <v/>
      </c>
      <c r="N49" s="9" t="str">
        <f>IF(动作要素测量!J237="","",动作要素测量!J237)</f>
        <v/>
      </c>
      <c r="O49" s="9" t="str">
        <f>IF(COUNT(J49:N49)=0,"",SUM(J49:N49))</f>
        <v/>
      </c>
      <c r="P49" s="9" t="str">
        <f>IF(O49="","",参数设置!B7)</f>
        <v/>
      </c>
      <c r="Q49" s="7" t="str">
        <f>IF(O49="","",IF(P49="","",IF(O49&gt;P49,"超节拍",IF(O49&gt;=P49*0.9,"接近上限","正常"))))</f>
        <v/>
      </c>
    </row>
    <row r="50" spans="9:17" x14ac:dyDescent="0.25">
      <c r="I50" s="7">
        <f>IF(动作要素测量!B238&lt;&gt;"",动作要素测量!A238&amp;"-"&amp;动作要素测量!B238,动作要素测量!A238)</f>
        <v>48</v>
      </c>
      <c r="J50" s="9" t="str">
        <f>IF(动作要素测量!J238="","",动作要素测量!J238)</f>
        <v/>
      </c>
      <c r="K50" s="9" t="str">
        <f>IF(动作要素测量!J239="","",动作要素测量!J239)</f>
        <v/>
      </c>
      <c r="L50" s="9" t="str">
        <f>IF(动作要素测量!J240="","",动作要素测量!J240)</f>
        <v/>
      </c>
      <c r="M50" s="9" t="str">
        <f>IF(动作要素测量!J241="","",动作要素测量!J241)</f>
        <v/>
      </c>
      <c r="N50" s="9" t="str">
        <f>IF(动作要素测量!J242="","",动作要素测量!J242)</f>
        <v/>
      </c>
      <c r="O50" s="9" t="str">
        <f>IF(COUNT(J50:N50)=0,"",SUM(J50:N50))</f>
        <v/>
      </c>
      <c r="P50" s="9" t="str">
        <f>IF(O50="","",参数设置!B7)</f>
        <v/>
      </c>
      <c r="Q50" s="7" t="str">
        <f>IF(O50="","",IF(P50="","",IF(O50&gt;P50,"超节拍",IF(O50&gt;=P50*0.9,"接近上限","正常"))))</f>
        <v/>
      </c>
    </row>
    <row r="51" spans="9:17" x14ac:dyDescent="0.25">
      <c r="I51" s="7">
        <f>IF(动作要素测量!B243&lt;&gt;"",动作要素测量!A243&amp;"-"&amp;动作要素测量!B243,动作要素测量!A243)</f>
        <v>49</v>
      </c>
      <c r="J51" s="9" t="str">
        <f>IF(动作要素测量!J243="","",动作要素测量!J243)</f>
        <v/>
      </c>
      <c r="K51" s="9" t="str">
        <f>IF(动作要素测量!J244="","",动作要素测量!J244)</f>
        <v/>
      </c>
      <c r="L51" s="9" t="str">
        <f>IF(动作要素测量!J245="","",动作要素测量!J245)</f>
        <v/>
      </c>
      <c r="M51" s="9" t="str">
        <f>IF(动作要素测量!J246="","",动作要素测量!J246)</f>
        <v/>
      </c>
      <c r="N51" s="9" t="str">
        <f>IF(动作要素测量!J247="","",动作要素测量!J247)</f>
        <v/>
      </c>
      <c r="O51" s="9" t="str">
        <f>IF(COUNT(J51:N51)=0,"",SUM(J51:N51))</f>
        <v/>
      </c>
      <c r="P51" s="9" t="str">
        <f>IF(O51="","",参数设置!B7)</f>
        <v/>
      </c>
      <c r="Q51" s="7" t="str">
        <f>IF(O51="","",IF(P51="","",IF(O51&gt;P51,"超节拍",IF(O51&gt;=P51*0.9,"接近上限","正常"))))</f>
        <v/>
      </c>
    </row>
    <row r="52" spans="9:17" x14ac:dyDescent="0.25">
      <c r="I52" s="7">
        <f>IF(动作要素测量!B248&lt;&gt;"",动作要素测量!A248&amp;"-"&amp;动作要素测量!B248,动作要素测量!A248)</f>
        <v>50</v>
      </c>
      <c r="J52" s="9" t="str">
        <f>IF(动作要素测量!J248="","",动作要素测量!J248)</f>
        <v/>
      </c>
      <c r="K52" s="9" t="str">
        <f>IF(动作要素测量!J249="","",动作要素测量!J249)</f>
        <v/>
      </c>
      <c r="L52" s="9" t="str">
        <f>IF(动作要素测量!J250="","",动作要素测量!J250)</f>
        <v/>
      </c>
      <c r="M52" s="9" t="str">
        <f>IF(动作要素测量!J251="","",动作要素测量!J251)</f>
        <v/>
      </c>
      <c r="N52" s="9" t="str">
        <f>IF(动作要素测量!J252="","",动作要素测量!J252)</f>
        <v/>
      </c>
      <c r="O52" s="9" t="str">
        <f>IF(COUNT(J52:N52)=0,"",SUM(J52:N52))</f>
        <v/>
      </c>
      <c r="P52" s="9" t="str">
        <f>IF(O52="","",参数设置!B7)</f>
        <v/>
      </c>
      <c r="Q52" s="7" t="str">
        <f>IF(O52="","",IF(P52="","",IF(O52&gt;P52,"超节拍",IF(O52&gt;=P52*0.9,"接近上限","正常"))))</f>
        <v/>
      </c>
    </row>
    <row r="53" spans="9:17" x14ac:dyDescent="0.25">
      <c r="I53" s="7">
        <f>IF(动作要素测量!B253&lt;&gt;"",动作要素测量!A253&amp;"-"&amp;动作要素测量!B253,动作要素测量!A253)</f>
        <v>51</v>
      </c>
      <c r="J53" s="9" t="str">
        <f>IF(动作要素测量!J253="","",动作要素测量!J253)</f>
        <v/>
      </c>
      <c r="K53" s="9" t="str">
        <f>IF(动作要素测量!J254="","",动作要素测量!J254)</f>
        <v/>
      </c>
      <c r="L53" s="9" t="str">
        <f>IF(动作要素测量!J255="","",动作要素测量!J255)</f>
        <v/>
      </c>
      <c r="M53" s="9" t="str">
        <f>IF(动作要素测量!J256="","",动作要素测量!J256)</f>
        <v/>
      </c>
      <c r="N53" s="9" t="str">
        <f>IF(动作要素测量!J257="","",动作要素测量!J257)</f>
        <v/>
      </c>
      <c r="O53" s="9" t="str">
        <f>IF(COUNT(J53:N53)=0,"",SUM(J53:N53))</f>
        <v/>
      </c>
      <c r="P53" s="9" t="str">
        <f>IF(O53="","",参数设置!B7)</f>
        <v/>
      </c>
      <c r="Q53" s="7" t="str">
        <f>IF(O53="","",IF(P53="","",IF(O53&gt;P53,"超节拍",IF(O53&gt;=P53*0.9,"接近上限","正常"))))</f>
        <v/>
      </c>
    </row>
    <row r="54" spans="9:17" x14ac:dyDescent="0.25">
      <c r="I54" s="7">
        <f>IF(动作要素测量!B258&lt;&gt;"",动作要素测量!A258&amp;"-"&amp;动作要素测量!B258,动作要素测量!A258)</f>
        <v>52</v>
      </c>
      <c r="J54" s="9" t="str">
        <f>IF(动作要素测量!J258="","",动作要素测量!J258)</f>
        <v/>
      </c>
      <c r="K54" s="9" t="str">
        <f>IF(动作要素测量!J259="","",动作要素测量!J259)</f>
        <v/>
      </c>
      <c r="L54" s="9" t="str">
        <f>IF(动作要素测量!J260="","",动作要素测量!J260)</f>
        <v/>
      </c>
      <c r="M54" s="9" t="str">
        <f>IF(动作要素测量!J261="","",动作要素测量!J261)</f>
        <v/>
      </c>
      <c r="N54" s="9" t="str">
        <f>IF(动作要素测量!J262="","",动作要素测量!J262)</f>
        <v/>
      </c>
      <c r="O54" s="9" t="str">
        <f>IF(COUNT(J54:N54)=0,"",SUM(J54:N54))</f>
        <v/>
      </c>
      <c r="P54" s="9" t="str">
        <f>IF(O54="","",参数设置!B7)</f>
        <v/>
      </c>
      <c r="Q54" s="7" t="str">
        <f>IF(O54="","",IF(P54="","",IF(O54&gt;P54,"超节拍",IF(O54&gt;=P54*0.9,"接近上限","正常"))))</f>
        <v/>
      </c>
    </row>
    <row r="55" spans="9:17" x14ac:dyDescent="0.25">
      <c r="I55" s="7">
        <f>IF(动作要素测量!B263&lt;&gt;"",动作要素测量!A263&amp;"-"&amp;动作要素测量!B263,动作要素测量!A263)</f>
        <v>53</v>
      </c>
      <c r="J55" s="9" t="str">
        <f>IF(动作要素测量!J263="","",动作要素测量!J263)</f>
        <v/>
      </c>
      <c r="K55" s="9" t="str">
        <f>IF(动作要素测量!J264="","",动作要素测量!J264)</f>
        <v/>
      </c>
      <c r="L55" s="9" t="str">
        <f>IF(动作要素测量!J265="","",动作要素测量!J265)</f>
        <v/>
      </c>
      <c r="M55" s="9" t="str">
        <f>IF(动作要素测量!J266="","",动作要素测量!J266)</f>
        <v/>
      </c>
      <c r="N55" s="9" t="str">
        <f>IF(动作要素测量!J267="","",动作要素测量!J267)</f>
        <v/>
      </c>
      <c r="O55" s="9" t="str">
        <f>IF(COUNT(J55:N55)=0,"",SUM(J55:N55))</f>
        <v/>
      </c>
      <c r="P55" s="9" t="str">
        <f>IF(O55="","",参数设置!B7)</f>
        <v/>
      </c>
      <c r="Q55" s="7" t="str">
        <f>IF(O55="","",IF(P55="","",IF(O55&gt;P55,"超节拍",IF(O55&gt;=P55*0.9,"接近上限","正常"))))</f>
        <v/>
      </c>
    </row>
    <row r="56" spans="9:17" x14ac:dyDescent="0.25">
      <c r="I56" s="7">
        <f>IF(动作要素测量!B268&lt;&gt;"",动作要素测量!A268&amp;"-"&amp;动作要素测量!B268,动作要素测量!A268)</f>
        <v>54</v>
      </c>
      <c r="J56" s="9" t="str">
        <f>IF(动作要素测量!J268="","",动作要素测量!J268)</f>
        <v/>
      </c>
      <c r="K56" s="9" t="str">
        <f>IF(动作要素测量!J269="","",动作要素测量!J269)</f>
        <v/>
      </c>
      <c r="L56" s="9" t="str">
        <f>IF(动作要素测量!J270="","",动作要素测量!J270)</f>
        <v/>
      </c>
      <c r="M56" s="9" t="str">
        <f>IF(动作要素测量!J271="","",动作要素测量!J271)</f>
        <v/>
      </c>
      <c r="N56" s="9" t="str">
        <f>IF(动作要素测量!J272="","",动作要素测量!J272)</f>
        <v/>
      </c>
      <c r="O56" s="9" t="str">
        <f>IF(COUNT(J56:N56)=0,"",SUM(J56:N56))</f>
        <v/>
      </c>
      <c r="P56" s="9" t="str">
        <f>IF(O56="","",参数设置!B7)</f>
        <v/>
      </c>
      <c r="Q56" s="7" t="str">
        <f>IF(O56="","",IF(P56="","",IF(O56&gt;P56,"超节拍",IF(O56&gt;=P56*0.9,"接近上限","正常"))))</f>
        <v/>
      </c>
    </row>
    <row r="57" spans="9:17" x14ac:dyDescent="0.25">
      <c r="I57" s="7">
        <f>IF(动作要素测量!B273&lt;&gt;"",动作要素测量!A273&amp;"-"&amp;动作要素测量!B273,动作要素测量!A273)</f>
        <v>55</v>
      </c>
      <c r="J57" s="9" t="str">
        <f>IF(动作要素测量!J273="","",动作要素测量!J273)</f>
        <v/>
      </c>
      <c r="K57" s="9" t="str">
        <f>IF(动作要素测量!J274="","",动作要素测量!J274)</f>
        <v/>
      </c>
      <c r="L57" s="9" t="str">
        <f>IF(动作要素测量!J275="","",动作要素测量!J275)</f>
        <v/>
      </c>
      <c r="M57" s="9" t="str">
        <f>IF(动作要素测量!J276="","",动作要素测量!J276)</f>
        <v/>
      </c>
      <c r="N57" s="9" t="str">
        <f>IF(动作要素测量!J277="","",动作要素测量!J277)</f>
        <v/>
      </c>
      <c r="O57" s="9" t="str">
        <f>IF(COUNT(J57:N57)=0,"",SUM(J57:N57))</f>
        <v/>
      </c>
      <c r="P57" s="9" t="str">
        <f>IF(O57="","",参数设置!B7)</f>
        <v/>
      </c>
      <c r="Q57" s="7" t="str">
        <f>IF(O57="","",IF(P57="","",IF(O57&gt;P57,"超节拍",IF(O57&gt;=P57*0.9,"接近上限","正常"))))</f>
        <v/>
      </c>
    </row>
    <row r="58" spans="9:17" x14ac:dyDescent="0.25">
      <c r="I58" s="7">
        <f>IF(动作要素测量!B278&lt;&gt;"",动作要素测量!A278&amp;"-"&amp;动作要素测量!B278,动作要素测量!A278)</f>
        <v>56</v>
      </c>
      <c r="J58" s="9" t="str">
        <f>IF(动作要素测量!J278="","",动作要素测量!J278)</f>
        <v/>
      </c>
      <c r="K58" s="9" t="str">
        <f>IF(动作要素测量!J279="","",动作要素测量!J279)</f>
        <v/>
      </c>
      <c r="L58" s="9" t="str">
        <f>IF(动作要素测量!J280="","",动作要素测量!J280)</f>
        <v/>
      </c>
      <c r="M58" s="9" t="str">
        <f>IF(动作要素测量!J281="","",动作要素测量!J281)</f>
        <v/>
      </c>
      <c r="N58" s="9" t="str">
        <f>IF(动作要素测量!J282="","",动作要素测量!J282)</f>
        <v/>
      </c>
      <c r="O58" s="9" t="str">
        <f>IF(COUNT(J58:N58)=0,"",SUM(J58:N58))</f>
        <v/>
      </c>
      <c r="P58" s="9" t="str">
        <f>IF(O58="","",参数设置!B7)</f>
        <v/>
      </c>
      <c r="Q58" s="7" t="str">
        <f>IF(O58="","",IF(P58="","",IF(O58&gt;P58,"超节拍",IF(O58&gt;=P58*0.9,"接近上限","正常"))))</f>
        <v/>
      </c>
    </row>
    <row r="59" spans="9:17" x14ac:dyDescent="0.25">
      <c r="I59" s="7">
        <f>IF(动作要素测量!B283&lt;&gt;"",动作要素测量!A283&amp;"-"&amp;动作要素测量!B283,动作要素测量!A283)</f>
        <v>57</v>
      </c>
      <c r="J59" s="9" t="str">
        <f>IF(动作要素测量!J283="","",动作要素测量!J283)</f>
        <v/>
      </c>
      <c r="K59" s="9" t="str">
        <f>IF(动作要素测量!J284="","",动作要素测量!J284)</f>
        <v/>
      </c>
      <c r="L59" s="9" t="str">
        <f>IF(动作要素测量!J285="","",动作要素测量!J285)</f>
        <v/>
      </c>
      <c r="M59" s="9" t="str">
        <f>IF(动作要素测量!J286="","",动作要素测量!J286)</f>
        <v/>
      </c>
      <c r="N59" s="9" t="str">
        <f>IF(动作要素测量!J287="","",动作要素测量!J287)</f>
        <v/>
      </c>
      <c r="O59" s="9" t="str">
        <f>IF(COUNT(J59:N59)=0,"",SUM(J59:N59))</f>
        <v/>
      </c>
      <c r="P59" s="9" t="str">
        <f>IF(O59="","",参数设置!B7)</f>
        <v/>
      </c>
      <c r="Q59" s="7" t="str">
        <f>IF(O59="","",IF(P59="","",IF(O59&gt;P59,"超节拍",IF(O59&gt;=P59*0.9,"接近上限","正常"))))</f>
        <v/>
      </c>
    </row>
    <row r="60" spans="9:17" x14ac:dyDescent="0.25">
      <c r="I60" s="7">
        <f>IF(动作要素测量!B288&lt;&gt;"",动作要素测量!A288&amp;"-"&amp;动作要素测量!B288,动作要素测量!A288)</f>
        <v>58</v>
      </c>
      <c r="J60" s="9" t="str">
        <f>IF(动作要素测量!J288="","",动作要素测量!J288)</f>
        <v/>
      </c>
      <c r="K60" s="9" t="str">
        <f>IF(动作要素测量!J289="","",动作要素测量!J289)</f>
        <v/>
      </c>
      <c r="L60" s="9" t="str">
        <f>IF(动作要素测量!J290="","",动作要素测量!J290)</f>
        <v/>
      </c>
      <c r="M60" s="9" t="str">
        <f>IF(动作要素测量!J291="","",动作要素测量!J291)</f>
        <v/>
      </c>
      <c r="N60" s="9" t="str">
        <f>IF(动作要素测量!J292="","",动作要素测量!J292)</f>
        <v/>
      </c>
      <c r="O60" s="9" t="str">
        <f>IF(COUNT(J60:N60)=0,"",SUM(J60:N60))</f>
        <v/>
      </c>
      <c r="P60" s="9" t="str">
        <f>IF(O60="","",参数设置!B7)</f>
        <v/>
      </c>
      <c r="Q60" s="7" t="str">
        <f>IF(O60="","",IF(P60="","",IF(O60&gt;P60,"超节拍",IF(O60&gt;=P60*0.9,"接近上限","正常"))))</f>
        <v/>
      </c>
    </row>
    <row r="61" spans="9:17" x14ac:dyDescent="0.25">
      <c r="I61" s="7">
        <f>IF(动作要素测量!B293&lt;&gt;"",动作要素测量!A293&amp;"-"&amp;动作要素测量!B293,动作要素测量!A293)</f>
        <v>59</v>
      </c>
      <c r="J61" s="9" t="str">
        <f>IF(动作要素测量!J293="","",动作要素测量!J293)</f>
        <v/>
      </c>
      <c r="K61" s="9" t="str">
        <f>IF(动作要素测量!J294="","",动作要素测量!J294)</f>
        <v/>
      </c>
      <c r="L61" s="9" t="str">
        <f>IF(动作要素测量!J295="","",动作要素测量!J295)</f>
        <v/>
      </c>
      <c r="M61" s="9" t="str">
        <f>IF(动作要素测量!J296="","",动作要素测量!J296)</f>
        <v/>
      </c>
      <c r="N61" s="9" t="str">
        <f>IF(动作要素测量!J297="","",动作要素测量!J297)</f>
        <v/>
      </c>
      <c r="O61" s="9" t="str">
        <f>IF(COUNT(J61:N61)=0,"",SUM(J61:N61))</f>
        <v/>
      </c>
      <c r="P61" s="9" t="str">
        <f>IF(O61="","",参数设置!B7)</f>
        <v/>
      </c>
      <c r="Q61" s="7" t="str">
        <f>IF(O61="","",IF(P61="","",IF(O61&gt;P61,"超节拍",IF(O61&gt;=P61*0.9,"接近上限","正常"))))</f>
        <v/>
      </c>
    </row>
    <row r="62" spans="9:17" x14ac:dyDescent="0.25">
      <c r="I62" s="7">
        <f>IF(动作要素测量!B298&lt;&gt;"",动作要素测量!A298&amp;"-"&amp;动作要素测量!B298,动作要素测量!A298)</f>
        <v>60</v>
      </c>
      <c r="J62" s="9" t="str">
        <f>IF(动作要素测量!J298="","",动作要素测量!J298)</f>
        <v/>
      </c>
      <c r="K62" s="9" t="str">
        <f>IF(动作要素测量!J299="","",动作要素测量!J299)</f>
        <v/>
      </c>
      <c r="L62" s="9" t="str">
        <f>IF(动作要素测量!J300="","",动作要素测量!J300)</f>
        <v/>
      </c>
      <c r="M62" s="9" t="str">
        <f>IF(动作要素测量!J301="","",动作要素测量!J301)</f>
        <v/>
      </c>
      <c r="N62" s="9" t="str">
        <f>IF(动作要素测量!J302="","",动作要素测量!J302)</f>
        <v/>
      </c>
      <c r="O62" s="9" t="str">
        <f>IF(COUNT(J62:N62)=0,"",SUM(J62:N62))</f>
        <v/>
      </c>
      <c r="P62" s="9" t="str">
        <f>IF(O62="","",参数设置!B7)</f>
        <v/>
      </c>
      <c r="Q62" s="7" t="str">
        <f>IF(O62="","",IF(P62="","",IF(O62&gt;P62,"超节拍",IF(O62&gt;=P62*0.9,"接近上限","正常"))))</f>
        <v/>
      </c>
    </row>
    <row r="63" spans="9:17" x14ac:dyDescent="0.25">
      <c r="I63" s="7">
        <f>IF(动作要素测量!B303&lt;&gt;"",动作要素测量!A303&amp;"-"&amp;动作要素测量!B303,动作要素测量!A303)</f>
        <v>61</v>
      </c>
      <c r="J63" s="9" t="str">
        <f>IF(动作要素测量!J303="","",动作要素测量!J303)</f>
        <v/>
      </c>
      <c r="K63" s="9" t="str">
        <f>IF(动作要素测量!J304="","",动作要素测量!J304)</f>
        <v/>
      </c>
      <c r="L63" s="9" t="str">
        <f>IF(动作要素测量!J305="","",动作要素测量!J305)</f>
        <v/>
      </c>
      <c r="M63" s="9" t="str">
        <f>IF(动作要素测量!J306="","",动作要素测量!J306)</f>
        <v/>
      </c>
      <c r="N63" s="9" t="str">
        <f>IF(动作要素测量!J307="","",动作要素测量!J307)</f>
        <v/>
      </c>
      <c r="O63" s="9" t="str">
        <f>IF(COUNT(J63:N63)=0,"",SUM(J63:N63))</f>
        <v/>
      </c>
      <c r="P63" s="9" t="str">
        <f>IF(O63="","",参数设置!B7)</f>
        <v/>
      </c>
      <c r="Q63" s="7" t="str">
        <f>IF(O63="","",IF(P63="","",IF(O63&gt;P63,"超节拍",IF(O63&gt;=P63*0.9,"接近上限","正常"))))</f>
        <v/>
      </c>
    </row>
    <row r="64" spans="9:17" x14ac:dyDescent="0.25">
      <c r="I64" s="7">
        <f>IF(动作要素测量!B308&lt;&gt;"",动作要素测量!A308&amp;"-"&amp;动作要素测量!B308,动作要素测量!A308)</f>
        <v>62</v>
      </c>
      <c r="J64" s="9" t="str">
        <f>IF(动作要素测量!J308="","",动作要素测量!J308)</f>
        <v/>
      </c>
      <c r="K64" s="9" t="str">
        <f>IF(动作要素测量!J309="","",动作要素测量!J309)</f>
        <v/>
      </c>
      <c r="L64" s="9" t="str">
        <f>IF(动作要素测量!J310="","",动作要素测量!J310)</f>
        <v/>
      </c>
      <c r="M64" s="9" t="str">
        <f>IF(动作要素测量!J311="","",动作要素测量!J311)</f>
        <v/>
      </c>
      <c r="N64" s="9" t="str">
        <f>IF(动作要素测量!J312="","",动作要素测量!J312)</f>
        <v/>
      </c>
      <c r="O64" s="9" t="str">
        <f>IF(COUNT(J64:N64)=0,"",SUM(J64:N64))</f>
        <v/>
      </c>
      <c r="P64" s="9" t="str">
        <f>IF(O64="","",参数设置!B7)</f>
        <v/>
      </c>
      <c r="Q64" s="7" t="str">
        <f>IF(O64="","",IF(P64="","",IF(O64&gt;P64,"超节拍",IF(O64&gt;=P64*0.9,"接近上限","正常"))))</f>
        <v/>
      </c>
    </row>
    <row r="65" spans="9:17" x14ac:dyDescent="0.25">
      <c r="I65" s="7">
        <f>IF(动作要素测量!B313&lt;&gt;"",动作要素测量!A313&amp;"-"&amp;动作要素测量!B313,动作要素测量!A313)</f>
        <v>63</v>
      </c>
      <c r="J65" s="9" t="str">
        <f>IF(动作要素测量!J313="","",动作要素测量!J313)</f>
        <v/>
      </c>
      <c r="K65" s="9" t="str">
        <f>IF(动作要素测量!J314="","",动作要素测量!J314)</f>
        <v/>
      </c>
      <c r="L65" s="9" t="str">
        <f>IF(动作要素测量!J315="","",动作要素测量!J315)</f>
        <v/>
      </c>
      <c r="M65" s="9" t="str">
        <f>IF(动作要素测量!J316="","",动作要素测量!J316)</f>
        <v/>
      </c>
      <c r="N65" s="9" t="str">
        <f>IF(动作要素测量!J317="","",动作要素测量!J317)</f>
        <v/>
      </c>
      <c r="O65" s="9" t="str">
        <f>IF(COUNT(J65:N65)=0,"",SUM(J65:N65))</f>
        <v/>
      </c>
      <c r="P65" s="9" t="str">
        <f>IF(O65="","",参数设置!B7)</f>
        <v/>
      </c>
      <c r="Q65" s="7" t="str">
        <f>IF(O65="","",IF(P65="","",IF(O65&gt;P65,"超节拍",IF(O65&gt;=P65*0.9,"接近上限","正常"))))</f>
        <v/>
      </c>
    </row>
    <row r="66" spans="9:17" x14ac:dyDescent="0.25">
      <c r="I66" s="7">
        <f>IF(动作要素测量!B318&lt;&gt;"",动作要素测量!A318&amp;"-"&amp;动作要素测量!B318,动作要素测量!A318)</f>
        <v>64</v>
      </c>
      <c r="J66" s="9" t="str">
        <f>IF(动作要素测量!J318="","",动作要素测量!J318)</f>
        <v/>
      </c>
      <c r="K66" s="9" t="str">
        <f>IF(动作要素测量!J319="","",动作要素测量!J319)</f>
        <v/>
      </c>
      <c r="L66" s="9" t="str">
        <f>IF(动作要素测量!J320="","",动作要素测量!J320)</f>
        <v/>
      </c>
      <c r="M66" s="9" t="str">
        <f>IF(动作要素测量!J321="","",动作要素测量!J321)</f>
        <v/>
      </c>
      <c r="N66" s="9" t="str">
        <f>IF(动作要素测量!J322="","",动作要素测量!J322)</f>
        <v/>
      </c>
      <c r="O66" s="9" t="str">
        <f>IF(COUNT(J66:N66)=0,"",SUM(J66:N66))</f>
        <v/>
      </c>
      <c r="P66" s="9" t="str">
        <f>IF(O66="","",参数设置!B7)</f>
        <v/>
      </c>
      <c r="Q66" s="7" t="str">
        <f>IF(O66="","",IF(P66="","",IF(O66&gt;P66,"超节拍",IF(O66&gt;=P66*0.9,"接近上限","正常"))))</f>
        <v/>
      </c>
    </row>
    <row r="67" spans="9:17" x14ac:dyDescent="0.25">
      <c r="I67" s="7">
        <f>IF(动作要素测量!B323&lt;&gt;"",动作要素测量!A323&amp;"-"&amp;动作要素测量!B323,动作要素测量!A323)</f>
        <v>65</v>
      </c>
      <c r="J67" s="9" t="str">
        <f>IF(动作要素测量!J323="","",动作要素测量!J323)</f>
        <v/>
      </c>
      <c r="K67" s="9" t="str">
        <f>IF(动作要素测量!J324="","",动作要素测量!J324)</f>
        <v/>
      </c>
      <c r="L67" s="9" t="str">
        <f>IF(动作要素测量!J325="","",动作要素测量!J325)</f>
        <v/>
      </c>
      <c r="M67" s="9" t="str">
        <f>IF(动作要素测量!J326="","",动作要素测量!J326)</f>
        <v/>
      </c>
      <c r="N67" s="9" t="str">
        <f>IF(动作要素测量!J327="","",动作要素测量!J327)</f>
        <v/>
      </c>
      <c r="O67" s="9" t="str">
        <f>IF(COUNT(J67:N67)=0,"",SUM(J67:N67))</f>
        <v/>
      </c>
      <c r="P67" s="9" t="str">
        <f>IF(O67="","",参数设置!B7)</f>
        <v/>
      </c>
      <c r="Q67" s="7" t="str">
        <f>IF(O67="","",IF(P67="","",IF(O67&gt;P67,"超节拍",IF(O67&gt;=P67*0.9,"接近上限","正常"))))</f>
        <v/>
      </c>
    </row>
    <row r="68" spans="9:17" x14ac:dyDescent="0.25">
      <c r="I68" s="7">
        <f>IF(动作要素测量!B328&lt;&gt;"",动作要素测量!A328&amp;"-"&amp;动作要素测量!B328,动作要素测量!A328)</f>
        <v>66</v>
      </c>
      <c r="J68" s="9" t="str">
        <f>IF(动作要素测量!J328="","",动作要素测量!J328)</f>
        <v/>
      </c>
      <c r="K68" s="9" t="str">
        <f>IF(动作要素测量!J329="","",动作要素测量!J329)</f>
        <v/>
      </c>
      <c r="L68" s="9" t="str">
        <f>IF(动作要素测量!J330="","",动作要素测量!J330)</f>
        <v/>
      </c>
      <c r="M68" s="9" t="str">
        <f>IF(动作要素测量!J331="","",动作要素测量!J331)</f>
        <v/>
      </c>
      <c r="N68" s="9" t="str">
        <f>IF(动作要素测量!J332="","",动作要素测量!J332)</f>
        <v/>
      </c>
      <c r="O68" s="9" t="str">
        <f>IF(COUNT(J68:N68)=0,"",SUM(J68:N68))</f>
        <v/>
      </c>
      <c r="P68" s="9" t="str">
        <f>IF(O68="","",参数设置!B7)</f>
        <v/>
      </c>
      <c r="Q68" s="7" t="str">
        <f>IF(O68="","",IF(P68="","",IF(O68&gt;P68,"超节拍",IF(O68&gt;=P68*0.9,"接近上限","正常"))))</f>
        <v/>
      </c>
    </row>
    <row r="69" spans="9:17" x14ac:dyDescent="0.25">
      <c r="I69" s="7">
        <f>IF(动作要素测量!B333&lt;&gt;"",动作要素测量!A333&amp;"-"&amp;动作要素测量!B333,动作要素测量!A333)</f>
        <v>67</v>
      </c>
      <c r="J69" s="9" t="str">
        <f>IF(动作要素测量!J333="","",动作要素测量!J333)</f>
        <v/>
      </c>
      <c r="K69" s="9" t="str">
        <f>IF(动作要素测量!J334="","",动作要素测量!J334)</f>
        <v/>
      </c>
      <c r="L69" s="9" t="str">
        <f>IF(动作要素测量!J335="","",动作要素测量!J335)</f>
        <v/>
      </c>
      <c r="M69" s="9" t="str">
        <f>IF(动作要素测量!J336="","",动作要素测量!J336)</f>
        <v/>
      </c>
      <c r="N69" s="9" t="str">
        <f>IF(动作要素测量!J337="","",动作要素测量!J337)</f>
        <v/>
      </c>
      <c r="O69" s="9" t="str">
        <f>IF(COUNT(J69:N69)=0,"",SUM(J69:N69))</f>
        <v/>
      </c>
      <c r="P69" s="9" t="str">
        <f>IF(O69="","",参数设置!B7)</f>
        <v/>
      </c>
      <c r="Q69" s="7" t="str">
        <f>IF(O69="","",IF(P69="","",IF(O69&gt;P69,"超节拍",IF(O69&gt;=P69*0.9,"接近上限","正常"))))</f>
        <v/>
      </c>
    </row>
    <row r="70" spans="9:17" x14ac:dyDescent="0.25">
      <c r="I70" s="7">
        <f>IF(动作要素测量!B338&lt;&gt;"",动作要素测量!A338&amp;"-"&amp;动作要素测量!B338,动作要素测量!A338)</f>
        <v>68</v>
      </c>
      <c r="J70" s="9" t="str">
        <f>IF(动作要素测量!J338="","",动作要素测量!J338)</f>
        <v/>
      </c>
      <c r="K70" s="9" t="str">
        <f>IF(动作要素测量!J339="","",动作要素测量!J339)</f>
        <v/>
      </c>
      <c r="L70" s="9" t="str">
        <f>IF(动作要素测量!J340="","",动作要素测量!J340)</f>
        <v/>
      </c>
      <c r="M70" s="9" t="str">
        <f>IF(动作要素测量!J341="","",动作要素测量!J341)</f>
        <v/>
      </c>
      <c r="N70" s="9" t="str">
        <f>IF(动作要素测量!J342="","",动作要素测量!J342)</f>
        <v/>
      </c>
      <c r="O70" s="9" t="str">
        <f>IF(COUNT(J70:N70)=0,"",SUM(J70:N70))</f>
        <v/>
      </c>
      <c r="P70" s="9" t="str">
        <f>IF(O70="","",参数设置!B7)</f>
        <v/>
      </c>
      <c r="Q70" s="7" t="str">
        <f>IF(O70="","",IF(P70="","",IF(O70&gt;P70,"超节拍",IF(O70&gt;=P70*0.9,"接近上限","正常"))))</f>
        <v/>
      </c>
    </row>
    <row r="71" spans="9:17" x14ac:dyDescent="0.25">
      <c r="I71" s="7">
        <f>IF(动作要素测量!B343&lt;&gt;"",动作要素测量!A343&amp;"-"&amp;动作要素测量!B343,动作要素测量!A343)</f>
        <v>69</v>
      </c>
      <c r="J71" s="9" t="str">
        <f>IF(动作要素测量!J343="","",动作要素测量!J343)</f>
        <v/>
      </c>
      <c r="K71" s="9" t="str">
        <f>IF(动作要素测量!J344="","",动作要素测量!J344)</f>
        <v/>
      </c>
      <c r="L71" s="9" t="str">
        <f>IF(动作要素测量!J345="","",动作要素测量!J345)</f>
        <v/>
      </c>
      <c r="M71" s="9" t="str">
        <f>IF(动作要素测量!J346="","",动作要素测量!J346)</f>
        <v/>
      </c>
      <c r="N71" s="9" t="str">
        <f>IF(动作要素测量!J347="","",动作要素测量!J347)</f>
        <v/>
      </c>
      <c r="O71" s="9" t="str">
        <f>IF(COUNT(J71:N71)=0,"",SUM(J71:N71))</f>
        <v/>
      </c>
      <c r="P71" s="9" t="str">
        <f>IF(O71="","",参数设置!B7)</f>
        <v/>
      </c>
      <c r="Q71" s="7" t="str">
        <f>IF(O71="","",IF(P71="","",IF(O71&gt;P71,"超节拍",IF(O71&gt;=P71*0.9,"接近上限","正常"))))</f>
        <v/>
      </c>
    </row>
    <row r="72" spans="9:17" x14ac:dyDescent="0.25">
      <c r="I72" s="7">
        <f>IF(动作要素测量!B348&lt;&gt;"",动作要素测量!A348&amp;"-"&amp;动作要素测量!B348,动作要素测量!A348)</f>
        <v>70</v>
      </c>
      <c r="J72" s="9" t="str">
        <f>IF(动作要素测量!J348="","",动作要素测量!J348)</f>
        <v/>
      </c>
      <c r="K72" s="9" t="str">
        <f>IF(动作要素测量!J349="","",动作要素测量!J349)</f>
        <v/>
      </c>
      <c r="L72" s="9" t="str">
        <f>IF(动作要素测量!J350="","",动作要素测量!J350)</f>
        <v/>
      </c>
      <c r="M72" s="9" t="str">
        <f>IF(动作要素测量!J351="","",动作要素测量!J351)</f>
        <v/>
      </c>
      <c r="N72" s="9" t="str">
        <f>IF(动作要素测量!J352="","",动作要素测量!J352)</f>
        <v/>
      </c>
      <c r="O72" s="9" t="str">
        <f>IF(COUNT(J72:N72)=0,"",SUM(J72:N72))</f>
        <v/>
      </c>
      <c r="P72" s="9" t="str">
        <f>IF(O72="","",参数设置!B7)</f>
        <v/>
      </c>
      <c r="Q72" s="7" t="str">
        <f>IF(O72="","",IF(P72="","",IF(O72&gt;P72,"超节拍",IF(O72&gt;=P72*0.9,"接近上限","正常"))))</f>
        <v/>
      </c>
    </row>
    <row r="73" spans="9:17" x14ac:dyDescent="0.25">
      <c r="I73" s="7">
        <f>IF(动作要素测量!B353&lt;&gt;"",动作要素测量!A353&amp;"-"&amp;动作要素测量!B353,动作要素测量!A353)</f>
        <v>71</v>
      </c>
      <c r="J73" s="9" t="str">
        <f>IF(动作要素测量!J353="","",动作要素测量!J353)</f>
        <v/>
      </c>
      <c r="K73" s="9" t="str">
        <f>IF(动作要素测量!J354="","",动作要素测量!J354)</f>
        <v/>
      </c>
      <c r="L73" s="9" t="str">
        <f>IF(动作要素测量!J355="","",动作要素测量!J355)</f>
        <v/>
      </c>
      <c r="M73" s="9" t="str">
        <f>IF(动作要素测量!J356="","",动作要素测量!J356)</f>
        <v/>
      </c>
      <c r="N73" s="9" t="str">
        <f>IF(动作要素测量!J357="","",动作要素测量!J357)</f>
        <v/>
      </c>
      <c r="O73" s="9" t="str">
        <f>IF(COUNT(J73:N73)=0,"",SUM(J73:N73))</f>
        <v/>
      </c>
      <c r="P73" s="9" t="str">
        <f>IF(O73="","",参数设置!B7)</f>
        <v/>
      </c>
      <c r="Q73" s="7" t="str">
        <f>IF(O73="","",IF(P73="","",IF(O73&gt;P73,"超节拍",IF(O73&gt;=P73*0.9,"接近上限","正常"))))</f>
        <v/>
      </c>
    </row>
    <row r="74" spans="9:17" x14ac:dyDescent="0.25">
      <c r="I74" s="7">
        <f>IF(动作要素测量!B358&lt;&gt;"",动作要素测量!A358&amp;"-"&amp;动作要素测量!B358,动作要素测量!A358)</f>
        <v>72</v>
      </c>
      <c r="J74" s="9" t="str">
        <f>IF(动作要素测量!J358="","",动作要素测量!J358)</f>
        <v/>
      </c>
      <c r="K74" s="9" t="str">
        <f>IF(动作要素测量!J359="","",动作要素测量!J359)</f>
        <v/>
      </c>
      <c r="L74" s="9" t="str">
        <f>IF(动作要素测量!J360="","",动作要素测量!J360)</f>
        <v/>
      </c>
      <c r="M74" s="9" t="str">
        <f>IF(动作要素测量!J361="","",动作要素测量!J361)</f>
        <v/>
      </c>
      <c r="N74" s="9" t="str">
        <f>IF(动作要素测量!J362="","",动作要素测量!J362)</f>
        <v/>
      </c>
      <c r="O74" s="9" t="str">
        <f>IF(COUNT(J74:N74)=0,"",SUM(J74:N74))</f>
        <v/>
      </c>
      <c r="P74" s="9" t="str">
        <f>IF(O74="","",参数设置!B7)</f>
        <v/>
      </c>
      <c r="Q74" s="7" t="str">
        <f>IF(O74="","",IF(P74="","",IF(O74&gt;P74,"超节拍",IF(O74&gt;=P74*0.9,"接近上限","正常"))))</f>
        <v/>
      </c>
    </row>
    <row r="75" spans="9:17" x14ac:dyDescent="0.25">
      <c r="I75" s="7">
        <f>IF(动作要素测量!B363&lt;&gt;"",动作要素测量!A363&amp;"-"&amp;动作要素测量!B363,动作要素测量!A363)</f>
        <v>73</v>
      </c>
      <c r="J75" s="9" t="str">
        <f>IF(动作要素测量!J363="","",动作要素测量!J363)</f>
        <v/>
      </c>
      <c r="K75" s="9" t="str">
        <f>IF(动作要素测量!J364="","",动作要素测量!J364)</f>
        <v/>
      </c>
      <c r="L75" s="9" t="str">
        <f>IF(动作要素测量!J365="","",动作要素测量!J365)</f>
        <v/>
      </c>
      <c r="M75" s="9" t="str">
        <f>IF(动作要素测量!J366="","",动作要素测量!J366)</f>
        <v/>
      </c>
      <c r="N75" s="9" t="str">
        <f>IF(动作要素测量!J367="","",动作要素测量!J367)</f>
        <v/>
      </c>
      <c r="O75" s="9" t="str">
        <f>IF(COUNT(J75:N75)=0,"",SUM(J75:N75))</f>
        <v/>
      </c>
      <c r="P75" s="9" t="str">
        <f>IF(O75="","",参数设置!B7)</f>
        <v/>
      </c>
      <c r="Q75" s="7" t="str">
        <f>IF(O75="","",IF(P75="","",IF(O75&gt;P75,"超节拍",IF(O75&gt;=P75*0.9,"接近上限","正常"))))</f>
        <v/>
      </c>
    </row>
    <row r="76" spans="9:17" x14ac:dyDescent="0.25">
      <c r="I76" s="7">
        <f>IF(动作要素测量!B368&lt;&gt;"",动作要素测量!A368&amp;"-"&amp;动作要素测量!B368,动作要素测量!A368)</f>
        <v>74</v>
      </c>
      <c r="J76" s="9" t="str">
        <f>IF(动作要素测量!J368="","",动作要素测量!J368)</f>
        <v/>
      </c>
      <c r="K76" s="9" t="str">
        <f>IF(动作要素测量!J369="","",动作要素测量!J369)</f>
        <v/>
      </c>
      <c r="L76" s="9" t="str">
        <f>IF(动作要素测量!J370="","",动作要素测量!J370)</f>
        <v/>
      </c>
      <c r="M76" s="9" t="str">
        <f>IF(动作要素测量!J371="","",动作要素测量!J371)</f>
        <v/>
      </c>
      <c r="N76" s="9" t="str">
        <f>IF(动作要素测量!J372="","",动作要素测量!J372)</f>
        <v/>
      </c>
      <c r="O76" s="9" t="str">
        <f>IF(COUNT(J76:N76)=0,"",SUM(J76:N76))</f>
        <v/>
      </c>
      <c r="P76" s="9" t="str">
        <f>IF(O76="","",参数设置!B7)</f>
        <v/>
      </c>
      <c r="Q76" s="7" t="str">
        <f>IF(O76="","",IF(P76="","",IF(O76&gt;P76,"超节拍",IF(O76&gt;=P76*0.9,"接近上限","正常"))))</f>
        <v/>
      </c>
    </row>
    <row r="77" spans="9:17" x14ac:dyDescent="0.25">
      <c r="I77" s="7">
        <f>IF(动作要素测量!B373&lt;&gt;"",动作要素测量!A373&amp;"-"&amp;动作要素测量!B373,动作要素测量!A373)</f>
        <v>75</v>
      </c>
      <c r="J77" s="9" t="str">
        <f>IF(动作要素测量!J373="","",动作要素测量!J373)</f>
        <v/>
      </c>
      <c r="K77" s="9" t="str">
        <f>IF(动作要素测量!J374="","",动作要素测量!J374)</f>
        <v/>
      </c>
      <c r="L77" s="9" t="str">
        <f>IF(动作要素测量!J375="","",动作要素测量!J375)</f>
        <v/>
      </c>
      <c r="M77" s="9" t="str">
        <f>IF(动作要素测量!J376="","",动作要素测量!J376)</f>
        <v/>
      </c>
      <c r="N77" s="9" t="str">
        <f>IF(动作要素测量!J377="","",动作要素测量!J377)</f>
        <v/>
      </c>
      <c r="O77" s="9" t="str">
        <f>IF(COUNT(J77:N77)=0,"",SUM(J77:N77))</f>
        <v/>
      </c>
      <c r="P77" s="9" t="str">
        <f>IF(O77="","",参数设置!B7)</f>
        <v/>
      </c>
      <c r="Q77" s="7" t="str">
        <f>IF(O77="","",IF(P77="","",IF(O77&gt;P77,"超节拍",IF(O77&gt;=P77*0.9,"接近上限","正常"))))</f>
        <v/>
      </c>
    </row>
    <row r="78" spans="9:17" x14ac:dyDescent="0.25">
      <c r="I78" s="7">
        <f>IF(动作要素测量!B378&lt;&gt;"",动作要素测量!A378&amp;"-"&amp;动作要素测量!B378,动作要素测量!A378)</f>
        <v>76</v>
      </c>
      <c r="J78" s="9" t="str">
        <f>IF(动作要素测量!J378="","",动作要素测量!J378)</f>
        <v/>
      </c>
      <c r="K78" s="9" t="str">
        <f>IF(动作要素测量!J379="","",动作要素测量!J379)</f>
        <v/>
      </c>
      <c r="L78" s="9" t="str">
        <f>IF(动作要素测量!J380="","",动作要素测量!J380)</f>
        <v/>
      </c>
      <c r="M78" s="9" t="str">
        <f>IF(动作要素测量!J381="","",动作要素测量!J381)</f>
        <v/>
      </c>
      <c r="N78" s="9" t="str">
        <f>IF(动作要素测量!J382="","",动作要素测量!J382)</f>
        <v/>
      </c>
      <c r="O78" s="9" t="str">
        <f>IF(COUNT(J78:N78)=0,"",SUM(J78:N78))</f>
        <v/>
      </c>
      <c r="P78" s="9" t="str">
        <f>IF(O78="","",参数设置!B7)</f>
        <v/>
      </c>
      <c r="Q78" s="7" t="str">
        <f>IF(O78="","",IF(P78="","",IF(O78&gt;P78,"超节拍",IF(O78&gt;=P78*0.9,"接近上限","正常"))))</f>
        <v/>
      </c>
    </row>
    <row r="79" spans="9:17" x14ac:dyDescent="0.25">
      <c r="I79" s="7">
        <f>IF(动作要素测量!B383&lt;&gt;"",动作要素测量!A383&amp;"-"&amp;动作要素测量!B383,动作要素测量!A383)</f>
        <v>77</v>
      </c>
      <c r="J79" s="9" t="str">
        <f>IF(动作要素测量!J383="","",动作要素测量!J383)</f>
        <v/>
      </c>
      <c r="K79" s="9" t="str">
        <f>IF(动作要素测量!J384="","",动作要素测量!J384)</f>
        <v/>
      </c>
      <c r="L79" s="9" t="str">
        <f>IF(动作要素测量!J385="","",动作要素测量!J385)</f>
        <v/>
      </c>
      <c r="M79" s="9" t="str">
        <f>IF(动作要素测量!J386="","",动作要素测量!J386)</f>
        <v/>
      </c>
      <c r="N79" s="9" t="str">
        <f>IF(动作要素测量!J387="","",动作要素测量!J387)</f>
        <v/>
      </c>
      <c r="O79" s="9" t="str">
        <f>IF(COUNT(J79:N79)=0,"",SUM(J79:N79))</f>
        <v/>
      </c>
      <c r="P79" s="9" t="str">
        <f>IF(O79="","",参数设置!B7)</f>
        <v/>
      </c>
      <c r="Q79" s="7" t="str">
        <f>IF(O79="","",IF(P79="","",IF(O79&gt;P79,"超节拍",IF(O79&gt;=P79*0.9,"接近上限","正常"))))</f>
        <v/>
      </c>
    </row>
    <row r="80" spans="9:17" x14ac:dyDescent="0.25">
      <c r="I80" s="7">
        <f>IF(动作要素测量!B388&lt;&gt;"",动作要素测量!A388&amp;"-"&amp;动作要素测量!B388,动作要素测量!A388)</f>
        <v>78</v>
      </c>
      <c r="J80" s="9" t="str">
        <f>IF(动作要素测量!J388="","",动作要素测量!J388)</f>
        <v/>
      </c>
      <c r="K80" s="9" t="str">
        <f>IF(动作要素测量!J389="","",动作要素测量!J389)</f>
        <v/>
      </c>
      <c r="L80" s="9" t="str">
        <f>IF(动作要素测量!J390="","",动作要素测量!J390)</f>
        <v/>
      </c>
      <c r="M80" s="9" t="str">
        <f>IF(动作要素测量!J391="","",动作要素测量!J391)</f>
        <v/>
      </c>
      <c r="N80" s="9" t="str">
        <f>IF(动作要素测量!J392="","",动作要素测量!J392)</f>
        <v/>
      </c>
      <c r="O80" s="9" t="str">
        <f>IF(COUNT(J80:N80)=0,"",SUM(J80:N80))</f>
        <v/>
      </c>
      <c r="P80" s="9" t="str">
        <f>IF(O80="","",参数设置!B7)</f>
        <v/>
      </c>
      <c r="Q80" s="7" t="str">
        <f>IF(O80="","",IF(P80="","",IF(O80&gt;P80,"超节拍",IF(O80&gt;=P80*0.9,"接近上限","正常"))))</f>
        <v/>
      </c>
    </row>
    <row r="81" spans="9:17" x14ac:dyDescent="0.25">
      <c r="I81" s="7">
        <f>IF(动作要素测量!B393&lt;&gt;"",动作要素测量!A393&amp;"-"&amp;动作要素测量!B393,动作要素测量!A393)</f>
        <v>79</v>
      </c>
      <c r="J81" s="9" t="str">
        <f>IF(动作要素测量!J393="","",动作要素测量!J393)</f>
        <v/>
      </c>
      <c r="K81" s="9" t="str">
        <f>IF(动作要素测量!J394="","",动作要素测量!J394)</f>
        <v/>
      </c>
      <c r="L81" s="9" t="str">
        <f>IF(动作要素测量!J395="","",动作要素测量!J395)</f>
        <v/>
      </c>
      <c r="M81" s="9" t="str">
        <f>IF(动作要素测量!J396="","",动作要素测量!J396)</f>
        <v/>
      </c>
      <c r="N81" s="9" t="str">
        <f>IF(动作要素测量!J397="","",动作要素测量!J397)</f>
        <v/>
      </c>
      <c r="O81" s="9" t="str">
        <f>IF(COUNT(J81:N81)=0,"",SUM(J81:N81))</f>
        <v/>
      </c>
      <c r="P81" s="9" t="str">
        <f>IF(O81="","",参数设置!B7)</f>
        <v/>
      </c>
      <c r="Q81" s="7" t="str">
        <f>IF(O81="","",IF(P81="","",IF(O81&gt;P81,"超节拍",IF(O81&gt;=P81*0.9,"接近上限","正常"))))</f>
        <v/>
      </c>
    </row>
    <row r="82" spans="9:17" x14ac:dyDescent="0.25">
      <c r="I82" s="7">
        <f>IF(动作要素测量!B398&lt;&gt;"",动作要素测量!A398&amp;"-"&amp;动作要素测量!B398,动作要素测量!A398)</f>
        <v>80</v>
      </c>
      <c r="J82" s="9" t="str">
        <f>IF(动作要素测量!J398="","",动作要素测量!J398)</f>
        <v/>
      </c>
      <c r="K82" s="9" t="str">
        <f>IF(动作要素测量!J399="","",动作要素测量!J399)</f>
        <v/>
      </c>
      <c r="L82" s="9" t="str">
        <f>IF(动作要素测量!J400="","",动作要素测量!J400)</f>
        <v/>
      </c>
      <c r="M82" s="9" t="str">
        <f>IF(动作要素测量!J401="","",动作要素测量!J401)</f>
        <v/>
      </c>
      <c r="N82" s="9" t="str">
        <f>IF(动作要素测量!J402="","",动作要素测量!J402)</f>
        <v/>
      </c>
      <c r="O82" s="9" t="str">
        <f>IF(COUNT(J82:N82)=0,"",SUM(J82:N82))</f>
        <v/>
      </c>
      <c r="P82" s="9" t="str">
        <f>IF(O82="","",参数设置!B7)</f>
        <v/>
      </c>
      <c r="Q82" s="7" t="str">
        <f>IF(O82="","",IF(P82="","",IF(O82&gt;P82,"超节拍",IF(O82&gt;=P82*0.9,"接近上限","正常"))))</f>
        <v/>
      </c>
    </row>
    <row r="83" spans="9:17" x14ac:dyDescent="0.25">
      <c r="I83" s="7">
        <f>IF(动作要素测量!B403&lt;&gt;"",动作要素测量!A403&amp;"-"&amp;动作要素测量!B403,动作要素测量!A403)</f>
        <v>81</v>
      </c>
      <c r="J83" s="9" t="str">
        <f>IF(动作要素测量!J403="","",动作要素测量!J403)</f>
        <v/>
      </c>
      <c r="K83" s="9" t="str">
        <f>IF(动作要素测量!J404="","",动作要素测量!J404)</f>
        <v/>
      </c>
      <c r="L83" s="9" t="str">
        <f>IF(动作要素测量!J405="","",动作要素测量!J405)</f>
        <v/>
      </c>
      <c r="M83" s="9" t="str">
        <f>IF(动作要素测量!J406="","",动作要素测量!J406)</f>
        <v/>
      </c>
      <c r="N83" s="9" t="str">
        <f>IF(动作要素测量!J407="","",动作要素测量!J407)</f>
        <v/>
      </c>
      <c r="O83" s="9" t="str">
        <f>IF(COUNT(J83:N83)=0,"",SUM(J83:N83))</f>
        <v/>
      </c>
      <c r="P83" s="9" t="str">
        <f>IF(O83="","",参数设置!B7)</f>
        <v/>
      </c>
      <c r="Q83" s="7" t="str">
        <f>IF(O83="","",IF(P83="","",IF(O83&gt;P83,"超节拍",IF(O83&gt;=P83*0.9,"接近上限","正常"))))</f>
        <v/>
      </c>
    </row>
    <row r="84" spans="9:17" x14ac:dyDescent="0.25">
      <c r="I84" s="7">
        <f>IF(动作要素测量!B408&lt;&gt;"",动作要素测量!A408&amp;"-"&amp;动作要素测量!B408,动作要素测量!A408)</f>
        <v>82</v>
      </c>
      <c r="J84" s="9" t="str">
        <f>IF(动作要素测量!J408="","",动作要素测量!J408)</f>
        <v/>
      </c>
      <c r="K84" s="9" t="str">
        <f>IF(动作要素测量!J409="","",动作要素测量!J409)</f>
        <v/>
      </c>
      <c r="L84" s="9" t="str">
        <f>IF(动作要素测量!J410="","",动作要素测量!J410)</f>
        <v/>
      </c>
      <c r="M84" s="9" t="str">
        <f>IF(动作要素测量!J411="","",动作要素测量!J411)</f>
        <v/>
      </c>
      <c r="N84" s="9" t="str">
        <f>IF(动作要素测量!J412="","",动作要素测量!J412)</f>
        <v/>
      </c>
      <c r="O84" s="9" t="str">
        <f>IF(COUNT(J84:N84)=0,"",SUM(J84:N84))</f>
        <v/>
      </c>
      <c r="P84" s="9" t="str">
        <f>IF(O84="","",参数设置!B7)</f>
        <v/>
      </c>
      <c r="Q84" s="7" t="str">
        <f>IF(O84="","",IF(P84="","",IF(O84&gt;P84,"超节拍",IF(O84&gt;=P84*0.9,"接近上限","正常"))))</f>
        <v/>
      </c>
    </row>
    <row r="85" spans="9:17" x14ac:dyDescent="0.25">
      <c r="I85" s="7">
        <f>IF(动作要素测量!B413&lt;&gt;"",动作要素测量!A413&amp;"-"&amp;动作要素测量!B413,动作要素测量!A413)</f>
        <v>83</v>
      </c>
      <c r="J85" s="9" t="str">
        <f>IF(动作要素测量!J413="","",动作要素测量!J413)</f>
        <v/>
      </c>
      <c r="K85" s="9" t="str">
        <f>IF(动作要素测量!J414="","",动作要素测量!J414)</f>
        <v/>
      </c>
      <c r="L85" s="9" t="str">
        <f>IF(动作要素测量!J415="","",动作要素测量!J415)</f>
        <v/>
      </c>
      <c r="M85" s="9" t="str">
        <f>IF(动作要素测量!J416="","",动作要素测量!J416)</f>
        <v/>
      </c>
      <c r="N85" s="9" t="str">
        <f>IF(动作要素测量!J417="","",动作要素测量!J417)</f>
        <v/>
      </c>
      <c r="O85" s="9" t="str">
        <f>IF(COUNT(J85:N85)=0,"",SUM(J85:N85))</f>
        <v/>
      </c>
      <c r="P85" s="9" t="str">
        <f>IF(O85="","",参数设置!B7)</f>
        <v/>
      </c>
      <c r="Q85" s="7" t="str">
        <f>IF(O85="","",IF(P85="","",IF(O85&gt;P85,"超节拍",IF(O85&gt;=P85*0.9,"接近上限","正常"))))</f>
        <v/>
      </c>
    </row>
    <row r="86" spans="9:17" x14ac:dyDescent="0.25">
      <c r="I86" s="7">
        <f>IF(动作要素测量!B418&lt;&gt;"",动作要素测量!A418&amp;"-"&amp;动作要素测量!B418,动作要素测量!A418)</f>
        <v>84</v>
      </c>
      <c r="J86" s="9" t="str">
        <f>IF(动作要素测量!J418="","",动作要素测量!J418)</f>
        <v/>
      </c>
      <c r="K86" s="9" t="str">
        <f>IF(动作要素测量!J419="","",动作要素测量!J419)</f>
        <v/>
      </c>
      <c r="L86" s="9" t="str">
        <f>IF(动作要素测量!J420="","",动作要素测量!J420)</f>
        <v/>
      </c>
      <c r="M86" s="9" t="str">
        <f>IF(动作要素测量!J421="","",动作要素测量!J421)</f>
        <v/>
      </c>
      <c r="N86" s="9" t="str">
        <f>IF(动作要素测量!J422="","",动作要素测量!J422)</f>
        <v/>
      </c>
      <c r="O86" s="9" t="str">
        <f>IF(COUNT(J86:N86)=0,"",SUM(J86:N86))</f>
        <v/>
      </c>
      <c r="P86" s="9" t="str">
        <f>IF(O86="","",参数设置!B7)</f>
        <v/>
      </c>
      <c r="Q86" s="7" t="str">
        <f>IF(O86="","",IF(P86="","",IF(O86&gt;P86,"超节拍",IF(O86&gt;=P86*0.9,"接近上限","正常"))))</f>
        <v/>
      </c>
    </row>
    <row r="87" spans="9:17" x14ac:dyDescent="0.25">
      <c r="I87" s="7">
        <f>IF(动作要素测量!B423&lt;&gt;"",动作要素测量!A423&amp;"-"&amp;动作要素测量!B423,动作要素测量!A423)</f>
        <v>85</v>
      </c>
      <c r="J87" s="9" t="str">
        <f>IF(动作要素测量!J423="","",动作要素测量!J423)</f>
        <v/>
      </c>
      <c r="K87" s="9" t="str">
        <f>IF(动作要素测量!J424="","",动作要素测量!J424)</f>
        <v/>
      </c>
      <c r="L87" s="9" t="str">
        <f>IF(动作要素测量!J425="","",动作要素测量!J425)</f>
        <v/>
      </c>
      <c r="M87" s="9" t="str">
        <f>IF(动作要素测量!J426="","",动作要素测量!J426)</f>
        <v/>
      </c>
      <c r="N87" s="9" t="str">
        <f>IF(动作要素测量!J427="","",动作要素测量!J427)</f>
        <v/>
      </c>
      <c r="O87" s="9" t="str">
        <f>IF(COUNT(J87:N87)=0,"",SUM(J87:N87))</f>
        <v/>
      </c>
      <c r="P87" s="9" t="str">
        <f>IF(O87="","",参数设置!B7)</f>
        <v/>
      </c>
      <c r="Q87" s="7" t="str">
        <f>IF(O87="","",IF(P87="","",IF(O87&gt;P87,"超节拍",IF(O87&gt;=P87*0.9,"接近上限","正常"))))</f>
        <v/>
      </c>
    </row>
    <row r="88" spans="9:17" x14ac:dyDescent="0.25">
      <c r="I88" s="7">
        <f>IF(动作要素测量!B428&lt;&gt;"",动作要素测量!A428&amp;"-"&amp;动作要素测量!B428,动作要素测量!A428)</f>
        <v>86</v>
      </c>
      <c r="J88" s="9" t="str">
        <f>IF(动作要素测量!J428="","",动作要素测量!J428)</f>
        <v/>
      </c>
      <c r="K88" s="9" t="str">
        <f>IF(动作要素测量!J429="","",动作要素测量!J429)</f>
        <v/>
      </c>
      <c r="L88" s="9" t="str">
        <f>IF(动作要素测量!J430="","",动作要素测量!J430)</f>
        <v/>
      </c>
      <c r="M88" s="9" t="str">
        <f>IF(动作要素测量!J431="","",动作要素测量!J431)</f>
        <v/>
      </c>
      <c r="N88" s="9" t="str">
        <f>IF(动作要素测量!J432="","",动作要素测量!J432)</f>
        <v/>
      </c>
      <c r="O88" s="9" t="str">
        <f>IF(COUNT(J88:N88)=0,"",SUM(J88:N88))</f>
        <v/>
      </c>
      <c r="P88" s="9" t="str">
        <f>IF(O88="","",参数设置!B7)</f>
        <v/>
      </c>
      <c r="Q88" s="7" t="str">
        <f>IF(O88="","",IF(P88="","",IF(O88&gt;P88,"超节拍",IF(O88&gt;=P88*0.9,"接近上限","正常"))))</f>
        <v/>
      </c>
    </row>
    <row r="89" spans="9:17" x14ac:dyDescent="0.25">
      <c r="I89" s="7">
        <f>IF(动作要素测量!B433&lt;&gt;"",动作要素测量!A433&amp;"-"&amp;动作要素测量!B433,动作要素测量!A433)</f>
        <v>87</v>
      </c>
      <c r="J89" s="9" t="str">
        <f>IF(动作要素测量!J433="","",动作要素测量!J433)</f>
        <v/>
      </c>
      <c r="K89" s="9" t="str">
        <f>IF(动作要素测量!J434="","",动作要素测量!J434)</f>
        <v/>
      </c>
      <c r="L89" s="9" t="str">
        <f>IF(动作要素测量!J435="","",动作要素测量!J435)</f>
        <v/>
      </c>
      <c r="M89" s="9" t="str">
        <f>IF(动作要素测量!J436="","",动作要素测量!J436)</f>
        <v/>
      </c>
      <c r="N89" s="9" t="str">
        <f>IF(动作要素测量!J437="","",动作要素测量!J437)</f>
        <v/>
      </c>
      <c r="O89" s="9" t="str">
        <f>IF(COUNT(J89:N89)=0,"",SUM(J89:N89))</f>
        <v/>
      </c>
      <c r="P89" s="9" t="str">
        <f>IF(O89="","",参数设置!B7)</f>
        <v/>
      </c>
      <c r="Q89" s="7" t="str">
        <f>IF(O89="","",IF(P89="","",IF(O89&gt;P89,"超节拍",IF(O89&gt;=P89*0.9,"接近上限","正常"))))</f>
        <v/>
      </c>
    </row>
    <row r="90" spans="9:17" x14ac:dyDescent="0.25">
      <c r="I90" s="7">
        <f>IF(动作要素测量!B438&lt;&gt;"",动作要素测量!A438&amp;"-"&amp;动作要素测量!B438,动作要素测量!A438)</f>
        <v>88</v>
      </c>
      <c r="J90" s="9" t="str">
        <f>IF(动作要素测量!J438="","",动作要素测量!J438)</f>
        <v/>
      </c>
      <c r="K90" s="9" t="str">
        <f>IF(动作要素测量!J439="","",动作要素测量!J439)</f>
        <v/>
      </c>
      <c r="L90" s="9" t="str">
        <f>IF(动作要素测量!J440="","",动作要素测量!J440)</f>
        <v/>
      </c>
      <c r="M90" s="9" t="str">
        <f>IF(动作要素测量!J441="","",动作要素测量!J441)</f>
        <v/>
      </c>
      <c r="N90" s="9" t="str">
        <f>IF(动作要素测量!J442="","",动作要素测量!J442)</f>
        <v/>
      </c>
      <c r="O90" s="9" t="str">
        <f>IF(COUNT(J90:N90)=0,"",SUM(J90:N90))</f>
        <v/>
      </c>
      <c r="P90" s="9" t="str">
        <f>IF(O90="","",参数设置!B7)</f>
        <v/>
      </c>
      <c r="Q90" s="7" t="str">
        <f>IF(O90="","",IF(P90="","",IF(O90&gt;P90,"超节拍",IF(O90&gt;=P90*0.9,"接近上限","正常"))))</f>
        <v/>
      </c>
    </row>
    <row r="91" spans="9:17" x14ac:dyDescent="0.25">
      <c r="I91" s="7">
        <f>IF(动作要素测量!B443&lt;&gt;"",动作要素测量!A443&amp;"-"&amp;动作要素测量!B443,动作要素测量!A443)</f>
        <v>89</v>
      </c>
      <c r="J91" s="9" t="str">
        <f>IF(动作要素测量!J443="","",动作要素测量!J443)</f>
        <v/>
      </c>
      <c r="K91" s="9" t="str">
        <f>IF(动作要素测量!J444="","",动作要素测量!J444)</f>
        <v/>
      </c>
      <c r="L91" s="9" t="str">
        <f>IF(动作要素测量!J445="","",动作要素测量!J445)</f>
        <v/>
      </c>
      <c r="M91" s="9" t="str">
        <f>IF(动作要素测量!J446="","",动作要素测量!J446)</f>
        <v/>
      </c>
      <c r="N91" s="9" t="str">
        <f>IF(动作要素测量!J447="","",动作要素测量!J447)</f>
        <v/>
      </c>
      <c r="O91" s="9" t="str">
        <f>IF(COUNT(J91:N91)=0,"",SUM(J91:N91))</f>
        <v/>
      </c>
      <c r="P91" s="9" t="str">
        <f>IF(O91="","",参数设置!B7)</f>
        <v/>
      </c>
      <c r="Q91" s="7" t="str">
        <f>IF(O91="","",IF(P91="","",IF(O91&gt;P91,"超节拍",IF(O91&gt;=P91*0.9,"接近上限","正常"))))</f>
        <v/>
      </c>
    </row>
    <row r="92" spans="9:17" x14ac:dyDescent="0.25">
      <c r="I92" s="7">
        <f>IF(动作要素测量!B448&lt;&gt;"",动作要素测量!A448&amp;"-"&amp;动作要素测量!B448,动作要素测量!A448)</f>
        <v>90</v>
      </c>
      <c r="J92" s="9" t="str">
        <f>IF(动作要素测量!J448="","",动作要素测量!J448)</f>
        <v/>
      </c>
      <c r="K92" s="9" t="str">
        <f>IF(动作要素测量!J449="","",动作要素测量!J449)</f>
        <v/>
      </c>
      <c r="L92" s="9" t="str">
        <f>IF(动作要素测量!J450="","",动作要素测量!J450)</f>
        <v/>
      </c>
      <c r="M92" s="9" t="str">
        <f>IF(动作要素测量!J451="","",动作要素测量!J451)</f>
        <v/>
      </c>
      <c r="N92" s="9" t="str">
        <f>IF(动作要素测量!J452="","",动作要素测量!J452)</f>
        <v/>
      </c>
      <c r="O92" s="9" t="str">
        <f>IF(COUNT(J92:N92)=0,"",SUM(J92:N92))</f>
        <v/>
      </c>
      <c r="P92" s="9" t="str">
        <f>IF(O92="","",参数设置!B7)</f>
        <v/>
      </c>
      <c r="Q92" s="7" t="str">
        <f>IF(O92="","",IF(P92="","",IF(O92&gt;P92,"超节拍",IF(O92&gt;=P92*0.9,"接近上限","正常"))))</f>
        <v/>
      </c>
    </row>
    <row r="93" spans="9:17" x14ac:dyDescent="0.25">
      <c r="I93" s="7">
        <f>IF(动作要素测量!B453&lt;&gt;"",动作要素测量!A453&amp;"-"&amp;动作要素测量!B453,动作要素测量!A453)</f>
        <v>91</v>
      </c>
      <c r="J93" s="9" t="str">
        <f>IF(动作要素测量!J453="","",动作要素测量!J453)</f>
        <v/>
      </c>
      <c r="K93" s="9" t="str">
        <f>IF(动作要素测量!J454="","",动作要素测量!J454)</f>
        <v/>
      </c>
      <c r="L93" s="9" t="str">
        <f>IF(动作要素测量!J455="","",动作要素测量!J455)</f>
        <v/>
      </c>
      <c r="M93" s="9" t="str">
        <f>IF(动作要素测量!J456="","",动作要素测量!J456)</f>
        <v/>
      </c>
      <c r="N93" s="9" t="str">
        <f>IF(动作要素测量!J457="","",动作要素测量!J457)</f>
        <v/>
      </c>
      <c r="O93" s="9" t="str">
        <f>IF(COUNT(J93:N93)=0,"",SUM(J93:N93))</f>
        <v/>
      </c>
      <c r="P93" s="9" t="str">
        <f>IF(O93="","",参数设置!B7)</f>
        <v/>
      </c>
      <c r="Q93" s="7" t="str">
        <f>IF(O93="","",IF(P93="","",IF(O93&gt;P93,"超节拍",IF(O93&gt;=P93*0.9,"接近上限","正常"))))</f>
        <v/>
      </c>
    </row>
    <row r="94" spans="9:17" x14ac:dyDescent="0.25">
      <c r="I94" s="7">
        <f>IF(动作要素测量!B458&lt;&gt;"",动作要素测量!A458&amp;"-"&amp;动作要素测量!B458,动作要素测量!A458)</f>
        <v>92</v>
      </c>
      <c r="J94" s="9" t="str">
        <f>IF(动作要素测量!J458="","",动作要素测量!J458)</f>
        <v/>
      </c>
      <c r="K94" s="9" t="str">
        <f>IF(动作要素测量!J459="","",动作要素测量!J459)</f>
        <v/>
      </c>
      <c r="L94" s="9" t="str">
        <f>IF(动作要素测量!J460="","",动作要素测量!J460)</f>
        <v/>
      </c>
      <c r="M94" s="9" t="str">
        <f>IF(动作要素测量!J461="","",动作要素测量!J461)</f>
        <v/>
      </c>
      <c r="N94" s="9" t="str">
        <f>IF(动作要素测量!J462="","",动作要素测量!J462)</f>
        <v/>
      </c>
      <c r="O94" s="9" t="str">
        <f>IF(COUNT(J94:N94)=0,"",SUM(J94:N94))</f>
        <v/>
      </c>
      <c r="P94" s="9" t="str">
        <f>IF(O94="","",参数设置!B7)</f>
        <v/>
      </c>
      <c r="Q94" s="7" t="str">
        <f>IF(O94="","",IF(P94="","",IF(O94&gt;P94,"超节拍",IF(O94&gt;=P94*0.9,"接近上限","正常"))))</f>
        <v/>
      </c>
    </row>
    <row r="95" spans="9:17" x14ac:dyDescent="0.25">
      <c r="I95" s="7">
        <f>IF(动作要素测量!B463&lt;&gt;"",动作要素测量!A463&amp;"-"&amp;动作要素测量!B463,动作要素测量!A463)</f>
        <v>93</v>
      </c>
      <c r="J95" s="9" t="str">
        <f>IF(动作要素测量!J463="","",动作要素测量!J463)</f>
        <v/>
      </c>
      <c r="K95" s="9" t="str">
        <f>IF(动作要素测量!J464="","",动作要素测量!J464)</f>
        <v/>
      </c>
      <c r="L95" s="9" t="str">
        <f>IF(动作要素测量!J465="","",动作要素测量!J465)</f>
        <v/>
      </c>
      <c r="M95" s="9" t="str">
        <f>IF(动作要素测量!J466="","",动作要素测量!J466)</f>
        <v/>
      </c>
      <c r="N95" s="9" t="str">
        <f>IF(动作要素测量!J467="","",动作要素测量!J467)</f>
        <v/>
      </c>
      <c r="O95" s="9" t="str">
        <f>IF(COUNT(J95:N95)=0,"",SUM(J95:N95))</f>
        <v/>
      </c>
      <c r="P95" s="9" t="str">
        <f>IF(O95="","",参数设置!B7)</f>
        <v/>
      </c>
      <c r="Q95" s="7" t="str">
        <f>IF(O95="","",IF(P95="","",IF(O95&gt;P95,"超节拍",IF(O95&gt;=P95*0.9,"接近上限","正常"))))</f>
        <v/>
      </c>
    </row>
    <row r="96" spans="9:17" x14ac:dyDescent="0.25">
      <c r="I96" s="7">
        <f>IF(动作要素测量!B468&lt;&gt;"",动作要素测量!A468&amp;"-"&amp;动作要素测量!B468,动作要素测量!A468)</f>
        <v>94</v>
      </c>
      <c r="J96" s="9" t="str">
        <f>IF(动作要素测量!J468="","",动作要素测量!J468)</f>
        <v/>
      </c>
      <c r="K96" s="9" t="str">
        <f>IF(动作要素测量!J469="","",动作要素测量!J469)</f>
        <v/>
      </c>
      <c r="L96" s="9" t="str">
        <f>IF(动作要素测量!J470="","",动作要素测量!J470)</f>
        <v/>
      </c>
      <c r="M96" s="9" t="str">
        <f>IF(动作要素测量!J471="","",动作要素测量!J471)</f>
        <v/>
      </c>
      <c r="N96" s="9" t="str">
        <f>IF(动作要素测量!J472="","",动作要素测量!J472)</f>
        <v/>
      </c>
      <c r="O96" s="9" t="str">
        <f>IF(COUNT(J96:N96)=0,"",SUM(J96:N96))</f>
        <v/>
      </c>
      <c r="P96" s="9" t="str">
        <f>IF(O96="","",参数设置!B7)</f>
        <v/>
      </c>
      <c r="Q96" s="7" t="str">
        <f>IF(O96="","",IF(P96="","",IF(O96&gt;P96,"超节拍",IF(O96&gt;=P96*0.9,"接近上限","正常"))))</f>
        <v/>
      </c>
    </row>
    <row r="97" spans="9:17" x14ac:dyDescent="0.25">
      <c r="I97" s="7">
        <f>IF(动作要素测量!B473&lt;&gt;"",动作要素测量!A473&amp;"-"&amp;动作要素测量!B473,动作要素测量!A473)</f>
        <v>95</v>
      </c>
      <c r="J97" s="9" t="str">
        <f>IF(动作要素测量!J473="","",动作要素测量!J473)</f>
        <v/>
      </c>
      <c r="K97" s="9" t="str">
        <f>IF(动作要素测量!J474="","",动作要素测量!J474)</f>
        <v/>
      </c>
      <c r="L97" s="9" t="str">
        <f>IF(动作要素测量!J475="","",动作要素测量!J475)</f>
        <v/>
      </c>
      <c r="M97" s="9" t="str">
        <f>IF(动作要素测量!J476="","",动作要素测量!J476)</f>
        <v/>
      </c>
      <c r="N97" s="9" t="str">
        <f>IF(动作要素测量!J477="","",动作要素测量!J477)</f>
        <v/>
      </c>
      <c r="O97" s="9" t="str">
        <f>IF(COUNT(J97:N97)=0,"",SUM(J97:N97))</f>
        <v/>
      </c>
      <c r="P97" s="9" t="str">
        <f>IF(O97="","",参数设置!B7)</f>
        <v/>
      </c>
      <c r="Q97" s="7" t="str">
        <f>IF(O97="","",IF(P97="","",IF(O97&gt;P97,"超节拍",IF(O97&gt;=P97*0.9,"接近上限","正常"))))</f>
        <v/>
      </c>
    </row>
    <row r="98" spans="9:17" x14ac:dyDescent="0.25">
      <c r="I98" s="7">
        <f>IF(动作要素测量!B478&lt;&gt;"",动作要素测量!A478&amp;"-"&amp;动作要素测量!B478,动作要素测量!A478)</f>
        <v>96</v>
      </c>
      <c r="J98" s="9" t="str">
        <f>IF(动作要素测量!J478="","",动作要素测量!J478)</f>
        <v/>
      </c>
      <c r="K98" s="9" t="str">
        <f>IF(动作要素测量!J479="","",动作要素测量!J479)</f>
        <v/>
      </c>
      <c r="L98" s="9" t="str">
        <f>IF(动作要素测量!J480="","",动作要素测量!J480)</f>
        <v/>
      </c>
      <c r="M98" s="9" t="str">
        <f>IF(动作要素测量!J481="","",动作要素测量!J481)</f>
        <v/>
      </c>
      <c r="N98" s="9" t="str">
        <f>IF(动作要素测量!J482="","",动作要素测量!J482)</f>
        <v/>
      </c>
      <c r="O98" s="9" t="str">
        <f>IF(COUNT(J98:N98)=0,"",SUM(J98:N98))</f>
        <v/>
      </c>
      <c r="P98" s="9" t="str">
        <f>IF(O98="","",参数设置!B7)</f>
        <v/>
      </c>
      <c r="Q98" s="7" t="str">
        <f>IF(O98="","",IF(P98="","",IF(O98&gt;P98,"超节拍",IF(O98&gt;=P98*0.9,"接近上限","正常"))))</f>
        <v/>
      </c>
    </row>
    <row r="99" spans="9:17" x14ac:dyDescent="0.25">
      <c r="I99" s="7">
        <f>IF(动作要素测量!B483&lt;&gt;"",动作要素测量!A483&amp;"-"&amp;动作要素测量!B483,动作要素测量!A483)</f>
        <v>97</v>
      </c>
      <c r="J99" s="9" t="str">
        <f>IF(动作要素测量!J483="","",动作要素测量!J483)</f>
        <v/>
      </c>
      <c r="K99" s="9" t="str">
        <f>IF(动作要素测量!J484="","",动作要素测量!J484)</f>
        <v/>
      </c>
      <c r="L99" s="9" t="str">
        <f>IF(动作要素测量!J485="","",动作要素测量!J485)</f>
        <v/>
      </c>
      <c r="M99" s="9" t="str">
        <f>IF(动作要素测量!J486="","",动作要素测量!J486)</f>
        <v/>
      </c>
      <c r="N99" s="9" t="str">
        <f>IF(动作要素测量!J487="","",动作要素测量!J487)</f>
        <v/>
      </c>
      <c r="O99" s="9" t="str">
        <f>IF(COUNT(J99:N99)=0,"",SUM(J99:N99))</f>
        <v/>
      </c>
      <c r="P99" s="9" t="str">
        <f>IF(O99="","",参数设置!B7)</f>
        <v/>
      </c>
      <c r="Q99" s="7" t="str">
        <f>IF(O99="","",IF(P99="","",IF(O99&gt;P99,"超节拍",IF(O99&gt;=P99*0.9,"接近上限","正常"))))</f>
        <v/>
      </c>
    </row>
    <row r="100" spans="9:17" x14ac:dyDescent="0.25">
      <c r="I100" s="7">
        <f>IF(动作要素测量!B488&lt;&gt;"",动作要素测量!A488&amp;"-"&amp;动作要素测量!B488,动作要素测量!A488)</f>
        <v>98</v>
      </c>
      <c r="J100" s="9" t="str">
        <f>IF(动作要素测量!J488="","",动作要素测量!J488)</f>
        <v/>
      </c>
      <c r="K100" s="9" t="str">
        <f>IF(动作要素测量!J489="","",动作要素测量!J489)</f>
        <v/>
      </c>
      <c r="L100" s="9" t="str">
        <f>IF(动作要素测量!J490="","",动作要素测量!J490)</f>
        <v/>
      </c>
      <c r="M100" s="9" t="str">
        <f>IF(动作要素测量!J491="","",动作要素测量!J491)</f>
        <v/>
      </c>
      <c r="N100" s="9" t="str">
        <f>IF(动作要素测量!J492="","",动作要素测量!J492)</f>
        <v/>
      </c>
      <c r="O100" s="9" t="str">
        <f>IF(COUNT(J100:N100)=0,"",SUM(J100:N100))</f>
        <v/>
      </c>
      <c r="P100" s="9" t="str">
        <f>IF(O100="","",参数设置!B7)</f>
        <v/>
      </c>
      <c r="Q100" s="7" t="str">
        <f>IF(O100="","",IF(P100="","",IF(O100&gt;P100,"超节拍",IF(O100&gt;=P100*0.9,"接近上限","正常"))))</f>
        <v/>
      </c>
    </row>
    <row r="101" spans="9:17" x14ac:dyDescent="0.25">
      <c r="I101" s="7">
        <f>IF(动作要素测量!B493&lt;&gt;"",动作要素测量!A493&amp;"-"&amp;动作要素测量!B493,动作要素测量!A493)</f>
        <v>99</v>
      </c>
      <c r="J101" s="9" t="str">
        <f>IF(动作要素测量!J493="","",动作要素测量!J493)</f>
        <v/>
      </c>
      <c r="K101" s="9" t="str">
        <f>IF(动作要素测量!J494="","",动作要素测量!J494)</f>
        <v/>
      </c>
      <c r="L101" s="9" t="str">
        <f>IF(动作要素测量!J495="","",动作要素测量!J495)</f>
        <v/>
      </c>
      <c r="M101" s="9" t="str">
        <f>IF(动作要素测量!J496="","",动作要素测量!J496)</f>
        <v/>
      </c>
      <c r="N101" s="9" t="str">
        <f>IF(动作要素测量!J497="","",动作要素测量!J497)</f>
        <v/>
      </c>
      <c r="O101" s="9" t="str">
        <f>IF(COUNT(J101:N101)=0,"",SUM(J101:N101))</f>
        <v/>
      </c>
      <c r="P101" s="9" t="str">
        <f>IF(O101="","",参数设置!B7)</f>
        <v/>
      </c>
      <c r="Q101" s="7" t="str">
        <f>IF(O101="","",IF(P101="","",IF(O101&gt;P101,"超节拍",IF(O101&gt;=P101*0.9,"接近上限","正常"))))</f>
        <v/>
      </c>
    </row>
    <row r="102" spans="9:17" x14ac:dyDescent="0.25">
      <c r="I102" s="7">
        <f>IF(动作要素测量!B498&lt;&gt;"",动作要素测量!A498&amp;"-"&amp;动作要素测量!B498,动作要素测量!A498)</f>
        <v>100</v>
      </c>
      <c r="J102" s="9" t="str">
        <f>IF(动作要素测量!J498="","",动作要素测量!J498)</f>
        <v/>
      </c>
      <c r="K102" s="9" t="str">
        <f>IF(动作要素测量!J499="","",动作要素测量!J499)</f>
        <v/>
      </c>
      <c r="L102" s="9" t="str">
        <f>IF(动作要素测量!J500="","",动作要素测量!J500)</f>
        <v/>
      </c>
      <c r="M102" s="9" t="str">
        <f>IF(动作要素测量!J501="","",动作要素测量!J501)</f>
        <v/>
      </c>
      <c r="N102" s="9" t="str">
        <f>IF(动作要素测量!J502="","",动作要素测量!J502)</f>
        <v/>
      </c>
      <c r="O102" s="9" t="str">
        <f>IF(COUNT(J102:N102)=0,"",SUM(J102:N102))</f>
        <v/>
      </c>
      <c r="P102" s="9" t="str">
        <f>IF(O102="","",参数设置!B7)</f>
        <v/>
      </c>
      <c r="Q102" s="7" t="str">
        <f>IF(O102="","",IF(P102="","",IF(O102&gt;P102,"超节拍",IF(O102&gt;=P102*0.9,"接近上限","正常"))))</f>
        <v/>
      </c>
    </row>
    <row r="103" spans="9:17" x14ac:dyDescent="0.25">
      <c r="I103" s="7">
        <f>IF(动作要素测量!B503&lt;&gt;"",动作要素测量!A503&amp;"-"&amp;动作要素测量!B503,动作要素测量!A503)</f>
        <v>101</v>
      </c>
      <c r="J103" s="9" t="str">
        <f>IF(动作要素测量!J503="","",动作要素测量!J503)</f>
        <v/>
      </c>
      <c r="K103" s="9" t="str">
        <f>IF(动作要素测量!J504="","",动作要素测量!J504)</f>
        <v/>
      </c>
      <c r="L103" s="9" t="str">
        <f>IF(动作要素测量!J505="","",动作要素测量!J505)</f>
        <v/>
      </c>
      <c r="M103" s="9" t="str">
        <f>IF(动作要素测量!J506="","",动作要素测量!J506)</f>
        <v/>
      </c>
      <c r="N103" s="9" t="str">
        <f>IF(动作要素测量!J507="","",动作要素测量!J507)</f>
        <v/>
      </c>
      <c r="O103" s="9" t="str">
        <f>IF(COUNT(J103:N103)=0,"",SUM(J103:N103))</f>
        <v/>
      </c>
      <c r="P103" s="9" t="str">
        <f>IF(O103="","",参数设置!B7)</f>
        <v/>
      </c>
      <c r="Q103" s="7" t="str">
        <f>IF(O103="","",IF(P103="","",IF(O103&gt;P103,"超节拍",IF(O103&gt;=P103*0.9,"接近上限","正常"))))</f>
        <v/>
      </c>
    </row>
    <row r="104" spans="9:17" x14ac:dyDescent="0.25">
      <c r="I104" s="7">
        <f>IF(动作要素测量!B508&lt;&gt;"",动作要素测量!A508&amp;"-"&amp;动作要素测量!B508,动作要素测量!A508)</f>
        <v>102</v>
      </c>
      <c r="J104" s="9" t="str">
        <f>IF(动作要素测量!J508="","",动作要素测量!J508)</f>
        <v/>
      </c>
      <c r="K104" s="9" t="str">
        <f>IF(动作要素测量!J509="","",动作要素测量!J509)</f>
        <v/>
      </c>
      <c r="L104" s="9" t="str">
        <f>IF(动作要素测量!J510="","",动作要素测量!J510)</f>
        <v/>
      </c>
      <c r="M104" s="9" t="str">
        <f>IF(动作要素测量!J511="","",动作要素测量!J511)</f>
        <v/>
      </c>
      <c r="N104" s="9" t="str">
        <f>IF(动作要素测量!J512="","",动作要素测量!J512)</f>
        <v/>
      </c>
      <c r="O104" s="9" t="str">
        <f>IF(COUNT(J104:N104)=0,"",SUM(J104:N104))</f>
        <v/>
      </c>
      <c r="P104" s="9" t="str">
        <f>IF(O104="","",参数设置!B7)</f>
        <v/>
      </c>
      <c r="Q104" s="7" t="str">
        <f>IF(O104="","",IF(P104="","",IF(O104&gt;P104,"超节拍",IF(O104&gt;=P104*0.9,"接近上限","正常"))))</f>
        <v/>
      </c>
    </row>
    <row r="105" spans="9:17" x14ac:dyDescent="0.25">
      <c r="I105" s="7">
        <f>IF(动作要素测量!B513&lt;&gt;"",动作要素测量!A513&amp;"-"&amp;动作要素测量!B513,动作要素测量!A513)</f>
        <v>103</v>
      </c>
      <c r="J105" s="9" t="str">
        <f>IF(动作要素测量!J513="","",动作要素测量!J513)</f>
        <v/>
      </c>
      <c r="K105" s="9" t="str">
        <f>IF(动作要素测量!J514="","",动作要素测量!J514)</f>
        <v/>
      </c>
      <c r="L105" s="9" t="str">
        <f>IF(动作要素测量!J515="","",动作要素测量!J515)</f>
        <v/>
      </c>
      <c r="M105" s="9" t="str">
        <f>IF(动作要素测量!J516="","",动作要素测量!J516)</f>
        <v/>
      </c>
      <c r="N105" s="9" t="str">
        <f>IF(动作要素测量!J517="","",动作要素测量!J517)</f>
        <v/>
      </c>
      <c r="O105" s="9" t="str">
        <f>IF(COUNT(J105:N105)=0,"",SUM(J105:N105))</f>
        <v/>
      </c>
      <c r="P105" s="9" t="str">
        <f>IF(O105="","",参数设置!B7)</f>
        <v/>
      </c>
      <c r="Q105" s="7" t="str">
        <f>IF(O105="","",IF(P105="","",IF(O105&gt;P105,"超节拍",IF(O105&gt;=P105*0.9,"接近上限","正常"))))</f>
        <v/>
      </c>
    </row>
    <row r="106" spans="9:17" x14ac:dyDescent="0.25">
      <c r="I106" s="7">
        <f>IF(动作要素测量!B518&lt;&gt;"",动作要素测量!A518&amp;"-"&amp;动作要素测量!B518,动作要素测量!A518)</f>
        <v>104</v>
      </c>
      <c r="J106" s="9" t="str">
        <f>IF(动作要素测量!J518="","",动作要素测量!J518)</f>
        <v/>
      </c>
      <c r="K106" s="9" t="str">
        <f>IF(动作要素测量!J519="","",动作要素测量!J519)</f>
        <v/>
      </c>
      <c r="L106" s="9" t="str">
        <f>IF(动作要素测量!J520="","",动作要素测量!J520)</f>
        <v/>
      </c>
      <c r="M106" s="9" t="str">
        <f>IF(动作要素测量!J521="","",动作要素测量!J521)</f>
        <v/>
      </c>
      <c r="N106" s="9" t="str">
        <f>IF(动作要素测量!J522="","",动作要素测量!J522)</f>
        <v/>
      </c>
      <c r="O106" s="9" t="str">
        <f>IF(COUNT(J106:N106)=0,"",SUM(J106:N106))</f>
        <v/>
      </c>
      <c r="P106" s="9" t="str">
        <f>IF(O106="","",参数设置!B7)</f>
        <v/>
      </c>
      <c r="Q106" s="7" t="str">
        <f>IF(O106="","",IF(P106="","",IF(O106&gt;P106,"超节拍",IF(O106&gt;=P106*0.9,"接近上限","正常"))))</f>
        <v/>
      </c>
    </row>
    <row r="107" spans="9:17" x14ac:dyDescent="0.25">
      <c r="I107" s="7">
        <f>IF(动作要素测量!B523&lt;&gt;"",动作要素测量!A523&amp;"-"&amp;动作要素测量!B523,动作要素测量!A523)</f>
        <v>105</v>
      </c>
      <c r="J107" s="9" t="str">
        <f>IF(动作要素测量!J523="","",动作要素测量!J523)</f>
        <v/>
      </c>
      <c r="K107" s="9" t="str">
        <f>IF(动作要素测量!J524="","",动作要素测量!J524)</f>
        <v/>
      </c>
      <c r="L107" s="9" t="str">
        <f>IF(动作要素测量!J525="","",动作要素测量!J525)</f>
        <v/>
      </c>
      <c r="M107" s="9" t="str">
        <f>IF(动作要素测量!J526="","",动作要素测量!J526)</f>
        <v/>
      </c>
      <c r="N107" s="9" t="str">
        <f>IF(动作要素测量!J527="","",动作要素测量!J527)</f>
        <v/>
      </c>
      <c r="O107" s="9" t="str">
        <f>IF(COUNT(J107:N107)=0,"",SUM(J107:N107))</f>
        <v/>
      </c>
      <c r="P107" s="9" t="str">
        <f>IF(O107="","",参数设置!B7)</f>
        <v/>
      </c>
      <c r="Q107" s="7" t="str">
        <f>IF(O107="","",IF(P107="","",IF(O107&gt;P107,"超节拍",IF(O107&gt;=P107*0.9,"接近上限","正常"))))</f>
        <v/>
      </c>
    </row>
    <row r="108" spans="9:17" x14ac:dyDescent="0.25">
      <c r="I108" s="7">
        <f>IF(动作要素测量!B528&lt;&gt;"",动作要素测量!A528&amp;"-"&amp;动作要素测量!B528,动作要素测量!A528)</f>
        <v>106</v>
      </c>
      <c r="J108" s="9" t="str">
        <f>IF(动作要素测量!J528="","",动作要素测量!J528)</f>
        <v/>
      </c>
      <c r="K108" s="9" t="str">
        <f>IF(动作要素测量!J529="","",动作要素测量!J529)</f>
        <v/>
      </c>
      <c r="L108" s="9" t="str">
        <f>IF(动作要素测量!J530="","",动作要素测量!J530)</f>
        <v/>
      </c>
      <c r="M108" s="9" t="str">
        <f>IF(动作要素测量!J531="","",动作要素测量!J531)</f>
        <v/>
      </c>
      <c r="N108" s="9" t="str">
        <f>IF(动作要素测量!J532="","",动作要素测量!J532)</f>
        <v/>
      </c>
      <c r="O108" s="9" t="str">
        <f>IF(COUNT(J108:N108)=0,"",SUM(J108:N108))</f>
        <v/>
      </c>
      <c r="P108" s="9" t="str">
        <f>IF(O108="","",参数设置!B7)</f>
        <v/>
      </c>
      <c r="Q108" s="7" t="str">
        <f>IF(O108="","",IF(P108="","",IF(O108&gt;P108,"超节拍",IF(O108&gt;=P108*0.9,"接近上限","正常"))))</f>
        <v/>
      </c>
    </row>
    <row r="109" spans="9:17" x14ac:dyDescent="0.25">
      <c r="I109" s="7">
        <f>IF(动作要素测量!B533&lt;&gt;"",动作要素测量!A533&amp;"-"&amp;动作要素测量!B533,动作要素测量!A533)</f>
        <v>107</v>
      </c>
      <c r="J109" s="9" t="str">
        <f>IF(动作要素测量!J533="","",动作要素测量!J533)</f>
        <v/>
      </c>
      <c r="K109" s="9" t="str">
        <f>IF(动作要素测量!J534="","",动作要素测量!J534)</f>
        <v/>
      </c>
      <c r="L109" s="9" t="str">
        <f>IF(动作要素测量!J535="","",动作要素测量!J535)</f>
        <v/>
      </c>
      <c r="M109" s="9" t="str">
        <f>IF(动作要素测量!J536="","",动作要素测量!J536)</f>
        <v/>
      </c>
      <c r="N109" s="9" t="str">
        <f>IF(动作要素测量!J537="","",动作要素测量!J537)</f>
        <v/>
      </c>
      <c r="O109" s="9" t="str">
        <f>IF(COUNT(J109:N109)=0,"",SUM(J109:N109))</f>
        <v/>
      </c>
      <c r="P109" s="9" t="str">
        <f>IF(O109="","",参数设置!B7)</f>
        <v/>
      </c>
      <c r="Q109" s="7" t="str">
        <f>IF(O109="","",IF(P109="","",IF(O109&gt;P109,"超节拍",IF(O109&gt;=P109*0.9,"接近上限","正常"))))</f>
        <v/>
      </c>
    </row>
    <row r="110" spans="9:17" x14ac:dyDescent="0.25">
      <c r="I110" s="7">
        <f>IF(动作要素测量!B538&lt;&gt;"",动作要素测量!A538&amp;"-"&amp;动作要素测量!B538,动作要素测量!A538)</f>
        <v>108</v>
      </c>
      <c r="J110" s="9" t="str">
        <f>IF(动作要素测量!J538="","",动作要素测量!J538)</f>
        <v/>
      </c>
      <c r="K110" s="9" t="str">
        <f>IF(动作要素测量!J539="","",动作要素测量!J539)</f>
        <v/>
      </c>
      <c r="L110" s="9" t="str">
        <f>IF(动作要素测量!J540="","",动作要素测量!J540)</f>
        <v/>
      </c>
      <c r="M110" s="9" t="str">
        <f>IF(动作要素测量!J541="","",动作要素测量!J541)</f>
        <v/>
      </c>
      <c r="N110" s="9" t="str">
        <f>IF(动作要素测量!J542="","",动作要素测量!J542)</f>
        <v/>
      </c>
      <c r="O110" s="9" t="str">
        <f>IF(COUNT(J110:N110)=0,"",SUM(J110:N110))</f>
        <v/>
      </c>
      <c r="P110" s="9" t="str">
        <f>IF(O110="","",参数设置!B7)</f>
        <v/>
      </c>
      <c r="Q110" s="7" t="str">
        <f>IF(O110="","",IF(P110="","",IF(O110&gt;P110,"超节拍",IF(O110&gt;=P110*0.9,"接近上限","正常"))))</f>
        <v/>
      </c>
    </row>
    <row r="111" spans="9:17" x14ac:dyDescent="0.25">
      <c r="I111" s="7">
        <f>IF(动作要素测量!B543&lt;&gt;"",动作要素测量!A543&amp;"-"&amp;动作要素测量!B543,动作要素测量!A543)</f>
        <v>109</v>
      </c>
      <c r="J111" s="9" t="str">
        <f>IF(动作要素测量!J543="","",动作要素测量!J543)</f>
        <v/>
      </c>
      <c r="K111" s="9" t="str">
        <f>IF(动作要素测量!J544="","",动作要素测量!J544)</f>
        <v/>
      </c>
      <c r="L111" s="9" t="str">
        <f>IF(动作要素测量!J545="","",动作要素测量!J545)</f>
        <v/>
      </c>
      <c r="M111" s="9" t="str">
        <f>IF(动作要素测量!J546="","",动作要素测量!J546)</f>
        <v/>
      </c>
      <c r="N111" s="9" t="str">
        <f>IF(动作要素测量!J547="","",动作要素测量!J547)</f>
        <v/>
      </c>
      <c r="O111" s="9" t="str">
        <f>IF(COUNT(J111:N111)=0,"",SUM(J111:N111))</f>
        <v/>
      </c>
      <c r="P111" s="9" t="str">
        <f>IF(O111="","",参数设置!B7)</f>
        <v/>
      </c>
      <c r="Q111" s="7" t="str">
        <f>IF(O111="","",IF(P111="","",IF(O111&gt;P111,"超节拍",IF(O111&gt;=P111*0.9,"接近上限","正常"))))</f>
        <v/>
      </c>
    </row>
    <row r="112" spans="9:17" x14ac:dyDescent="0.25">
      <c r="I112" s="7">
        <f>IF(动作要素测量!B548&lt;&gt;"",动作要素测量!A548&amp;"-"&amp;动作要素测量!B548,动作要素测量!A548)</f>
        <v>110</v>
      </c>
      <c r="J112" s="9" t="str">
        <f>IF(动作要素测量!J548="","",动作要素测量!J548)</f>
        <v/>
      </c>
      <c r="K112" s="9" t="str">
        <f>IF(动作要素测量!J549="","",动作要素测量!J549)</f>
        <v/>
      </c>
      <c r="L112" s="9" t="str">
        <f>IF(动作要素测量!J550="","",动作要素测量!J550)</f>
        <v/>
      </c>
      <c r="M112" s="9" t="str">
        <f>IF(动作要素测量!J551="","",动作要素测量!J551)</f>
        <v/>
      </c>
      <c r="N112" s="9" t="str">
        <f>IF(动作要素测量!J552="","",动作要素测量!J552)</f>
        <v/>
      </c>
      <c r="O112" s="9" t="str">
        <f>IF(COUNT(J112:N112)=0,"",SUM(J112:N112))</f>
        <v/>
      </c>
      <c r="P112" s="9" t="str">
        <f>IF(O112="","",参数设置!B7)</f>
        <v/>
      </c>
      <c r="Q112" s="7" t="str">
        <f>IF(O112="","",IF(P112="","",IF(O112&gt;P112,"超节拍",IF(O112&gt;=P112*0.9,"接近上限","正常"))))</f>
        <v/>
      </c>
    </row>
    <row r="113" spans="9:17" x14ac:dyDescent="0.25">
      <c r="I113" s="7">
        <f>IF(动作要素测量!B553&lt;&gt;"",动作要素测量!A553&amp;"-"&amp;动作要素测量!B553,动作要素测量!A553)</f>
        <v>111</v>
      </c>
      <c r="J113" s="9" t="str">
        <f>IF(动作要素测量!J553="","",动作要素测量!J553)</f>
        <v/>
      </c>
      <c r="K113" s="9" t="str">
        <f>IF(动作要素测量!J554="","",动作要素测量!J554)</f>
        <v/>
      </c>
      <c r="L113" s="9" t="str">
        <f>IF(动作要素测量!J555="","",动作要素测量!J555)</f>
        <v/>
      </c>
      <c r="M113" s="9" t="str">
        <f>IF(动作要素测量!J556="","",动作要素测量!J556)</f>
        <v/>
      </c>
      <c r="N113" s="9" t="str">
        <f>IF(动作要素测量!J557="","",动作要素测量!J557)</f>
        <v/>
      </c>
      <c r="O113" s="9" t="str">
        <f>IF(COUNT(J113:N113)=0,"",SUM(J113:N113))</f>
        <v/>
      </c>
      <c r="P113" s="9" t="str">
        <f>IF(O113="","",参数设置!B7)</f>
        <v/>
      </c>
      <c r="Q113" s="7" t="str">
        <f>IF(O113="","",IF(P113="","",IF(O113&gt;P113,"超节拍",IF(O113&gt;=P113*0.9,"接近上限","正常"))))</f>
        <v/>
      </c>
    </row>
    <row r="114" spans="9:17" x14ac:dyDescent="0.25">
      <c r="I114" s="7">
        <f>IF(动作要素测量!B558&lt;&gt;"",动作要素测量!A558&amp;"-"&amp;动作要素测量!B558,动作要素测量!A558)</f>
        <v>112</v>
      </c>
      <c r="J114" s="9" t="str">
        <f>IF(动作要素测量!J558="","",动作要素测量!J558)</f>
        <v/>
      </c>
      <c r="K114" s="9" t="str">
        <f>IF(动作要素测量!J559="","",动作要素测量!J559)</f>
        <v/>
      </c>
      <c r="L114" s="9" t="str">
        <f>IF(动作要素测量!J560="","",动作要素测量!J560)</f>
        <v/>
      </c>
      <c r="M114" s="9" t="str">
        <f>IF(动作要素测量!J561="","",动作要素测量!J561)</f>
        <v/>
      </c>
      <c r="N114" s="9" t="str">
        <f>IF(动作要素测量!J562="","",动作要素测量!J562)</f>
        <v/>
      </c>
      <c r="O114" s="9" t="str">
        <f>IF(COUNT(J114:N114)=0,"",SUM(J114:N114))</f>
        <v/>
      </c>
      <c r="P114" s="9" t="str">
        <f>IF(O114="","",参数设置!B7)</f>
        <v/>
      </c>
      <c r="Q114" s="7" t="str">
        <f>IF(O114="","",IF(P114="","",IF(O114&gt;P114,"超节拍",IF(O114&gt;=P114*0.9,"接近上限","正常"))))</f>
        <v/>
      </c>
    </row>
    <row r="115" spans="9:17" x14ac:dyDescent="0.25">
      <c r="I115" s="7">
        <f>IF(动作要素测量!B563&lt;&gt;"",动作要素测量!A563&amp;"-"&amp;动作要素测量!B563,动作要素测量!A563)</f>
        <v>113</v>
      </c>
      <c r="J115" s="9" t="str">
        <f>IF(动作要素测量!J563="","",动作要素测量!J563)</f>
        <v/>
      </c>
      <c r="K115" s="9" t="str">
        <f>IF(动作要素测量!J564="","",动作要素测量!J564)</f>
        <v/>
      </c>
      <c r="L115" s="9" t="str">
        <f>IF(动作要素测量!J565="","",动作要素测量!J565)</f>
        <v/>
      </c>
      <c r="M115" s="9" t="str">
        <f>IF(动作要素测量!J566="","",动作要素测量!J566)</f>
        <v/>
      </c>
      <c r="N115" s="9" t="str">
        <f>IF(动作要素测量!J567="","",动作要素测量!J567)</f>
        <v/>
      </c>
      <c r="O115" s="9" t="str">
        <f>IF(COUNT(J115:N115)=0,"",SUM(J115:N115))</f>
        <v/>
      </c>
      <c r="P115" s="9" t="str">
        <f>IF(O115="","",参数设置!B7)</f>
        <v/>
      </c>
      <c r="Q115" s="7" t="str">
        <f>IF(O115="","",IF(P115="","",IF(O115&gt;P115,"超节拍",IF(O115&gt;=P115*0.9,"接近上限","正常"))))</f>
        <v/>
      </c>
    </row>
    <row r="116" spans="9:17" x14ac:dyDescent="0.25">
      <c r="I116" s="7">
        <f>IF(动作要素测量!B568&lt;&gt;"",动作要素测量!A568&amp;"-"&amp;动作要素测量!B568,动作要素测量!A568)</f>
        <v>114</v>
      </c>
      <c r="J116" s="9" t="str">
        <f>IF(动作要素测量!J568="","",动作要素测量!J568)</f>
        <v/>
      </c>
      <c r="K116" s="9" t="str">
        <f>IF(动作要素测量!J569="","",动作要素测量!J569)</f>
        <v/>
      </c>
      <c r="L116" s="9" t="str">
        <f>IF(动作要素测量!J570="","",动作要素测量!J570)</f>
        <v/>
      </c>
      <c r="M116" s="9" t="str">
        <f>IF(动作要素测量!J571="","",动作要素测量!J571)</f>
        <v/>
      </c>
      <c r="N116" s="9" t="str">
        <f>IF(动作要素测量!J572="","",动作要素测量!J572)</f>
        <v/>
      </c>
      <c r="O116" s="9" t="str">
        <f>IF(COUNT(J116:N116)=0,"",SUM(J116:N116))</f>
        <v/>
      </c>
      <c r="P116" s="9" t="str">
        <f>IF(O116="","",参数设置!B7)</f>
        <v/>
      </c>
      <c r="Q116" s="7" t="str">
        <f>IF(O116="","",IF(P116="","",IF(O116&gt;P116,"超节拍",IF(O116&gt;=P116*0.9,"接近上限","正常"))))</f>
        <v/>
      </c>
    </row>
    <row r="117" spans="9:17" x14ac:dyDescent="0.25">
      <c r="I117" s="7">
        <f>IF(动作要素测量!B573&lt;&gt;"",动作要素测量!A573&amp;"-"&amp;动作要素测量!B573,动作要素测量!A573)</f>
        <v>115</v>
      </c>
      <c r="J117" s="9" t="str">
        <f>IF(动作要素测量!J573="","",动作要素测量!J573)</f>
        <v/>
      </c>
      <c r="K117" s="9" t="str">
        <f>IF(动作要素测量!J574="","",动作要素测量!J574)</f>
        <v/>
      </c>
      <c r="L117" s="9" t="str">
        <f>IF(动作要素测量!J575="","",动作要素测量!J575)</f>
        <v/>
      </c>
      <c r="M117" s="9" t="str">
        <f>IF(动作要素测量!J576="","",动作要素测量!J576)</f>
        <v/>
      </c>
      <c r="N117" s="9" t="str">
        <f>IF(动作要素测量!J577="","",动作要素测量!J577)</f>
        <v/>
      </c>
      <c r="O117" s="9" t="str">
        <f>IF(COUNT(J117:N117)=0,"",SUM(J117:N117))</f>
        <v/>
      </c>
      <c r="P117" s="9" t="str">
        <f>IF(O117="","",参数设置!B7)</f>
        <v/>
      </c>
      <c r="Q117" s="7" t="str">
        <f>IF(O117="","",IF(P117="","",IF(O117&gt;P117,"超节拍",IF(O117&gt;=P117*0.9,"接近上限","正常"))))</f>
        <v/>
      </c>
    </row>
    <row r="118" spans="9:17" x14ac:dyDescent="0.25">
      <c r="I118" s="7">
        <f>IF(动作要素测量!B578&lt;&gt;"",动作要素测量!A578&amp;"-"&amp;动作要素测量!B578,动作要素测量!A578)</f>
        <v>116</v>
      </c>
      <c r="J118" s="9" t="str">
        <f>IF(动作要素测量!J578="","",动作要素测量!J578)</f>
        <v/>
      </c>
      <c r="K118" s="9" t="str">
        <f>IF(动作要素测量!J579="","",动作要素测量!J579)</f>
        <v/>
      </c>
      <c r="L118" s="9" t="str">
        <f>IF(动作要素测量!J580="","",动作要素测量!J580)</f>
        <v/>
      </c>
      <c r="M118" s="9" t="str">
        <f>IF(动作要素测量!J581="","",动作要素测量!J581)</f>
        <v/>
      </c>
      <c r="N118" s="9" t="str">
        <f>IF(动作要素测量!J582="","",动作要素测量!J582)</f>
        <v/>
      </c>
      <c r="O118" s="9" t="str">
        <f>IF(COUNT(J118:N118)=0,"",SUM(J118:N118))</f>
        <v/>
      </c>
      <c r="P118" s="9" t="str">
        <f>IF(O118="","",参数设置!B7)</f>
        <v/>
      </c>
      <c r="Q118" s="7" t="str">
        <f>IF(O118="","",IF(P118="","",IF(O118&gt;P118,"超节拍",IF(O118&gt;=P118*0.9,"接近上限","正常"))))</f>
        <v/>
      </c>
    </row>
    <row r="119" spans="9:17" x14ac:dyDescent="0.25">
      <c r="I119" s="7">
        <f>IF(动作要素测量!B583&lt;&gt;"",动作要素测量!A583&amp;"-"&amp;动作要素测量!B583,动作要素测量!A583)</f>
        <v>117</v>
      </c>
      <c r="J119" s="9" t="str">
        <f>IF(动作要素测量!J583="","",动作要素测量!J583)</f>
        <v/>
      </c>
      <c r="K119" s="9" t="str">
        <f>IF(动作要素测量!J584="","",动作要素测量!J584)</f>
        <v/>
      </c>
      <c r="L119" s="9" t="str">
        <f>IF(动作要素测量!J585="","",动作要素测量!J585)</f>
        <v/>
      </c>
      <c r="M119" s="9" t="str">
        <f>IF(动作要素测量!J586="","",动作要素测量!J586)</f>
        <v/>
      </c>
      <c r="N119" s="9" t="str">
        <f>IF(动作要素测量!J587="","",动作要素测量!J587)</f>
        <v/>
      </c>
      <c r="O119" s="9" t="str">
        <f>IF(COUNT(J119:N119)=0,"",SUM(J119:N119))</f>
        <v/>
      </c>
      <c r="P119" s="9" t="str">
        <f>IF(O119="","",参数设置!B7)</f>
        <v/>
      </c>
      <c r="Q119" s="7" t="str">
        <f>IF(O119="","",IF(P119="","",IF(O119&gt;P119,"超节拍",IF(O119&gt;=P119*0.9,"接近上限","正常"))))</f>
        <v/>
      </c>
    </row>
    <row r="120" spans="9:17" x14ac:dyDescent="0.25">
      <c r="I120" s="7">
        <f>IF(动作要素测量!B588&lt;&gt;"",动作要素测量!A588&amp;"-"&amp;动作要素测量!B588,动作要素测量!A588)</f>
        <v>118</v>
      </c>
      <c r="J120" s="9" t="str">
        <f>IF(动作要素测量!J588="","",动作要素测量!J588)</f>
        <v/>
      </c>
      <c r="K120" s="9" t="str">
        <f>IF(动作要素测量!J589="","",动作要素测量!J589)</f>
        <v/>
      </c>
      <c r="L120" s="9" t="str">
        <f>IF(动作要素测量!J590="","",动作要素测量!J590)</f>
        <v/>
      </c>
      <c r="M120" s="9" t="str">
        <f>IF(动作要素测量!J591="","",动作要素测量!J591)</f>
        <v/>
      </c>
      <c r="N120" s="9" t="str">
        <f>IF(动作要素测量!J592="","",动作要素测量!J592)</f>
        <v/>
      </c>
      <c r="O120" s="9" t="str">
        <f>IF(COUNT(J120:N120)=0,"",SUM(J120:N120))</f>
        <v/>
      </c>
      <c r="P120" s="9" t="str">
        <f>IF(O120="","",参数设置!B7)</f>
        <v/>
      </c>
      <c r="Q120" s="7" t="str">
        <f>IF(O120="","",IF(P120="","",IF(O120&gt;P120,"超节拍",IF(O120&gt;=P120*0.9,"接近上限","正常"))))</f>
        <v/>
      </c>
    </row>
    <row r="121" spans="9:17" x14ac:dyDescent="0.25">
      <c r="I121" s="7">
        <f>IF(动作要素测量!B593&lt;&gt;"",动作要素测量!A593&amp;"-"&amp;动作要素测量!B593,动作要素测量!A593)</f>
        <v>119</v>
      </c>
      <c r="J121" s="9" t="str">
        <f>IF(动作要素测量!J593="","",动作要素测量!J593)</f>
        <v/>
      </c>
      <c r="K121" s="9" t="str">
        <f>IF(动作要素测量!J594="","",动作要素测量!J594)</f>
        <v/>
      </c>
      <c r="L121" s="9" t="str">
        <f>IF(动作要素测量!J595="","",动作要素测量!J595)</f>
        <v/>
      </c>
      <c r="M121" s="9" t="str">
        <f>IF(动作要素测量!J596="","",动作要素测量!J596)</f>
        <v/>
      </c>
      <c r="N121" s="9" t="str">
        <f>IF(动作要素测量!J597="","",动作要素测量!J597)</f>
        <v/>
      </c>
      <c r="O121" s="9" t="str">
        <f>IF(COUNT(J121:N121)=0,"",SUM(J121:N121))</f>
        <v/>
      </c>
      <c r="P121" s="9" t="str">
        <f>IF(O121="","",参数设置!B7)</f>
        <v/>
      </c>
      <c r="Q121" s="7" t="str">
        <f>IF(O121="","",IF(P121="","",IF(O121&gt;P121,"超节拍",IF(O121&gt;=P121*0.9,"接近上限","正常"))))</f>
        <v/>
      </c>
    </row>
    <row r="122" spans="9:17" x14ac:dyDescent="0.25">
      <c r="I122" s="7">
        <f>IF(动作要素测量!B598&lt;&gt;"",动作要素测量!A598&amp;"-"&amp;动作要素测量!B598,动作要素测量!A598)</f>
        <v>120</v>
      </c>
      <c r="J122" s="9" t="str">
        <f>IF(动作要素测量!J598="","",动作要素测量!J598)</f>
        <v/>
      </c>
      <c r="K122" s="9" t="str">
        <f>IF(动作要素测量!J599="","",动作要素测量!J599)</f>
        <v/>
      </c>
      <c r="L122" s="9" t="str">
        <f>IF(动作要素测量!J600="","",动作要素测量!J600)</f>
        <v/>
      </c>
      <c r="M122" s="9" t="str">
        <f>IF(动作要素测量!J601="","",动作要素测量!J601)</f>
        <v/>
      </c>
      <c r="N122" s="9" t="str">
        <f>IF(动作要素测量!J602="","",动作要素测量!J602)</f>
        <v/>
      </c>
      <c r="O122" s="9" t="str">
        <f>IF(COUNT(J122:N122)=0,"",SUM(J122:N122))</f>
        <v/>
      </c>
      <c r="P122" s="9" t="str">
        <f>IF(O122="","",参数设置!B7)</f>
        <v/>
      </c>
      <c r="Q122" s="7" t="str">
        <f>IF(O122="","",IF(P122="","",IF(O122&gt;P122,"超节拍",IF(O122&gt;=P122*0.9,"接近上限","正常"))))</f>
        <v/>
      </c>
    </row>
    <row r="123" spans="9:17" x14ac:dyDescent="0.25">
      <c r="I123" s="7">
        <f>IF(动作要素测量!B603&lt;&gt;"",动作要素测量!A603&amp;"-"&amp;动作要素测量!B603,动作要素测量!A603)</f>
        <v>121</v>
      </c>
      <c r="J123" s="9" t="str">
        <f>IF(动作要素测量!J603="","",动作要素测量!J603)</f>
        <v/>
      </c>
      <c r="K123" s="9" t="str">
        <f>IF(动作要素测量!J604="","",动作要素测量!J604)</f>
        <v/>
      </c>
      <c r="L123" s="9" t="str">
        <f>IF(动作要素测量!J605="","",动作要素测量!J605)</f>
        <v/>
      </c>
      <c r="M123" s="9" t="str">
        <f>IF(动作要素测量!J606="","",动作要素测量!J606)</f>
        <v/>
      </c>
      <c r="N123" s="9" t="str">
        <f>IF(动作要素测量!J607="","",动作要素测量!J607)</f>
        <v/>
      </c>
      <c r="O123" s="9" t="str">
        <f>IF(COUNT(J123:N123)=0,"",SUM(J123:N123))</f>
        <v/>
      </c>
      <c r="P123" s="9" t="str">
        <f>IF(O123="","",参数设置!B7)</f>
        <v/>
      </c>
      <c r="Q123" s="7" t="str">
        <f>IF(O123="","",IF(P123="","",IF(O123&gt;P123,"超节拍",IF(O123&gt;=P123*0.9,"接近上限","正常"))))</f>
        <v/>
      </c>
    </row>
    <row r="124" spans="9:17" x14ac:dyDescent="0.25">
      <c r="I124" s="7">
        <f>IF(动作要素测量!B608&lt;&gt;"",动作要素测量!A608&amp;"-"&amp;动作要素测量!B608,动作要素测量!A608)</f>
        <v>122</v>
      </c>
      <c r="J124" s="9" t="str">
        <f>IF(动作要素测量!J608="","",动作要素测量!J608)</f>
        <v/>
      </c>
      <c r="K124" s="9" t="str">
        <f>IF(动作要素测量!J609="","",动作要素测量!J609)</f>
        <v/>
      </c>
      <c r="L124" s="9" t="str">
        <f>IF(动作要素测量!J610="","",动作要素测量!J610)</f>
        <v/>
      </c>
      <c r="M124" s="9" t="str">
        <f>IF(动作要素测量!J611="","",动作要素测量!J611)</f>
        <v/>
      </c>
      <c r="N124" s="9" t="str">
        <f>IF(动作要素测量!J612="","",动作要素测量!J612)</f>
        <v/>
      </c>
      <c r="O124" s="9" t="str">
        <f>IF(COUNT(J124:N124)=0,"",SUM(J124:N124))</f>
        <v/>
      </c>
      <c r="P124" s="9" t="str">
        <f>IF(O124="","",参数设置!B7)</f>
        <v/>
      </c>
      <c r="Q124" s="7" t="str">
        <f>IF(O124="","",IF(P124="","",IF(O124&gt;P124,"超节拍",IF(O124&gt;=P124*0.9,"接近上限","正常"))))</f>
        <v/>
      </c>
    </row>
    <row r="125" spans="9:17" x14ac:dyDescent="0.25">
      <c r="I125" s="7">
        <f>IF(动作要素测量!B613&lt;&gt;"",动作要素测量!A613&amp;"-"&amp;动作要素测量!B613,动作要素测量!A613)</f>
        <v>123</v>
      </c>
      <c r="J125" s="9" t="str">
        <f>IF(动作要素测量!J613="","",动作要素测量!J613)</f>
        <v/>
      </c>
      <c r="K125" s="9" t="str">
        <f>IF(动作要素测量!J614="","",动作要素测量!J614)</f>
        <v/>
      </c>
      <c r="L125" s="9" t="str">
        <f>IF(动作要素测量!J615="","",动作要素测量!J615)</f>
        <v/>
      </c>
      <c r="M125" s="9" t="str">
        <f>IF(动作要素测量!J616="","",动作要素测量!J616)</f>
        <v/>
      </c>
      <c r="N125" s="9" t="str">
        <f>IF(动作要素测量!J617="","",动作要素测量!J617)</f>
        <v/>
      </c>
      <c r="O125" s="9" t="str">
        <f>IF(COUNT(J125:N125)=0,"",SUM(J125:N125))</f>
        <v/>
      </c>
      <c r="P125" s="9" t="str">
        <f>IF(O125="","",参数设置!B7)</f>
        <v/>
      </c>
      <c r="Q125" s="7" t="str">
        <f>IF(O125="","",IF(P125="","",IF(O125&gt;P125,"超节拍",IF(O125&gt;=P125*0.9,"接近上限","正常"))))</f>
        <v/>
      </c>
    </row>
    <row r="126" spans="9:17" x14ac:dyDescent="0.25">
      <c r="I126" s="7">
        <f>IF(动作要素测量!B618&lt;&gt;"",动作要素测量!A618&amp;"-"&amp;动作要素测量!B618,动作要素测量!A618)</f>
        <v>124</v>
      </c>
      <c r="J126" s="9" t="str">
        <f>IF(动作要素测量!J618="","",动作要素测量!J618)</f>
        <v/>
      </c>
      <c r="K126" s="9" t="str">
        <f>IF(动作要素测量!J619="","",动作要素测量!J619)</f>
        <v/>
      </c>
      <c r="L126" s="9" t="str">
        <f>IF(动作要素测量!J620="","",动作要素测量!J620)</f>
        <v/>
      </c>
      <c r="M126" s="9" t="str">
        <f>IF(动作要素测量!J621="","",动作要素测量!J621)</f>
        <v/>
      </c>
      <c r="N126" s="9" t="str">
        <f>IF(动作要素测量!J622="","",动作要素测量!J622)</f>
        <v/>
      </c>
      <c r="O126" s="9" t="str">
        <f>IF(COUNT(J126:N126)=0,"",SUM(J126:N126))</f>
        <v/>
      </c>
      <c r="P126" s="9" t="str">
        <f>IF(O126="","",参数设置!B7)</f>
        <v/>
      </c>
      <c r="Q126" s="7" t="str">
        <f>IF(O126="","",IF(P126="","",IF(O126&gt;P126,"超节拍",IF(O126&gt;=P126*0.9,"接近上限","正常"))))</f>
        <v/>
      </c>
    </row>
    <row r="127" spans="9:17" x14ac:dyDescent="0.25">
      <c r="I127" s="7">
        <f>IF(动作要素测量!B623&lt;&gt;"",动作要素测量!A623&amp;"-"&amp;动作要素测量!B623,动作要素测量!A623)</f>
        <v>125</v>
      </c>
      <c r="J127" s="9" t="str">
        <f>IF(动作要素测量!J623="","",动作要素测量!J623)</f>
        <v/>
      </c>
      <c r="K127" s="9" t="str">
        <f>IF(动作要素测量!J624="","",动作要素测量!J624)</f>
        <v/>
      </c>
      <c r="L127" s="9" t="str">
        <f>IF(动作要素测量!J625="","",动作要素测量!J625)</f>
        <v/>
      </c>
      <c r="M127" s="9" t="str">
        <f>IF(动作要素测量!J626="","",动作要素测量!J626)</f>
        <v/>
      </c>
      <c r="N127" s="9" t="str">
        <f>IF(动作要素测量!J627="","",动作要素测量!J627)</f>
        <v/>
      </c>
      <c r="O127" s="9" t="str">
        <f>IF(COUNT(J127:N127)=0,"",SUM(J127:N127))</f>
        <v/>
      </c>
      <c r="P127" s="9" t="str">
        <f>IF(O127="","",参数设置!B7)</f>
        <v/>
      </c>
      <c r="Q127" s="7" t="str">
        <f>IF(O127="","",IF(P127="","",IF(O127&gt;P127,"超节拍",IF(O127&gt;=P127*0.9,"接近上限","正常"))))</f>
        <v/>
      </c>
    </row>
    <row r="128" spans="9:17" x14ac:dyDescent="0.25">
      <c r="I128" s="7">
        <f>IF(动作要素测量!B628&lt;&gt;"",动作要素测量!A628&amp;"-"&amp;动作要素测量!B628,动作要素测量!A628)</f>
        <v>126</v>
      </c>
      <c r="J128" s="9" t="str">
        <f>IF(动作要素测量!J628="","",动作要素测量!J628)</f>
        <v/>
      </c>
      <c r="K128" s="9" t="str">
        <f>IF(动作要素测量!J629="","",动作要素测量!J629)</f>
        <v/>
      </c>
      <c r="L128" s="9" t="str">
        <f>IF(动作要素测量!J630="","",动作要素测量!J630)</f>
        <v/>
      </c>
      <c r="M128" s="9" t="str">
        <f>IF(动作要素测量!J631="","",动作要素测量!J631)</f>
        <v/>
      </c>
      <c r="N128" s="9" t="str">
        <f>IF(动作要素测量!J632="","",动作要素测量!J632)</f>
        <v/>
      </c>
      <c r="O128" s="9" t="str">
        <f>IF(COUNT(J128:N128)=0,"",SUM(J128:N128))</f>
        <v/>
      </c>
      <c r="P128" s="9" t="str">
        <f>IF(O128="","",参数设置!B7)</f>
        <v/>
      </c>
      <c r="Q128" s="7" t="str">
        <f>IF(O128="","",IF(P128="","",IF(O128&gt;P128,"超节拍",IF(O128&gt;=P128*0.9,"接近上限","正常"))))</f>
        <v/>
      </c>
    </row>
    <row r="129" spans="9:17" x14ac:dyDescent="0.25">
      <c r="I129" s="7">
        <f>IF(动作要素测量!B633&lt;&gt;"",动作要素测量!A633&amp;"-"&amp;动作要素测量!B633,动作要素测量!A633)</f>
        <v>127</v>
      </c>
      <c r="J129" s="9" t="str">
        <f>IF(动作要素测量!J633="","",动作要素测量!J633)</f>
        <v/>
      </c>
      <c r="K129" s="9" t="str">
        <f>IF(动作要素测量!J634="","",动作要素测量!J634)</f>
        <v/>
      </c>
      <c r="L129" s="9" t="str">
        <f>IF(动作要素测量!J635="","",动作要素测量!J635)</f>
        <v/>
      </c>
      <c r="M129" s="9" t="str">
        <f>IF(动作要素测量!J636="","",动作要素测量!J636)</f>
        <v/>
      </c>
      <c r="N129" s="9" t="str">
        <f>IF(动作要素测量!J637="","",动作要素测量!J637)</f>
        <v/>
      </c>
      <c r="O129" s="9" t="str">
        <f>IF(COUNT(J129:N129)=0,"",SUM(J129:N129))</f>
        <v/>
      </c>
      <c r="P129" s="9" t="str">
        <f>IF(O129="","",参数设置!B7)</f>
        <v/>
      </c>
      <c r="Q129" s="7" t="str">
        <f>IF(O129="","",IF(P129="","",IF(O129&gt;P129,"超节拍",IF(O129&gt;=P129*0.9,"接近上限","正常"))))</f>
        <v/>
      </c>
    </row>
    <row r="130" spans="9:17" x14ac:dyDescent="0.25">
      <c r="I130" s="7">
        <f>IF(动作要素测量!B638&lt;&gt;"",动作要素测量!A638&amp;"-"&amp;动作要素测量!B638,动作要素测量!A638)</f>
        <v>128</v>
      </c>
      <c r="J130" s="9" t="str">
        <f>IF(动作要素测量!J638="","",动作要素测量!J638)</f>
        <v/>
      </c>
      <c r="K130" s="9" t="str">
        <f>IF(动作要素测量!J639="","",动作要素测量!J639)</f>
        <v/>
      </c>
      <c r="L130" s="9" t="str">
        <f>IF(动作要素测量!J640="","",动作要素测量!J640)</f>
        <v/>
      </c>
      <c r="M130" s="9" t="str">
        <f>IF(动作要素测量!J641="","",动作要素测量!J641)</f>
        <v/>
      </c>
      <c r="N130" s="9" t="str">
        <f>IF(动作要素测量!J642="","",动作要素测量!J642)</f>
        <v/>
      </c>
      <c r="O130" s="9" t="str">
        <f>IF(COUNT(J130:N130)=0,"",SUM(J130:N130))</f>
        <v/>
      </c>
      <c r="P130" s="9" t="str">
        <f>IF(O130="","",参数设置!B7)</f>
        <v/>
      </c>
      <c r="Q130" s="7" t="str">
        <f>IF(O130="","",IF(P130="","",IF(O130&gt;P130,"超节拍",IF(O130&gt;=P130*0.9,"接近上限","正常"))))</f>
        <v/>
      </c>
    </row>
    <row r="131" spans="9:17" x14ac:dyDescent="0.25">
      <c r="I131" s="7">
        <f>IF(动作要素测量!B643&lt;&gt;"",动作要素测量!A643&amp;"-"&amp;动作要素测量!B643,动作要素测量!A643)</f>
        <v>129</v>
      </c>
      <c r="J131" s="9" t="str">
        <f>IF(动作要素测量!J643="","",动作要素测量!J643)</f>
        <v/>
      </c>
      <c r="K131" s="9" t="str">
        <f>IF(动作要素测量!J644="","",动作要素测量!J644)</f>
        <v/>
      </c>
      <c r="L131" s="9" t="str">
        <f>IF(动作要素测量!J645="","",动作要素测量!J645)</f>
        <v/>
      </c>
      <c r="M131" s="9" t="str">
        <f>IF(动作要素测量!J646="","",动作要素测量!J646)</f>
        <v/>
      </c>
      <c r="N131" s="9" t="str">
        <f>IF(动作要素测量!J647="","",动作要素测量!J647)</f>
        <v/>
      </c>
      <c r="O131" s="9" t="str">
        <f>IF(COUNT(J131:N131)=0,"",SUM(J131:N131))</f>
        <v/>
      </c>
      <c r="P131" s="9" t="str">
        <f>IF(O131="","",参数设置!B7)</f>
        <v/>
      </c>
      <c r="Q131" s="7" t="str">
        <f>IF(O131="","",IF(P131="","",IF(O131&gt;P131,"超节拍",IF(O131&gt;=P131*0.9,"接近上限","正常"))))</f>
        <v/>
      </c>
    </row>
    <row r="132" spans="9:17" x14ac:dyDescent="0.25">
      <c r="I132" s="7">
        <f>IF(动作要素测量!B648&lt;&gt;"",动作要素测量!A648&amp;"-"&amp;动作要素测量!B648,动作要素测量!A648)</f>
        <v>130</v>
      </c>
      <c r="J132" s="9" t="str">
        <f>IF(动作要素测量!J648="","",动作要素测量!J648)</f>
        <v/>
      </c>
      <c r="K132" s="9" t="str">
        <f>IF(动作要素测量!J649="","",动作要素测量!J649)</f>
        <v/>
      </c>
      <c r="L132" s="9" t="str">
        <f>IF(动作要素测量!J650="","",动作要素测量!J650)</f>
        <v/>
      </c>
      <c r="M132" s="9" t="str">
        <f>IF(动作要素测量!J651="","",动作要素测量!J651)</f>
        <v/>
      </c>
      <c r="N132" s="9" t="str">
        <f>IF(动作要素测量!J652="","",动作要素测量!J652)</f>
        <v/>
      </c>
      <c r="O132" s="9" t="str">
        <f>IF(COUNT(J132:N132)=0,"",SUM(J132:N132))</f>
        <v/>
      </c>
      <c r="P132" s="9" t="str">
        <f>IF(O132="","",参数设置!B7)</f>
        <v/>
      </c>
      <c r="Q132" s="7" t="str">
        <f>IF(O132="","",IF(P132="","",IF(O132&gt;P132,"超节拍",IF(O132&gt;=P132*0.9,"接近上限","正常"))))</f>
        <v/>
      </c>
    </row>
    <row r="133" spans="9:17" x14ac:dyDescent="0.25">
      <c r="I133" s="7">
        <f>IF(动作要素测量!B653&lt;&gt;"",动作要素测量!A653&amp;"-"&amp;动作要素测量!B653,动作要素测量!A653)</f>
        <v>131</v>
      </c>
      <c r="J133" s="9" t="str">
        <f>IF(动作要素测量!J653="","",动作要素测量!J653)</f>
        <v/>
      </c>
      <c r="K133" s="9" t="str">
        <f>IF(动作要素测量!J654="","",动作要素测量!J654)</f>
        <v/>
      </c>
      <c r="L133" s="9" t="str">
        <f>IF(动作要素测量!J655="","",动作要素测量!J655)</f>
        <v/>
      </c>
      <c r="M133" s="9" t="str">
        <f>IF(动作要素测量!J656="","",动作要素测量!J656)</f>
        <v/>
      </c>
      <c r="N133" s="9" t="str">
        <f>IF(动作要素测量!J657="","",动作要素测量!J657)</f>
        <v/>
      </c>
      <c r="O133" s="9" t="str">
        <f>IF(COUNT(J133:N133)=0,"",SUM(J133:N133))</f>
        <v/>
      </c>
      <c r="P133" s="9" t="str">
        <f>IF(O133="","",参数设置!B7)</f>
        <v/>
      </c>
      <c r="Q133" s="7" t="str">
        <f>IF(O133="","",IF(P133="","",IF(O133&gt;P133,"超节拍",IF(O133&gt;=P133*0.9,"接近上限","正常"))))</f>
        <v/>
      </c>
    </row>
    <row r="134" spans="9:17" x14ac:dyDescent="0.25">
      <c r="I134" s="7">
        <f>IF(动作要素测量!B658&lt;&gt;"",动作要素测量!A658&amp;"-"&amp;动作要素测量!B658,动作要素测量!A658)</f>
        <v>132</v>
      </c>
      <c r="J134" s="9" t="str">
        <f>IF(动作要素测量!J658="","",动作要素测量!J658)</f>
        <v/>
      </c>
      <c r="K134" s="9" t="str">
        <f>IF(动作要素测量!J659="","",动作要素测量!J659)</f>
        <v/>
      </c>
      <c r="L134" s="9" t="str">
        <f>IF(动作要素测量!J660="","",动作要素测量!J660)</f>
        <v/>
      </c>
      <c r="M134" s="9" t="str">
        <f>IF(动作要素测量!J661="","",动作要素测量!J661)</f>
        <v/>
      </c>
      <c r="N134" s="9" t="str">
        <f>IF(动作要素测量!J662="","",动作要素测量!J662)</f>
        <v/>
      </c>
      <c r="O134" s="9" t="str">
        <f>IF(COUNT(J134:N134)=0,"",SUM(J134:N134))</f>
        <v/>
      </c>
      <c r="P134" s="9" t="str">
        <f>IF(O134="","",参数设置!B7)</f>
        <v/>
      </c>
      <c r="Q134" s="7" t="str">
        <f>IF(O134="","",IF(P134="","",IF(O134&gt;P134,"超节拍",IF(O134&gt;=P134*0.9,"接近上限","正常"))))</f>
        <v/>
      </c>
    </row>
    <row r="135" spans="9:17" x14ac:dyDescent="0.25">
      <c r="I135" s="7">
        <f>IF(动作要素测量!B663&lt;&gt;"",动作要素测量!A663&amp;"-"&amp;动作要素测量!B663,动作要素测量!A663)</f>
        <v>133</v>
      </c>
      <c r="J135" s="9" t="str">
        <f>IF(动作要素测量!J663="","",动作要素测量!J663)</f>
        <v/>
      </c>
      <c r="K135" s="9" t="str">
        <f>IF(动作要素测量!J664="","",动作要素测量!J664)</f>
        <v/>
      </c>
      <c r="L135" s="9" t="str">
        <f>IF(动作要素测量!J665="","",动作要素测量!J665)</f>
        <v/>
      </c>
      <c r="M135" s="9" t="str">
        <f>IF(动作要素测量!J666="","",动作要素测量!J666)</f>
        <v/>
      </c>
      <c r="N135" s="9" t="str">
        <f>IF(动作要素测量!J667="","",动作要素测量!J667)</f>
        <v/>
      </c>
      <c r="O135" s="9" t="str">
        <f>IF(COUNT(J135:N135)=0,"",SUM(J135:N135))</f>
        <v/>
      </c>
      <c r="P135" s="9" t="str">
        <f>IF(O135="","",参数设置!B7)</f>
        <v/>
      </c>
      <c r="Q135" s="7" t="str">
        <f>IF(O135="","",IF(P135="","",IF(O135&gt;P135,"超节拍",IF(O135&gt;=P135*0.9,"接近上限","正常"))))</f>
        <v/>
      </c>
    </row>
    <row r="136" spans="9:17" x14ac:dyDescent="0.25">
      <c r="I136" s="7">
        <f>IF(动作要素测量!B668&lt;&gt;"",动作要素测量!A668&amp;"-"&amp;动作要素测量!B668,动作要素测量!A668)</f>
        <v>134</v>
      </c>
      <c r="J136" s="9" t="str">
        <f>IF(动作要素测量!J668="","",动作要素测量!J668)</f>
        <v/>
      </c>
      <c r="K136" s="9" t="str">
        <f>IF(动作要素测量!J669="","",动作要素测量!J669)</f>
        <v/>
      </c>
      <c r="L136" s="9" t="str">
        <f>IF(动作要素测量!J670="","",动作要素测量!J670)</f>
        <v/>
      </c>
      <c r="M136" s="9" t="str">
        <f>IF(动作要素测量!J671="","",动作要素测量!J671)</f>
        <v/>
      </c>
      <c r="N136" s="9" t="str">
        <f>IF(动作要素测量!J672="","",动作要素测量!J672)</f>
        <v/>
      </c>
      <c r="O136" s="9" t="str">
        <f>IF(COUNT(J136:N136)=0,"",SUM(J136:N136))</f>
        <v/>
      </c>
      <c r="P136" s="9" t="str">
        <f>IF(O136="","",参数设置!B7)</f>
        <v/>
      </c>
      <c r="Q136" s="7" t="str">
        <f>IF(O136="","",IF(P136="","",IF(O136&gt;P136,"超节拍",IF(O136&gt;=P136*0.9,"接近上限","正常"))))</f>
        <v/>
      </c>
    </row>
    <row r="137" spans="9:17" x14ac:dyDescent="0.25">
      <c r="I137" s="7">
        <f>IF(动作要素测量!B673&lt;&gt;"",动作要素测量!A673&amp;"-"&amp;动作要素测量!B673,动作要素测量!A673)</f>
        <v>135</v>
      </c>
      <c r="J137" s="9" t="str">
        <f>IF(动作要素测量!J673="","",动作要素测量!J673)</f>
        <v/>
      </c>
      <c r="K137" s="9" t="str">
        <f>IF(动作要素测量!J674="","",动作要素测量!J674)</f>
        <v/>
      </c>
      <c r="L137" s="9" t="str">
        <f>IF(动作要素测量!J675="","",动作要素测量!J675)</f>
        <v/>
      </c>
      <c r="M137" s="9" t="str">
        <f>IF(动作要素测量!J676="","",动作要素测量!J676)</f>
        <v/>
      </c>
      <c r="N137" s="9" t="str">
        <f>IF(动作要素测量!J677="","",动作要素测量!J677)</f>
        <v/>
      </c>
      <c r="O137" s="9" t="str">
        <f>IF(COUNT(J137:N137)=0,"",SUM(J137:N137))</f>
        <v/>
      </c>
      <c r="P137" s="9" t="str">
        <f>IF(O137="","",参数设置!B7)</f>
        <v/>
      </c>
      <c r="Q137" s="7" t="str">
        <f>IF(O137="","",IF(P137="","",IF(O137&gt;P137,"超节拍",IF(O137&gt;=P137*0.9,"接近上限","正常"))))</f>
        <v/>
      </c>
    </row>
    <row r="138" spans="9:17" x14ac:dyDescent="0.25">
      <c r="I138" s="7">
        <f>IF(动作要素测量!B678&lt;&gt;"",动作要素测量!A678&amp;"-"&amp;动作要素测量!B678,动作要素测量!A678)</f>
        <v>136</v>
      </c>
      <c r="J138" s="9" t="str">
        <f>IF(动作要素测量!J678="","",动作要素测量!J678)</f>
        <v/>
      </c>
      <c r="K138" s="9" t="str">
        <f>IF(动作要素测量!J679="","",动作要素测量!J679)</f>
        <v/>
      </c>
      <c r="L138" s="9" t="str">
        <f>IF(动作要素测量!J680="","",动作要素测量!J680)</f>
        <v/>
      </c>
      <c r="M138" s="9" t="str">
        <f>IF(动作要素测量!J681="","",动作要素测量!J681)</f>
        <v/>
      </c>
      <c r="N138" s="9" t="str">
        <f>IF(动作要素测量!J682="","",动作要素测量!J682)</f>
        <v/>
      </c>
      <c r="O138" s="9" t="str">
        <f>IF(COUNT(J138:N138)=0,"",SUM(J138:N138))</f>
        <v/>
      </c>
      <c r="P138" s="9" t="str">
        <f>IF(O138="","",参数设置!B7)</f>
        <v/>
      </c>
      <c r="Q138" s="7" t="str">
        <f>IF(O138="","",IF(P138="","",IF(O138&gt;P138,"超节拍",IF(O138&gt;=P138*0.9,"接近上限","正常"))))</f>
        <v/>
      </c>
    </row>
    <row r="139" spans="9:17" x14ac:dyDescent="0.25">
      <c r="I139" s="7">
        <f>IF(动作要素测量!B683&lt;&gt;"",动作要素测量!A683&amp;"-"&amp;动作要素测量!B683,动作要素测量!A683)</f>
        <v>137</v>
      </c>
      <c r="J139" s="9" t="str">
        <f>IF(动作要素测量!J683="","",动作要素测量!J683)</f>
        <v/>
      </c>
      <c r="K139" s="9" t="str">
        <f>IF(动作要素测量!J684="","",动作要素测量!J684)</f>
        <v/>
      </c>
      <c r="L139" s="9" t="str">
        <f>IF(动作要素测量!J685="","",动作要素测量!J685)</f>
        <v/>
      </c>
      <c r="M139" s="9" t="str">
        <f>IF(动作要素测量!J686="","",动作要素测量!J686)</f>
        <v/>
      </c>
      <c r="N139" s="9" t="str">
        <f>IF(动作要素测量!J687="","",动作要素测量!J687)</f>
        <v/>
      </c>
      <c r="O139" s="9" t="str">
        <f>IF(COUNT(J139:N139)=0,"",SUM(J139:N139))</f>
        <v/>
      </c>
      <c r="P139" s="9" t="str">
        <f>IF(O139="","",参数设置!B7)</f>
        <v/>
      </c>
      <c r="Q139" s="7" t="str">
        <f>IF(O139="","",IF(P139="","",IF(O139&gt;P139,"超节拍",IF(O139&gt;=P139*0.9,"接近上限","正常"))))</f>
        <v/>
      </c>
    </row>
    <row r="140" spans="9:17" x14ac:dyDescent="0.25">
      <c r="I140" s="7">
        <f>IF(动作要素测量!B688&lt;&gt;"",动作要素测量!A688&amp;"-"&amp;动作要素测量!B688,动作要素测量!A688)</f>
        <v>138</v>
      </c>
      <c r="J140" s="9" t="str">
        <f>IF(动作要素测量!J688="","",动作要素测量!J688)</f>
        <v/>
      </c>
      <c r="K140" s="9" t="str">
        <f>IF(动作要素测量!J689="","",动作要素测量!J689)</f>
        <v/>
      </c>
      <c r="L140" s="9" t="str">
        <f>IF(动作要素测量!J690="","",动作要素测量!J690)</f>
        <v/>
      </c>
      <c r="M140" s="9" t="str">
        <f>IF(动作要素测量!J691="","",动作要素测量!J691)</f>
        <v/>
      </c>
      <c r="N140" s="9" t="str">
        <f>IF(动作要素测量!J692="","",动作要素测量!J692)</f>
        <v/>
      </c>
      <c r="O140" s="9" t="str">
        <f>IF(COUNT(J140:N140)=0,"",SUM(J140:N140))</f>
        <v/>
      </c>
      <c r="P140" s="9" t="str">
        <f>IF(O140="","",参数设置!B7)</f>
        <v/>
      </c>
      <c r="Q140" s="7" t="str">
        <f>IF(O140="","",IF(P140="","",IF(O140&gt;P140,"超节拍",IF(O140&gt;=P140*0.9,"接近上限","正常"))))</f>
        <v/>
      </c>
    </row>
    <row r="141" spans="9:17" x14ac:dyDescent="0.25">
      <c r="I141" s="7">
        <f>IF(动作要素测量!B693&lt;&gt;"",动作要素测量!A693&amp;"-"&amp;动作要素测量!B693,动作要素测量!A693)</f>
        <v>139</v>
      </c>
      <c r="J141" s="9" t="str">
        <f>IF(动作要素测量!J693="","",动作要素测量!J693)</f>
        <v/>
      </c>
      <c r="K141" s="9" t="str">
        <f>IF(动作要素测量!J694="","",动作要素测量!J694)</f>
        <v/>
      </c>
      <c r="L141" s="9" t="str">
        <f>IF(动作要素测量!J695="","",动作要素测量!J695)</f>
        <v/>
      </c>
      <c r="M141" s="9" t="str">
        <f>IF(动作要素测量!J696="","",动作要素测量!J696)</f>
        <v/>
      </c>
      <c r="N141" s="9" t="str">
        <f>IF(动作要素测量!J697="","",动作要素测量!J697)</f>
        <v/>
      </c>
      <c r="O141" s="9" t="str">
        <f>IF(COUNT(J141:N141)=0,"",SUM(J141:N141))</f>
        <v/>
      </c>
      <c r="P141" s="9" t="str">
        <f>IF(O141="","",参数设置!B7)</f>
        <v/>
      </c>
      <c r="Q141" s="7" t="str">
        <f>IF(O141="","",IF(P141="","",IF(O141&gt;P141,"超节拍",IF(O141&gt;=P141*0.9,"接近上限","正常"))))</f>
        <v/>
      </c>
    </row>
    <row r="142" spans="9:17" x14ac:dyDescent="0.25">
      <c r="I142" s="7">
        <f>IF(动作要素测量!B698&lt;&gt;"",动作要素测量!A698&amp;"-"&amp;动作要素测量!B698,动作要素测量!A698)</f>
        <v>140</v>
      </c>
      <c r="J142" s="9" t="str">
        <f>IF(动作要素测量!J698="","",动作要素测量!J698)</f>
        <v/>
      </c>
      <c r="K142" s="9" t="str">
        <f>IF(动作要素测量!J699="","",动作要素测量!J699)</f>
        <v/>
      </c>
      <c r="L142" s="9" t="str">
        <f>IF(动作要素测量!J700="","",动作要素测量!J700)</f>
        <v/>
      </c>
      <c r="M142" s="9" t="str">
        <f>IF(动作要素测量!J701="","",动作要素测量!J701)</f>
        <v/>
      </c>
      <c r="N142" s="9" t="str">
        <f>IF(动作要素测量!J702="","",动作要素测量!J702)</f>
        <v/>
      </c>
      <c r="O142" s="9" t="str">
        <f>IF(COUNT(J142:N142)=0,"",SUM(J142:N142))</f>
        <v/>
      </c>
      <c r="P142" s="9" t="str">
        <f>IF(O142="","",参数设置!B7)</f>
        <v/>
      </c>
      <c r="Q142" s="7" t="str">
        <f>IF(O142="","",IF(P142="","",IF(O142&gt;P142,"超节拍",IF(O142&gt;=P142*0.9,"接近上限","正常"))))</f>
        <v/>
      </c>
    </row>
  </sheetData>
  <mergeCells count="1">
    <mergeCell ref="A1:H1"/>
  </mergeCells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使用说明</vt:lpstr>
      <vt:lpstr>参数设置</vt:lpstr>
      <vt:lpstr>动作要素测量</vt:lpstr>
      <vt:lpstr>员工负荷表</vt:lpstr>
      <vt:lpstr>山积分析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祥宇 李</dc:creator>
  <cp:lastModifiedBy>祥宇 李</cp:lastModifiedBy>
  <dcterms:created xsi:type="dcterms:W3CDTF">2026-05-17T14:06:34Z</dcterms:created>
  <dcterms:modified xsi:type="dcterms:W3CDTF">2026-05-17T14:06:51Z</dcterms:modified>
</cp:coreProperties>
</file>