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gongshibiao\outputs\worktime_new_template\"/>
    </mc:Choice>
  </mc:AlternateContent>
  <xr:revisionPtr revIDLastSave="0" documentId="13_ncr:1_{2423EEA6-876E-4A12-B7C0-2D574687CB33}" xr6:coauthVersionLast="47" xr6:coauthVersionMax="47" xr10:uidLastSave="{00000000-0000-0000-0000-000000000000}"/>
  <bookViews>
    <workbookView xWindow="9048" yWindow="4380" windowWidth="9384" windowHeight="9300" firstSheet="1" activeTab="2" xr2:uid="{8BD72446-F75D-4E96-B898-D98BDAD5EDB8}"/>
  </bookViews>
  <sheets>
    <sheet name="使用说明" sheetId="4" r:id="rId1"/>
    <sheet name="参数设置" sheetId="3" r:id="rId2"/>
    <sheet name="工序测量" sheetId="2" r:id="rId3"/>
    <sheet name="山积分析" sheetId="1" r:id="rId4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K12" i="2" s="1"/>
  <c r="H3" i="2"/>
  <c r="H4" i="2"/>
  <c r="H5" i="2"/>
  <c r="H6" i="2"/>
  <c r="H7" i="2"/>
  <c r="H8" i="2"/>
  <c r="H9" i="2"/>
  <c r="H10" i="2"/>
  <c r="H11" i="2"/>
  <c r="H12" i="2"/>
  <c r="A3" i="2"/>
  <c r="A4" i="2"/>
  <c r="A5" i="2"/>
  <c r="A6" i="2"/>
  <c r="A7" i="2"/>
  <c r="A8" i="2"/>
  <c r="A9" i="2"/>
  <c r="A10" i="2"/>
  <c r="A11" i="2"/>
  <c r="A12" i="2"/>
  <c r="B12" i="3"/>
  <c r="B11" i="3"/>
  <c r="K11" i="2" l="1"/>
  <c r="K10" i="2"/>
  <c r="K8" i="2"/>
  <c r="L8" i="2"/>
  <c r="O8" i="2" s="1"/>
  <c r="K4" i="2"/>
  <c r="L7" i="2"/>
  <c r="O7" i="2" s="1"/>
  <c r="K3" i="2"/>
  <c r="L4" i="2"/>
  <c r="O4" i="2" s="1"/>
  <c r="L3" i="2"/>
  <c r="O3" i="2" s="1"/>
  <c r="L6" i="2"/>
  <c r="O6" i="2" s="1"/>
  <c r="L5" i="2"/>
  <c r="O5" i="2" s="1"/>
  <c r="L12" i="2"/>
  <c r="M12" i="2" s="1"/>
  <c r="L9" i="2"/>
  <c r="O9" i="2" s="1"/>
  <c r="L11" i="2"/>
  <c r="M11" i="2" s="1"/>
  <c r="K9" i="2"/>
  <c r="K7" i="2"/>
  <c r="L10" i="2"/>
  <c r="K6" i="2"/>
  <c r="K5" i="2"/>
  <c r="R4" i="2"/>
  <c r="Q4" i="2"/>
  <c r="M10" i="2" l="1"/>
  <c r="M7" i="2"/>
  <c r="M5" i="2"/>
  <c r="M6" i="2"/>
  <c r="M3" i="2"/>
  <c r="M4" i="2"/>
  <c r="M9" i="2"/>
  <c r="R8" i="2"/>
  <c r="M8" i="2"/>
  <c r="Q8" i="2"/>
  <c r="R11" i="2"/>
  <c r="Q12" i="2"/>
  <c r="R12" i="2"/>
  <c r="Q3" i="2"/>
  <c r="R3" i="2"/>
  <c r="R9" i="2"/>
  <c r="O12" i="2"/>
  <c r="Q9" i="2"/>
  <c r="Q7" i="2"/>
  <c r="B3" i="1"/>
  <c r="R7" i="2"/>
  <c r="O11" i="2"/>
  <c r="O10" i="2"/>
  <c r="R10" i="2"/>
  <c r="Q10" i="2"/>
  <c r="Q11" i="2"/>
  <c r="R6" i="2"/>
  <c r="R5" i="2"/>
  <c r="Q6" i="2"/>
  <c r="Q5" i="2"/>
</calcChain>
</file>

<file path=xl/sharedStrings.xml><?xml version="1.0" encoding="utf-8"?>
<sst xmlns="http://schemas.openxmlformats.org/spreadsheetml/2006/main" count="59" uniqueCount="56">
  <si>
    <t>工时测量与负荷山积自动化模板</t>
  </si>
  <si>
    <t>用途</t>
  </si>
  <si>
    <t>用于录入工序、采样时间、自动计算标准工时和工序负荷，并自动维护山积分析。</t>
  </si>
  <si>
    <t>怎么加工序</t>
  </si>
  <si>
    <t>直接在“工序测量”表格最后一行的下一行继续录入。Excel Table 会自动扩表，公式会自动续接。</t>
  </si>
  <si>
    <t>为什么别再手插普通行</t>
  </si>
  <si>
    <t>旧表的公式和图表基于固定区域，手插普通行容易打断引用。这个新模板改成“表格驱动”，建议只在表尾续写。</t>
  </si>
  <si>
    <t>图表更新</t>
  </si>
  <si>
    <t>山积图预设覆盖 140 个工序行。继续在工序表中录入时，图表会显示新增工序。</t>
  </si>
  <si>
    <t>录入建议</t>
  </si>
  <si>
    <t>先填参数，再填工序名称、动作说明、人员和测量值。</t>
  </si>
  <si>
    <t>参数设置</t>
  </si>
  <si>
    <t>参数</t>
  </si>
  <si>
    <t>数值</t>
  </si>
  <si>
    <t>说明</t>
  </si>
  <si>
    <t>计划单班产量(pcs/班)</t>
  </si>
  <si>
    <t>由用户自行填写，用于计算目标节拍 TT</t>
  </si>
  <si>
    <t>班次工时(H/班)</t>
  </si>
  <si>
    <t>单班可用工时</t>
  </si>
  <si>
    <t>稼动率</t>
  </si>
  <si>
    <t>有效生产时间比例</t>
  </si>
  <si>
    <t>宽放率</t>
  </si>
  <si>
    <t>疲劳、生理、管理等综合宽放</t>
  </si>
  <si>
    <t>熟练系数</t>
  </si>
  <si>
    <t>评比系数组成项，默认 0</t>
  </si>
  <si>
    <t>努力系数</t>
  </si>
  <si>
    <t>工作环境系数</t>
  </si>
  <si>
    <t>一致性系数</t>
  </si>
  <si>
    <t>综合评比系数</t>
  </si>
  <si>
    <t>熟练系数、努力系数、工作环境系数、一致性系数四项合计</t>
  </si>
  <si>
    <t>目标节拍TT(s)</t>
  </si>
  <si>
    <t>单班可用秒数除以计划单班产量</t>
  </si>
  <si>
    <t>工序号</t>
  </si>
  <si>
    <t>工序名称</t>
  </si>
  <si>
    <t>测量1</t>
  </si>
  <si>
    <t>测量2</t>
  </si>
  <si>
    <t>测量3</t>
  </si>
  <si>
    <t>测量4</t>
  </si>
  <si>
    <t>测量5</t>
  </si>
  <si>
    <t>平均实测(s)</t>
  </si>
  <si>
    <t>标准工时(s)</t>
  </si>
  <si>
    <t>负荷ST(s)</t>
  </si>
  <si>
    <t>TT基准(s)</t>
  </si>
  <si>
    <t>状态</t>
  </si>
  <si>
    <t>备注</t>
  </si>
  <si>
    <t>负荷山积图</t>
  </si>
  <si>
    <t>线平衡率</t>
    <phoneticPr fontId="4" type="noConversion"/>
  </si>
  <si>
    <t>柱形 = 负荷ST；折线 = TT基准。图表随工序测量表实际输入行数自动更新。</t>
    <phoneticPr fontId="4" type="noConversion"/>
  </si>
  <si>
    <t>负荷ST_正常显示</t>
    <phoneticPr fontId="4" type="noConversion"/>
  </si>
  <si>
    <t>负荷ST_超TT显示</t>
    <phoneticPr fontId="4" type="noConversion"/>
  </si>
  <si>
    <t>工序测量</t>
    <phoneticPr fontId="4" type="noConversion"/>
  </si>
  <si>
    <t>最大CT(s)</t>
    <phoneticPr fontId="4" type="noConversion"/>
  </si>
  <si>
    <t>波动风险</t>
    <phoneticPr fontId="4" type="noConversion"/>
  </si>
  <si>
    <t>状态与波动风险规则</t>
  </si>
  <si>
    <t>人员</t>
    <phoneticPr fontId="4" type="noConversion"/>
  </si>
  <si>
    <t>状态按负荷ST/TT判断：&gt;100%为超节拍，70%~100%为正常，&lt;70%为负荷低；波动风险按最大CT/TT保守判断：&gt;100%为高，95%~100%为中，&lt;95%为低。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</si>
</sst>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7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176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0" xfId="0" applyFont="1" applyFill="1">
      <alignment vertical="center"/>
    </xf>
    <xf numFmtId="0" fontId="7" fillId="3" borderId="0" xfId="0" applyFont="1" applyFill="1" applyAlignment="1">
      <alignment vertical="center" wrapText="1"/>
    </xf>
  </cellXfs>
  <cellStyles count="1">
    <cellStyle name="常规" xfId="0" builtinId="0"/>
  </cellStyles>
  <dxfs count="9"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工序负荷山积图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负荷ST</c:v>
          </c:tx>
          <c:spPr>
            <a:solidFill>
              <a:srgbClr val="002071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0;\-0.00;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工序测量!$B$3:$B$12</c:f>
              <c:numCache>
                <c:formatCode>General</c:formatCode>
                <c:ptCount val="10"/>
              </c:numCache>
            </c:numRef>
          </c:cat>
          <c:val>
            <c:numRef>
              <c:f>工序测量!$Q$3:$Q$12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C-4444-97FE-055BFDA668A4}"/>
            </c:ext>
          </c:extLst>
        </c:ser>
        <c:ser>
          <c:idx val="1"/>
          <c:order val="1"/>
          <c:tx>
            <c:v>超TT</c:v>
          </c:tx>
          <c:spPr>
            <a:solidFill>
              <a:srgbClr val="C0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0;\-0.00;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工序测量!$B$3:$B$12</c:f>
              <c:numCache>
                <c:formatCode>General</c:formatCode>
                <c:ptCount val="10"/>
              </c:numCache>
            </c:numRef>
          </c:cat>
          <c:val>
            <c:numRef>
              <c:f>工序测量!$R$3:$R$12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C-4444-97FE-055BFDA6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808820272"/>
        <c:axId val="1808820752"/>
      </c:barChart>
      <c:lineChart>
        <c:grouping val="standard"/>
        <c:varyColors val="0"/>
        <c:ser>
          <c:idx val="2"/>
          <c:order val="2"/>
          <c:tx>
            <c:v>TT基准</c:v>
          </c:tx>
          <c:spPr>
            <a:ln w="28575">
              <a:solidFill>
                <a:srgbClr val="FF8000"/>
              </a:solidFill>
            </a:ln>
          </c:spPr>
          <c:marker>
            <c:symbol val="none"/>
          </c:marker>
          <c:cat>
            <c:numRef>
              <c:f>工序测量!$B$3:$B$12</c:f>
              <c:numCache>
                <c:formatCode>General</c:formatCode>
                <c:ptCount val="10"/>
              </c:numCache>
            </c:numRef>
          </c:cat>
          <c:val>
            <c:numRef>
              <c:f>工序测量!$L$3:$L$12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444-97FE-055BFDA6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20272"/>
        <c:axId val="1808820752"/>
      </c:lineChart>
      <c:catAx>
        <c:axId val="180882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8820752"/>
        <c:crosses val="autoZero"/>
        <c:auto val="1"/>
        <c:lblAlgn val="ctr"/>
        <c:lblOffset val="100"/>
        <c:noMultiLvlLbl val="0"/>
      </c:catAx>
      <c:valAx>
        <c:axId val="1808820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秒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8820272"/>
        <c:crosses val="autoZero"/>
        <c:crossBetween val="between"/>
      </c:valAx>
    </c:plotArea>
    <c:legend>
      <c:legendPos val="t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6</xdr:row>
      <xdr:rowOff>7620</xdr:rowOff>
    </xdr:from>
    <xdr:to>
      <xdr:col>12</xdr:col>
      <xdr:colOff>304800</xdr:colOff>
      <xdr:row>39</xdr:row>
      <xdr:rowOff>66040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9ED76E-A9AB-C11C-1F4B-1A193E122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BB519-8E50-43A2-8737-494A5ACAF92A}" name="tblProcess" displayName="tblProcess" ref="A2:R12" totalsRowShown="0">
  <autoFilter ref="A2:R12" xr:uid="{34DBB519-8E50-43A2-8737-494A5ACAF92A}"/>
  <tableColumns count="18">
    <tableColumn id="1" xr3:uid="{D0FCE3AB-D09A-4FF3-82F3-91AC01EE1298}" name="工序号">
      <calculatedColumnFormula>ROW()-ROW(tblProcess[#Headers])</calculatedColumnFormula>
    </tableColumn>
    <tableColumn id="2" xr3:uid="{78DEC5D2-613A-4DCF-900D-7E17530841FC}" name="工序名称"/>
    <tableColumn id="5" xr3:uid="{80339FB3-1D13-4D30-B055-AC957359925D}" name="测量1"/>
    <tableColumn id="6" xr3:uid="{93490A54-3B75-4AFD-9773-2CE45A5F06EF}" name="测量2"/>
    <tableColumn id="7" xr3:uid="{572478A2-04CE-447F-BC12-BE981AE8A9F9}" name="测量3"/>
    <tableColumn id="8" xr3:uid="{C4DFC46A-74C7-470F-B146-DBE96F4779FE}" name="测量4"/>
    <tableColumn id="9" xr3:uid="{D25B1AE0-6133-4EA3-AB8C-BD9F7772A1AD}" name="测量5"/>
    <tableColumn id="19" xr3:uid="{B2A31EC1-D41A-45D2-A7A6-A6695443773B}" name="人员">
      <calculatedColumnFormula>IF(OR(tblProcess[[#This Row],[工序名称]]&lt;&gt;"",COUNT(tblProcess[[#This Row],[测量1]]:tblProcess[[#This Row],[测量5]])&gt;0),1,"")</calculatedColumnFormula>
    </tableColumn>
    <tableColumn id="10" xr3:uid="{1AF7A4AA-D663-4D81-B62B-B88C475C3F90}" name="平均实测(s)" dataDxfId="8">
      <calculatedColumnFormula>IF(COUNT(tblProcess[[#This Row],[测量1]]:tblProcess[[#This Row],[测量5]])=0,"",AVERAGE(tblProcess[[#This Row],[测量1]]:tblProcess[[#This Row],[测量5]]))</calculatedColumnFormula>
    </tableColumn>
    <tableColumn id="11" xr3:uid="{5E3A4338-5A8C-4D0A-B306-A618EFAAA2B7}" name="标准工时(s)" dataDxfId="7">
      <calculatedColumnFormula>IF(tblProcess[[#This Row],[平均实测(s)]]="","",tblProcess[[#This Row],[平均实测(s)]]*(1+参数设置!$B$11)*(1+参数设置!$B$6))</calculatedColumnFormula>
    </tableColumn>
    <tableColumn id="12" xr3:uid="{1A343395-DC1C-4D79-8B76-C6BA6FD72CB4}" name="负荷ST(s)" dataDxfId="6">
      <calculatedColumnFormula>IF(OR(tblProcess[[#This Row],[标准工时(s)]]="",tblProcess[[#This Row],[人员]]=""),"",tblProcess[[#This Row],[标准工时(s)]]/tblProcess[[#This Row],[人员]])</calculatedColumnFormula>
    </tableColumn>
    <tableColumn id="13" xr3:uid="{3CD6D69D-6C0E-4AAD-A41A-10859A73BB7C}" name="TT基准(s)" dataDxfId="5">
      <calculatedColumnFormula>IF(tblProcess[[#This Row],[工序号]]="","",参数设置!$B$12)</calculatedColumnFormula>
    </tableColumn>
    <tableColumn id="14" xr3:uid="{13D8C5FC-2F7A-49CD-9547-D91319FB0A46}" name="状态" dataDxfId="4">
      <calculatedColumnFormula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calculatedColumnFormula>
    </tableColumn>
    <tableColumn id="17" xr3:uid="{BE33019C-C696-4E20-B5BD-0AF138019CE3}" name="最大CT(s)" dataDxfId="3">
      <calculatedColumnFormula>IF(COUNT(tblProcess[[#This Row],[测量1]]:tblProcess[[#This Row],[测量5]])=0,"",MAX(tblProcess[[#This Row],[测量1]]:tblProcess[[#This Row],[测量5]]))</calculatedColumnFormula>
    </tableColumn>
    <tableColumn id="18" xr3:uid="{954DBDDB-265B-40C7-8ECE-8AF61FE3A158}" name="波动风险" dataDxfId="2">
      <calculatedColumnFormula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calculatedColumnFormula>
    </tableColumn>
    <tableColumn id="15" xr3:uid="{E2DFE910-CB02-4F21-AE4E-C6C45CF40EC8}" name="备注"/>
    <tableColumn id="3" xr3:uid="{FF89AB43-6456-4185-8CFC-9D9311716214}" name="负荷ST_正常显示" dataDxfId="1">
      <calculatedColumnFormula>IF(OR(tblProcess[[#This Row],[负荷ST(s)]]="",tblProcess[[#This Row],[TT基准(s)]]=""),0,IF(tblProcess[[#This Row],[负荷ST(s)]]&lt;=tblProcess[[#This Row],[TT基准(s)]],tblProcess[[#This Row],[负荷ST(s)]],0))</calculatedColumnFormula>
    </tableColumn>
    <tableColumn id="16" xr3:uid="{EB3BCA80-4031-42A0-95E9-7CB9C873F3DC}" name="负荷ST_超TT显示" dataDxfId="0">
      <calculatedColumnFormula>IF(OR(tblProcess[[#This Row],[负荷ST(s)]]="",tblProcess[[#This Row],[TT基准(s)]]=""),0,IF(tblProcess[[#This Row],[负荷ST(s)]]&gt;tblProcess[[#This Row],[TT基准(s)]],tblProcess[[#This Row],[负荷ST(s)]],0))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6B8F-6575-4339-BD5D-E311A89B0BBD}">
  <dimension ref="A1:H10"/>
  <sheetViews>
    <sheetView workbookViewId="0"/>
  </sheetViews>
  <sheetFormatPr defaultRowHeight="13.8" x14ac:dyDescent="0.25"/>
  <cols>
    <col min="1" max="1" width="18.77734375" customWidth="1"/>
    <col min="2" max="2" width="90.77734375" customWidth="1"/>
  </cols>
  <sheetData>
    <row r="1" spans="1:8" ht="22.8" x14ac:dyDescent="0.25">
      <c r="A1" s="13" t="s">
        <v>0</v>
      </c>
      <c r="B1" s="14"/>
      <c r="C1" s="14"/>
      <c r="D1" s="14"/>
      <c r="E1" s="14"/>
      <c r="F1" s="14"/>
      <c r="G1" s="14"/>
      <c r="H1" s="14"/>
    </row>
    <row r="3" spans="1:8" x14ac:dyDescent="0.25">
      <c r="A3" s="1" t="s">
        <v>1</v>
      </c>
      <c r="B3" s="2" t="s">
        <v>2</v>
      </c>
    </row>
    <row r="4" spans="1:8" x14ac:dyDescent="0.25">
      <c r="A4" s="1" t="s">
        <v>3</v>
      </c>
      <c r="B4" s="2" t="s">
        <v>4</v>
      </c>
    </row>
    <row r="5" spans="1:8" ht="27.6" x14ac:dyDescent="0.25">
      <c r="A5" s="1" t="s">
        <v>5</v>
      </c>
      <c r="B5" s="2" t="s">
        <v>6</v>
      </c>
    </row>
    <row r="6" spans="1:8" x14ac:dyDescent="0.25">
      <c r="A6" s="1" t="s">
        <v>7</v>
      </c>
      <c r="B6" s="2" t="s">
        <v>8</v>
      </c>
    </row>
    <row r="7" spans="1:8" x14ac:dyDescent="0.25">
      <c r="A7" s="1" t="s">
        <v>9</v>
      </c>
      <c r="B7" s="2" t="s">
        <v>10</v>
      </c>
    </row>
    <row r="8" spans="1:8" ht="16.2" x14ac:dyDescent="0.25">
      <c r="A8" s="15" t="s">
        <v>53</v>
      </c>
      <c r="B8" s="15"/>
      <c r="C8" s="15"/>
      <c r="D8" s="15"/>
      <c r="E8" s="15"/>
      <c r="F8" s="15"/>
      <c r="G8" s="15"/>
      <c r="H8" s="15"/>
    </row>
    <row r="9" spans="1:8" ht="36" customHeight="1" x14ac:dyDescent="0.25">
      <c r="A9" s="16" t="s">
        <v>55</v>
      </c>
      <c r="B9" s="16"/>
      <c r="C9" s="16"/>
      <c r="D9" s="16"/>
      <c r="E9" s="16"/>
      <c r="F9" s="16"/>
      <c r="G9" s="16"/>
      <c r="H9" s="16"/>
    </row>
    <row r="10" spans="1:8" ht="18" customHeight="1" x14ac:dyDescent="0.25">
      <c r="A10" s="16"/>
      <c r="B10" s="16"/>
      <c r="C10" s="16"/>
      <c r="D10" s="16"/>
      <c r="E10" s="16"/>
      <c r="F10" s="16"/>
      <c r="G10" s="16"/>
      <c r="H10" s="16"/>
    </row>
  </sheetData>
  <mergeCells count="3">
    <mergeCell ref="A1:H1"/>
    <mergeCell ref="A8:H8"/>
    <mergeCell ref="A9:H10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E6E5-BA51-4031-9F68-4FB8D7E6ADBF}">
  <dimension ref="A1:D12"/>
  <sheetViews>
    <sheetView workbookViewId="0"/>
  </sheetViews>
  <sheetFormatPr defaultRowHeight="13.8" x14ac:dyDescent="0.25"/>
  <cols>
    <col min="1" max="1" width="24.77734375" customWidth="1"/>
    <col min="2" max="2" width="16.77734375" customWidth="1"/>
    <col min="3" max="3" width="48.77734375" customWidth="1"/>
  </cols>
  <sheetData>
    <row r="1" spans="1:4" ht="20.399999999999999" x14ac:dyDescent="0.25">
      <c r="A1" s="12" t="s">
        <v>11</v>
      </c>
      <c r="B1" s="14"/>
      <c r="C1" s="14"/>
      <c r="D1" s="14"/>
    </row>
    <row r="2" spans="1:4" x14ac:dyDescent="0.25">
      <c r="A2" s="7" t="s">
        <v>12</v>
      </c>
      <c r="B2" s="7" t="s">
        <v>13</v>
      </c>
      <c r="C2" s="7" t="s">
        <v>14</v>
      </c>
    </row>
    <row r="3" spans="1:4" x14ac:dyDescent="0.25">
      <c r="A3" s="4" t="s">
        <v>15</v>
      </c>
      <c r="B3" s="4"/>
      <c r="C3" s="4" t="s">
        <v>16</v>
      </c>
    </row>
    <row r="4" spans="1:4" x14ac:dyDescent="0.25">
      <c r="A4" s="4" t="s">
        <v>17</v>
      </c>
      <c r="B4" s="4">
        <v>11</v>
      </c>
      <c r="C4" s="4" t="s">
        <v>18</v>
      </c>
    </row>
    <row r="5" spans="1:4" x14ac:dyDescent="0.25">
      <c r="A5" s="4" t="s">
        <v>19</v>
      </c>
      <c r="B5" s="5">
        <v>1</v>
      </c>
      <c r="C5" s="4" t="s">
        <v>20</v>
      </c>
    </row>
    <row r="6" spans="1:4" x14ac:dyDescent="0.25">
      <c r="A6" s="4" t="s">
        <v>21</v>
      </c>
      <c r="B6" s="5">
        <v>0.05</v>
      </c>
      <c r="C6" s="4" t="s">
        <v>22</v>
      </c>
    </row>
    <row r="7" spans="1:4" x14ac:dyDescent="0.25">
      <c r="A7" s="4" t="s">
        <v>23</v>
      </c>
      <c r="B7" s="6">
        <v>0</v>
      </c>
      <c r="C7" s="4" t="s">
        <v>24</v>
      </c>
    </row>
    <row r="8" spans="1:4" x14ac:dyDescent="0.25">
      <c r="A8" s="4" t="s">
        <v>25</v>
      </c>
      <c r="B8" s="6">
        <v>0</v>
      </c>
      <c r="C8" s="4" t="s">
        <v>24</v>
      </c>
    </row>
    <row r="9" spans="1:4" x14ac:dyDescent="0.25">
      <c r="A9" s="4" t="s">
        <v>26</v>
      </c>
      <c r="B9" s="6">
        <v>0</v>
      </c>
      <c r="C9" s="4" t="s">
        <v>24</v>
      </c>
    </row>
    <row r="10" spans="1:4" x14ac:dyDescent="0.25">
      <c r="A10" s="4" t="s">
        <v>27</v>
      </c>
      <c r="B10" s="6">
        <v>0</v>
      </c>
      <c r="C10" s="4" t="s">
        <v>24</v>
      </c>
    </row>
    <row r="11" spans="1:4" x14ac:dyDescent="0.25">
      <c r="A11" s="4" t="s">
        <v>28</v>
      </c>
      <c r="B11" s="6">
        <f>SUM(B7:B10)</f>
        <v>0</v>
      </c>
      <c r="C11" s="4" t="s">
        <v>29</v>
      </c>
    </row>
    <row r="12" spans="1:4" x14ac:dyDescent="0.25">
      <c r="A12" s="4" t="s">
        <v>30</v>
      </c>
      <c r="B12" s="6" t="str">
        <f>IFERROR(B4*3600*B5/B3,"")</f>
        <v/>
      </c>
      <c r="C12" s="4" t="s">
        <v>31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4E69-88D2-4220-9367-BB98F44F5765}">
  <dimension ref="A1:R1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3.8" x14ac:dyDescent="0.25"/>
  <cols>
    <col min="1" max="1" width="10.77734375" customWidth="1"/>
    <col min="2" max="2" width="28.77734375" customWidth="1"/>
    <col min="3" max="7" width="10.77734375" customWidth="1"/>
    <col min="8" max="8" width="8.77734375" customWidth="1"/>
    <col min="9" max="12" width="13.77734375" customWidth="1"/>
    <col min="13" max="13" width="14.77734375" customWidth="1"/>
    <col min="14" max="14" width="13.77734375" customWidth="1"/>
    <col min="15" max="15" width="14.77734375" customWidth="1"/>
    <col min="16" max="16" width="18.77734375" customWidth="1"/>
    <col min="17" max="18" width="0" hidden="1" customWidth="1"/>
  </cols>
  <sheetData>
    <row r="1" spans="1:18" ht="20.399999999999999" x14ac:dyDescent="0.25">
      <c r="A1" s="12" t="s">
        <v>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8" ht="15.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54</v>
      </c>
      <c r="I2" s="3" t="s">
        <v>39</v>
      </c>
      <c r="J2" s="3" t="s">
        <v>40</v>
      </c>
      <c r="K2" s="3" t="s">
        <v>41</v>
      </c>
      <c r="L2" s="3" t="s">
        <v>42</v>
      </c>
      <c r="M2" t="s">
        <v>43</v>
      </c>
      <c r="N2" s="3" t="s">
        <v>51</v>
      </c>
      <c r="O2" s="11" t="s">
        <v>52</v>
      </c>
      <c r="P2" t="s">
        <v>44</v>
      </c>
      <c r="Q2" t="s">
        <v>48</v>
      </c>
      <c r="R2" t="s">
        <v>49</v>
      </c>
    </row>
    <row r="3" spans="1:18" ht="15.6" x14ac:dyDescent="0.25">
      <c r="A3">
        <f>ROW()-ROW(tblProcess[#Headers])</f>
        <v>1</v>
      </c>
      <c r="H3" t="str">
        <f>IF(OR(tblProcess[[#This Row],[工序名称]]&lt;&gt;"",COUNT(tblProcess[[#This Row],[测量1]]:tblProcess[[#This Row],[测量5]])&gt;0),1,"")</f>
        <v/>
      </c>
      <c r="I3" s="3" t="str">
        <f>IF(COUNT(tblProcess[[#This Row],[测量1]]:tblProcess[[#This Row],[测量5]])=0,"",AVERAGE(tblProcess[[#This Row],[测量1]]:tblProcess[[#This Row],[测量5]]))</f>
        <v/>
      </c>
      <c r="J3" s="3" t="str">
        <f>IF(tblProcess[[#This Row],[平均实测(s)]]="","",tblProcess[[#This Row],[平均实测(s)]]*(1+参数设置!$B$11)*(1+参数设置!$B$6))</f>
        <v/>
      </c>
      <c r="K3" s="3" t="str">
        <f>IF(OR(tblProcess[[#This Row],[标准工时(s)]]="",tblProcess[[#This Row],[人员]]=""),"",tblProcess[[#This Row],[标准工时(s)]]/tblProcess[[#This Row],[人员]])</f>
        <v/>
      </c>
      <c r="L3" s="3" t="str">
        <f>IF(tblProcess[[#This Row],[工序号]]="","",参数设置!$B$12)</f>
        <v/>
      </c>
      <c r="M3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3" s="3" t="str">
        <f>IF(COUNT(tblProcess[[#This Row],[测量1]]:tblProcess[[#This Row],[测量5]])=0,"",MAX(tblProcess[[#This Row],[测量1]]:tblProcess[[#This Row],[测量5]]))</f>
        <v/>
      </c>
      <c r="O3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3">
        <f>IF(OR(tblProcess[[#This Row],[负荷ST(s)]]="",tblProcess[[#This Row],[TT基准(s)]]=""),0,IF(tblProcess[[#This Row],[负荷ST(s)]]&lt;=tblProcess[[#This Row],[TT基准(s)]],tblProcess[[#This Row],[负荷ST(s)]],0))</f>
        <v>0</v>
      </c>
      <c r="R3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4" spans="1:18" ht="15.6" x14ac:dyDescent="0.25">
      <c r="A4">
        <f>ROW()-ROW(tblProcess[#Headers])</f>
        <v>2</v>
      </c>
      <c r="H4" t="str">
        <f>IF(OR(tblProcess[[#This Row],[工序名称]]&lt;&gt;"",COUNT(tblProcess[[#This Row],[测量1]]:tblProcess[[#This Row],[测量5]])&gt;0),1,"")</f>
        <v/>
      </c>
      <c r="I4" s="3" t="str">
        <f>IF(COUNT(tblProcess[[#This Row],[测量1]]:tblProcess[[#This Row],[测量5]])=0,"",AVERAGE(tblProcess[[#This Row],[测量1]]:tblProcess[[#This Row],[测量5]]))</f>
        <v/>
      </c>
      <c r="J4" s="3" t="str">
        <f>IF(tblProcess[[#This Row],[平均实测(s)]]="","",tblProcess[[#This Row],[平均实测(s)]]*(1+参数设置!$B$11)*(1+参数设置!$B$6))</f>
        <v/>
      </c>
      <c r="K4" s="3" t="str">
        <f>IF(OR(tblProcess[[#This Row],[标准工时(s)]]="",tblProcess[[#This Row],[人员]]=""),"",tblProcess[[#This Row],[标准工时(s)]]/tblProcess[[#This Row],[人员]])</f>
        <v/>
      </c>
      <c r="L4" s="3" t="str">
        <f>IF(tblProcess[[#This Row],[工序号]]="","",参数设置!$B$12)</f>
        <v/>
      </c>
      <c r="M4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4" s="3" t="str">
        <f>IF(COUNT(tblProcess[[#This Row],[测量1]]:tblProcess[[#This Row],[测量5]])=0,"",MAX(tblProcess[[#This Row],[测量1]]:tblProcess[[#This Row],[测量5]]))</f>
        <v/>
      </c>
      <c r="O4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4">
        <f>IF(OR(tblProcess[[#This Row],[负荷ST(s)]]="",tblProcess[[#This Row],[TT基准(s)]]=""),0,IF(tblProcess[[#This Row],[负荷ST(s)]]&lt;=tblProcess[[#This Row],[TT基准(s)]],tblProcess[[#This Row],[负荷ST(s)]],0))</f>
        <v>0</v>
      </c>
      <c r="R4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5" spans="1:18" ht="15.6" x14ac:dyDescent="0.25">
      <c r="A5">
        <f>ROW()-ROW(tblProcess[#Headers])</f>
        <v>3</v>
      </c>
      <c r="H5" t="str">
        <f>IF(OR(tblProcess[[#This Row],[工序名称]]&lt;&gt;"",COUNT(tblProcess[[#This Row],[测量1]]:tblProcess[[#This Row],[测量5]])&gt;0),1,"")</f>
        <v/>
      </c>
      <c r="I5" s="3" t="str">
        <f>IF(COUNT(tblProcess[[#This Row],[测量1]]:tblProcess[[#This Row],[测量5]])=0,"",AVERAGE(tblProcess[[#This Row],[测量1]]:tblProcess[[#This Row],[测量5]]))</f>
        <v/>
      </c>
      <c r="J5" s="3" t="str">
        <f>IF(tblProcess[[#This Row],[平均实测(s)]]="","",tblProcess[[#This Row],[平均实测(s)]]*(1+参数设置!$B$11)*(1+参数设置!$B$6))</f>
        <v/>
      </c>
      <c r="K5" s="3" t="str">
        <f>IF(OR(tblProcess[[#This Row],[标准工时(s)]]="",tblProcess[[#This Row],[人员]]=""),"",tblProcess[[#This Row],[标准工时(s)]]/tblProcess[[#This Row],[人员]])</f>
        <v/>
      </c>
      <c r="L5" s="3" t="str">
        <f>IF(tblProcess[[#This Row],[工序号]]="","",参数设置!$B$12)</f>
        <v/>
      </c>
      <c r="M5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5" s="3" t="str">
        <f>IF(COUNT(tblProcess[[#This Row],[测量1]]:tblProcess[[#This Row],[测量5]])=0,"",MAX(tblProcess[[#This Row],[测量1]]:tblProcess[[#This Row],[测量5]]))</f>
        <v/>
      </c>
      <c r="O5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5">
        <f>IF(OR(tblProcess[[#This Row],[负荷ST(s)]]="",tblProcess[[#This Row],[TT基准(s)]]=""),0,IF(tblProcess[[#This Row],[负荷ST(s)]]&lt;=tblProcess[[#This Row],[TT基准(s)]],tblProcess[[#This Row],[负荷ST(s)]],0))</f>
        <v>0</v>
      </c>
      <c r="R5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6" spans="1:18" ht="15.6" x14ac:dyDescent="0.25">
      <c r="A6">
        <f>ROW()-ROW(tblProcess[#Headers])</f>
        <v>4</v>
      </c>
      <c r="H6" t="str">
        <f>IF(OR(tblProcess[[#This Row],[工序名称]]&lt;&gt;"",COUNT(tblProcess[[#This Row],[测量1]]:tblProcess[[#This Row],[测量5]])&gt;0),1,"")</f>
        <v/>
      </c>
      <c r="I6" s="3" t="str">
        <f>IF(COUNT(tblProcess[[#This Row],[测量1]]:tblProcess[[#This Row],[测量5]])=0,"",AVERAGE(tblProcess[[#This Row],[测量1]]:tblProcess[[#This Row],[测量5]]))</f>
        <v/>
      </c>
      <c r="J6" s="3" t="str">
        <f>IF(tblProcess[[#This Row],[平均实测(s)]]="","",tblProcess[[#This Row],[平均实测(s)]]*(1+参数设置!$B$11)*(1+参数设置!$B$6))</f>
        <v/>
      </c>
      <c r="K6" s="3" t="str">
        <f>IF(OR(tblProcess[[#This Row],[标准工时(s)]]="",tblProcess[[#This Row],[人员]]=""),"",tblProcess[[#This Row],[标准工时(s)]]/tblProcess[[#This Row],[人员]])</f>
        <v/>
      </c>
      <c r="L6" s="3" t="str">
        <f>IF(tblProcess[[#This Row],[工序号]]="","",参数设置!$B$12)</f>
        <v/>
      </c>
      <c r="M6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6" s="3" t="str">
        <f>IF(COUNT(tblProcess[[#This Row],[测量1]]:tblProcess[[#This Row],[测量5]])=0,"",MAX(tblProcess[[#This Row],[测量1]]:tblProcess[[#This Row],[测量5]]))</f>
        <v/>
      </c>
      <c r="O6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6">
        <f>IF(OR(tblProcess[[#This Row],[负荷ST(s)]]="",tblProcess[[#This Row],[TT基准(s)]]=""),0,IF(tblProcess[[#This Row],[负荷ST(s)]]&lt;=tblProcess[[#This Row],[TT基准(s)]],tblProcess[[#This Row],[负荷ST(s)]],0))</f>
        <v>0</v>
      </c>
      <c r="R6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7" spans="1:18" ht="15.6" x14ac:dyDescent="0.25">
      <c r="A7">
        <f>ROW()-ROW(tblProcess[#Headers])</f>
        <v>5</v>
      </c>
      <c r="H7" t="str">
        <f>IF(OR(tblProcess[[#This Row],[工序名称]]&lt;&gt;"",COUNT(tblProcess[[#This Row],[测量1]]:tblProcess[[#This Row],[测量5]])&gt;0),1,"")</f>
        <v/>
      </c>
      <c r="I7" s="3" t="str">
        <f>IF(COUNT(tblProcess[[#This Row],[测量1]]:tblProcess[[#This Row],[测量5]])=0,"",AVERAGE(tblProcess[[#This Row],[测量1]]:tblProcess[[#This Row],[测量5]]))</f>
        <v/>
      </c>
      <c r="J7" s="3" t="str">
        <f>IF(tblProcess[[#This Row],[平均实测(s)]]="","",tblProcess[[#This Row],[平均实测(s)]]*(1+参数设置!$B$11)*(1+参数设置!$B$6))</f>
        <v/>
      </c>
      <c r="K7" s="3" t="str">
        <f>IF(OR(tblProcess[[#This Row],[标准工时(s)]]="",tblProcess[[#This Row],[人员]]=""),"",tblProcess[[#This Row],[标准工时(s)]]/tblProcess[[#This Row],[人员]])</f>
        <v/>
      </c>
      <c r="L7" s="3" t="str">
        <f>IF(tblProcess[[#This Row],[工序号]]="","",参数设置!$B$12)</f>
        <v/>
      </c>
      <c r="M7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7" s="3" t="str">
        <f>IF(COUNT(tblProcess[[#This Row],[测量1]]:tblProcess[[#This Row],[测量5]])=0,"",MAX(tblProcess[[#This Row],[测量1]]:tblProcess[[#This Row],[测量5]]))</f>
        <v/>
      </c>
      <c r="O7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7">
        <f>IF(OR(tblProcess[[#This Row],[负荷ST(s)]]="",tblProcess[[#This Row],[TT基准(s)]]=""),0,IF(tblProcess[[#This Row],[负荷ST(s)]]&lt;=tblProcess[[#This Row],[TT基准(s)]],tblProcess[[#This Row],[负荷ST(s)]],0))</f>
        <v>0</v>
      </c>
      <c r="R7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8" spans="1:18" ht="15.6" x14ac:dyDescent="0.25">
      <c r="A8">
        <f>ROW()-ROW(tblProcess[#Headers])</f>
        <v>6</v>
      </c>
      <c r="H8" t="str">
        <f>IF(OR(tblProcess[[#This Row],[工序名称]]&lt;&gt;"",COUNT(tblProcess[[#This Row],[测量1]]:tblProcess[[#This Row],[测量5]])&gt;0),1,"")</f>
        <v/>
      </c>
      <c r="I8" s="3" t="str">
        <f>IF(COUNT(tblProcess[[#This Row],[测量1]]:tblProcess[[#This Row],[测量5]])=0,"",AVERAGE(tblProcess[[#This Row],[测量1]]:tblProcess[[#This Row],[测量5]]))</f>
        <v/>
      </c>
      <c r="J8" s="3" t="str">
        <f>IF(tblProcess[[#This Row],[平均实测(s)]]="","",tblProcess[[#This Row],[平均实测(s)]]*(1+参数设置!$B$11)*(1+参数设置!$B$6))</f>
        <v/>
      </c>
      <c r="K8" s="3" t="str">
        <f>IF(OR(tblProcess[[#This Row],[标准工时(s)]]="",tblProcess[[#This Row],[人员]]=""),"",tblProcess[[#This Row],[标准工时(s)]]/tblProcess[[#This Row],[人员]])</f>
        <v/>
      </c>
      <c r="L8" s="3" t="str">
        <f>IF(tblProcess[[#This Row],[工序号]]="","",参数设置!$B$12)</f>
        <v/>
      </c>
      <c r="M8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8" s="3" t="str">
        <f>IF(COUNT(tblProcess[[#This Row],[测量1]]:tblProcess[[#This Row],[测量5]])=0,"",MAX(tblProcess[[#This Row],[测量1]]:tblProcess[[#This Row],[测量5]]))</f>
        <v/>
      </c>
      <c r="O8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8">
        <f>IF(OR(tblProcess[[#This Row],[负荷ST(s)]]="",tblProcess[[#This Row],[TT基准(s)]]=""),0,IF(tblProcess[[#This Row],[负荷ST(s)]]&lt;=tblProcess[[#This Row],[TT基准(s)]],tblProcess[[#This Row],[负荷ST(s)]],0))</f>
        <v>0</v>
      </c>
      <c r="R8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9" spans="1:18" ht="15.6" x14ac:dyDescent="0.25">
      <c r="A9">
        <f>ROW()-ROW(tblProcess[#Headers])</f>
        <v>7</v>
      </c>
      <c r="H9" t="str">
        <f>IF(OR(tblProcess[[#This Row],[工序名称]]&lt;&gt;"",COUNT(tblProcess[[#This Row],[测量1]]:tblProcess[[#This Row],[测量5]])&gt;0),1,"")</f>
        <v/>
      </c>
      <c r="I9" s="3" t="str">
        <f>IF(COUNT(tblProcess[[#This Row],[测量1]]:tblProcess[[#This Row],[测量5]])=0,"",AVERAGE(tblProcess[[#This Row],[测量1]]:tblProcess[[#This Row],[测量5]]))</f>
        <v/>
      </c>
      <c r="J9" s="3" t="str">
        <f>IF(tblProcess[[#This Row],[平均实测(s)]]="","",tblProcess[[#This Row],[平均实测(s)]]*(1+参数设置!$B$11)*(1+参数设置!$B$6))</f>
        <v/>
      </c>
      <c r="K9" s="3" t="str">
        <f>IF(OR(tblProcess[[#This Row],[标准工时(s)]]="",tblProcess[[#This Row],[人员]]=""),"",tblProcess[[#This Row],[标准工时(s)]]/tblProcess[[#This Row],[人员]])</f>
        <v/>
      </c>
      <c r="L9" s="3" t="str">
        <f>IF(tblProcess[[#This Row],[工序号]]="","",参数设置!$B$12)</f>
        <v/>
      </c>
      <c r="M9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9" s="3" t="str">
        <f>IF(COUNT(tblProcess[[#This Row],[测量1]]:tblProcess[[#This Row],[测量5]])=0,"",MAX(tblProcess[[#This Row],[测量1]]:tblProcess[[#This Row],[测量5]]))</f>
        <v/>
      </c>
      <c r="O9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9">
        <f>IF(OR(tblProcess[[#This Row],[负荷ST(s)]]="",tblProcess[[#This Row],[TT基准(s)]]=""),0,IF(tblProcess[[#This Row],[负荷ST(s)]]&lt;=tblProcess[[#This Row],[TT基准(s)]],tblProcess[[#This Row],[负荷ST(s)]],0))</f>
        <v>0</v>
      </c>
      <c r="R9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10" spans="1:18" ht="15.6" x14ac:dyDescent="0.25">
      <c r="A10">
        <f>ROW()-ROW(tblProcess[#Headers])</f>
        <v>8</v>
      </c>
      <c r="H10" t="str">
        <f>IF(OR(tblProcess[[#This Row],[工序名称]]&lt;&gt;"",COUNT(tblProcess[[#This Row],[测量1]]:tblProcess[[#This Row],[测量5]])&gt;0),1,"")</f>
        <v/>
      </c>
      <c r="I10" s="3" t="str">
        <f>IF(COUNT(tblProcess[[#This Row],[测量1]]:tblProcess[[#This Row],[测量5]])=0,"",AVERAGE(tblProcess[[#This Row],[测量1]]:tblProcess[[#This Row],[测量5]]))</f>
        <v/>
      </c>
      <c r="J10" s="3" t="str">
        <f>IF(tblProcess[[#This Row],[平均实测(s)]]="","",tblProcess[[#This Row],[平均实测(s)]]*(1+参数设置!$B$11)*(1+参数设置!$B$6))</f>
        <v/>
      </c>
      <c r="K10" s="3" t="str">
        <f>IF(OR(tblProcess[[#This Row],[标准工时(s)]]="",tblProcess[[#This Row],[人员]]=""),"",tblProcess[[#This Row],[标准工时(s)]]/tblProcess[[#This Row],[人员]])</f>
        <v/>
      </c>
      <c r="L10" s="3" t="str">
        <f>IF(tblProcess[[#This Row],[工序号]]="","",参数设置!$B$12)</f>
        <v/>
      </c>
      <c r="M10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10" s="3" t="str">
        <f>IF(COUNT(tblProcess[[#This Row],[测量1]]:tblProcess[[#This Row],[测量5]])=0,"",MAX(tblProcess[[#This Row],[测量1]]:tblProcess[[#This Row],[测量5]]))</f>
        <v/>
      </c>
      <c r="O10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10">
        <f>IF(OR(tblProcess[[#This Row],[负荷ST(s)]]="",tblProcess[[#This Row],[TT基准(s)]]=""),0,IF(tblProcess[[#This Row],[负荷ST(s)]]&lt;=tblProcess[[#This Row],[TT基准(s)]],tblProcess[[#This Row],[负荷ST(s)]],0))</f>
        <v>0</v>
      </c>
      <c r="R10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11" spans="1:18" ht="15.6" x14ac:dyDescent="0.25">
      <c r="A11">
        <f>ROW()-ROW(tblProcess[#Headers])</f>
        <v>9</v>
      </c>
      <c r="H11" t="str">
        <f>IF(OR(tblProcess[[#This Row],[工序名称]]&lt;&gt;"",COUNT(tblProcess[[#This Row],[测量1]]:tblProcess[[#This Row],[测量5]])&gt;0),1,"")</f>
        <v/>
      </c>
      <c r="I11" s="3" t="str">
        <f>IF(COUNT(tblProcess[[#This Row],[测量1]]:tblProcess[[#This Row],[测量5]])=0,"",AVERAGE(tblProcess[[#This Row],[测量1]]:tblProcess[[#This Row],[测量5]]))</f>
        <v/>
      </c>
      <c r="J11" s="3" t="str">
        <f>IF(tblProcess[[#This Row],[平均实测(s)]]="","",tblProcess[[#This Row],[平均实测(s)]]*(1+参数设置!$B$11)*(1+参数设置!$B$6))</f>
        <v/>
      </c>
      <c r="K11" s="3" t="str">
        <f>IF(OR(tblProcess[[#This Row],[标准工时(s)]]="",tblProcess[[#This Row],[人员]]=""),"",tblProcess[[#This Row],[标准工时(s)]]/tblProcess[[#This Row],[人员]])</f>
        <v/>
      </c>
      <c r="L11" s="3" t="str">
        <f>IF(tblProcess[[#This Row],[工序号]]="","",参数设置!$B$12)</f>
        <v/>
      </c>
      <c r="M11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11" s="3" t="str">
        <f>IF(COUNT(tblProcess[[#This Row],[测量1]]:tblProcess[[#This Row],[测量5]])=0,"",MAX(tblProcess[[#This Row],[测量1]]:tblProcess[[#This Row],[测量5]]))</f>
        <v/>
      </c>
      <c r="O11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11">
        <f>IF(OR(tblProcess[[#This Row],[负荷ST(s)]]="",tblProcess[[#This Row],[TT基准(s)]]=""),0,IF(tblProcess[[#This Row],[负荷ST(s)]]&lt;=tblProcess[[#This Row],[TT基准(s)]],tblProcess[[#This Row],[负荷ST(s)]],0))</f>
        <v>0</v>
      </c>
      <c r="R11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12" spans="1:18" ht="15.6" x14ac:dyDescent="0.25">
      <c r="A12">
        <f>ROW()-ROW(tblProcess[#Headers])</f>
        <v>10</v>
      </c>
      <c r="C12" s="3"/>
      <c r="H12" t="str">
        <f>IF(OR(tblProcess[[#This Row],[工序名称]]&lt;&gt;"",COUNT(tblProcess[[#This Row],[测量1]]:tblProcess[[#This Row],[测量5]])&gt;0),1,"")</f>
        <v/>
      </c>
      <c r="I12" s="3" t="str">
        <f>IF(COUNT(tblProcess[[#This Row],[测量1]]:tblProcess[[#This Row],[测量5]])=0,"",AVERAGE(tblProcess[[#This Row],[测量1]]:tblProcess[[#This Row],[测量5]]))</f>
        <v/>
      </c>
      <c r="J12" s="3" t="str">
        <f>IF(tblProcess[[#This Row],[平均实测(s)]]="","",tblProcess[[#This Row],[平均实测(s)]]*(1+参数设置!$B$11)*(1+参数设置!$B$6))</f>
        <v/>
      </c>
      <c r="K12" s="3" t="str">
        <f>IF(OR(tblProcess[[#This Row],[标准工时(s)]]="",tblProcess[[#This Row],[人员]]=""),"",tblProcess[[#This Row],[标准工时(s)]]/tblProcess[[#This Row],[人员]])</f>
        <v/>
      </c>
      <c r="L12" s="3" t="str">
        <f>IF(tblProcess[[#This Row],[工序号]]="","",参数设置!$B$12)</f>
        <v/>
      </c>
      <c r="M1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N12" s="3" t="str">
        <f>IF(COUNT(tblProcess[[#This Row],[测量1]]:tblProcess[[#This Row],[测量5]])=0,"",MAX(tblProcess[[#This Row],[测量1]]:tblProcess[[#This Row],[测量5]]))</f>
        <v/>
      </c>
      <c r="O12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12">
        <f>IF(OR(tblProcess[[#This Row],[负荷ST(s)]]="",tblProcess[[#This Row],[TT基准(s)]]=""),0,IF(tblProcess[[#This Row],[负荷ST(s)]]&lt;=tblProcess[[#This Row],[TT基准(s)]],tblProcess[[#This Row],[负荷ST(s)]],0))</f>
        <v>0</v>
      </c>
      <c r="R12">
        <f>IF(OR(tblProcess[[#This Row],[负荷ST(s)]]="",tblProcess[[#This Row],[TT基准(s)]]=""),0,IF(tblProcess[[#This Row],[负荷ST(s)]]&gt;tblProcess[[#This Row],[TT基准(s)]],tblProcess[[#This Row],[负荷ST(s)]],0))</f>
        <v>0</v>
      </c>
    </row>
  </sheetData>
  <mergeCells count="1">
    <mergeCell ref="A1:P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7C38-83D2-4F67-90B5-AE3AC540AD49}">
  <dimension ref="A1:H3"/>
  <sheetViews>
    <sheetView workbookViewId="0"/>
  </sheetViews>
  <sheetFormatPr defaultRowHeight="13.8" x14ac:dyDescent="0.25"/>
  <cols>
    <col min="1" max="1" width="16.77734375" customWidth="1"/>
    <col min="2" max="2" width="12.77734375" customWidth="1"/>
  </cols>
  <sheetData>
    <row r="1" spans="1:8" ht="20.399999999999999" x14ac:dyDescent="0.25">
      <c r="A1" s="12" t="s">
        <v>45</v>
      </c>
      <c r="B1" s="14"/>
      <c r="C1" s="14"/>
      <c r="D1" s="14"/>
      <c r="E1" s="14"/>
      <c r="F1" s="14"/>
      <c r="G1" s="14"/>
      <c r="H1" s="14"/>
    </row>
    <row r="2" spans="1:8" x14ac:dyDescent="0.25">
      <c r="B2" t="s">
        <v>47</v>
      </c>
    </row>
    <row r="3" spans="1:8" ht="16.2" x14ac:dyDescent="0.25">
      <c r="A3" s="9" t="s">
        <v>46</v>
      </c>
      <c r="B3" s="10" t="str">
        <f>IFERROR(SUM(tblProcess[负荷ST(s)])/(MAX(tblProcess[负荷ST(s)])*COUNT(tblProcess[负荷ST(s)])),"")</f>
        <v/>
      </c>
      <c r="E3" s="8"/>
    </row>
  </sheetData>
  <mergeCells count="1">
    <mergeCell ref="A1:H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参数设置</vt:lpstr>
      <vt:lpstr>工序测量</vt:lpstr>
      <vt:lpstr>山积分析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祥宇 李</dc:creator>
  <cp:lastModifiedBy>祥宇 李</cp:lastModifiedBy>
  <dcterms:created xsi:type="dcterms:W3CDTF">2026-05-13T09:03:46Z</dcterms:created>
  <dcterms:modified xsi:type="dcterms:W3CDTF">2026-05-25T10:01:23Z</dcterms:modified>
</cp:coreProperties>
</file>