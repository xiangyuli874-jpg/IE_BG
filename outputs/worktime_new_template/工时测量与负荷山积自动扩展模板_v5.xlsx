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gongshibiao\outputs\worktime_new_template\"/>
    </mc:Choice>
  </mc:AlternateContent>
  <xr:revisionPtr revIDLastSave="0" documentId="8_{0D1752B2-A2B0-4B58-AFB4-1D2F9353FD28}" xr6:coauthVersionLast="47" xr6:coauthVersionMax="47" xr10:uidLastSave="{00000000-0000-0000-0000-000000000000}"/>
  <bookViews>
    <workbookView xWindow="-108" yWindow="-108" windowWidth="23256" windowHeight="13896" activeTab="2" xr2:uid="{8BD72446-F75D-4E96-B898-D98BDAD5EDB8}"/>
  </bookViews>
  <sheets>
    <sheet name="使用说明" sheetId="4" r:id="rId1"/>
    <sheet name="参数设置" sheetId="3" r:id="rId2"/>
    <sheet name="工序测量" sheetId="2" r:id="rId3"/>
    <sheet name="山积分析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N3" i="2"/>
  <c r="N4" i="2"/>
  <c r="N5" i="2"/>
  <c r="N6" i="2"/>
  <c r="N7" i="2"/>
  <c r="N8" i="2"/>
  <c r="N9" i="2"/>
  <c r="N10" i="2"/>
  <c r="N11" i="2"/>
  <c r="N12" i="2"/>
  <c r="M3" i="2"/>
  <c r="M4" i="2"/>
  <c r="M5" i="2"/>
  <c r="M6" i="2"/>
  <c r="M7" i="2"/>
  <c r="M8" i="2"/>
  <c r="M9" i="2"/>
  <c r="M10" i="2"/>
  <c r="M11" i="2"/>
  <c r="M12" i="2"/>
  <c r="L3" i="2"/>
  <c r="L4" i="2"/>
  <c r="L5" i="2"/>
  <c r="L6" i="2"/>
  <c r="L7" i="2"/>
  <c r="L8" i="2"/>
  <c r="L9" i="2"/>
  <c r="L10" i="2"/>
  <c r="L11" i="2"/>
  <c r="L12" i="2"/>
  <c r="K3" i="2"/>
  <c r="K4" i="2"/>
  <c r="K5" i="2"/>
  <c r="K6" i="2"/>
  <c r="K7" i="2"/>
  <c r="K8" i="2"/>
  <c r="K9" i="2"/>
  <c r="K10" i="2"/>
  <c r="K11" i="2"/>
  <c r="K12" i="2"/>
  <c r="J3" i="2"/>
  <c r="J4" i="2"/>
  <c r="J5" i="2"/>
  <c r="J6" i="2"/>
  <c r="J7" i="2"/>
  <c r="J8" i="2"/>
  <c r="J9" i="2"/>
  <c r="J10" i="2"/>
  <c r="J11" i="2"/>
  <c r="J12" i="2"/>
  <c r="B12" i="3"/>
  <c r="B11" i="3"/>
</calcChain>
</file>

<file path=xl/sharedStrings.xml><?xml version="1.0" encoding="utf-8"?>
<sst xmlns="http://schemas.openxmlformats.org/spreadsheetml/2006/main" count="55" uniqueCount="51">
  <si>
    <t>工时测量与负荷山积自动化模板</t>
  </si>
  <si>
    <t>用途</t>
  </si>
  <si>
    <t>用于录入工序、采样时间、自动计算标准工时和工序负荷，并自动维护山积分析。</t>
  </si>
  <si>
    <t>怎么加工序</t>
  </si>
  <si>
    <t>直接在“工序测量”表格最后一行的下一行继续录入。Excel Table 会自动扩表，公式会自动续接。</t>
  </si>
  <si>
    <t>为什么别再手插普通行</t>
  </si>
  <si>
    <t>旧表的公式和图表基于固定区域，手插普通行容易打断引用。这个新模板改成“表格驱动”，建议只在表尾续写。</t>
  </si>
  <si>
    <t>图表更新</t>
  </si>
  <si>
    <t>山积图预设覆盖 140 个工序行。继续在工序表中录入时，图表会显示新增工序。</t>
  </si>
  <si>
    <t>录入建议</t>
  </si>
  <si>
    <t>先填参数，再填工序名称、动作说明、人员和测量值。</t>
  </si>
  <si>
    <t>参数设置</t>
  </si>
  <si>
    <t>参数</t>
  </si>
  <si>
    <t>数值</t>
  </si>
  <si>
    <t>说明</t>
  </si>
  <si>
    <t>计划单班产量(pcs/班)</t>
  </si>
  <si>
    <t>由用户自行填写，用于计算目标节拍 TT</t>
  </si>
  <si>
    <t>班次工时(H/班)</t>
  </si>
  <si>
    <t>单班可用工时</t>
  </si>
  <si>
    <t>稼动率</t>
  </si>
  <si>
    <t>有效生产时间比例</t>
  </si>
  <si>
    <t>宽放率</t>
  </si>
  <si>
    <t>疲劳、生理、管理等综合宽放</t>
  </si>
  <si>
    <t>熟练系数</t>
  </si>
  <si>
    <t>评比系数组成项，默认 0</t>
  </si>
  <si>
    <t>努力系数</t>
  </si>
  <si>
    <t>工作环境系数</t>
  </si>
  <si>
    <t>一致性系数</t>
  </si>
  <si>
    <t>综合评比系数</t>
  </si>
  <si>
    <t>熟练系数、努力系数、工作环境系数、一致性系数四项合计</t>
  </si>
  <si>
    <t>目标节拍TT(s)</t>
  </si>
  <si>
    <t>单班可用秒数除以计划单班产量</t>
  </si>
  <si>
    <t>工序测量</t>
  </si>
  <si>
    <t>工序号</t>
  </si>
  <si>
    <t>工序名称</t>
  </si>
  <si>
    <t>作业要素</t>
  </si>
  <si>
    <t>人员</t>
  </si>
  <si>
    <t>测量1</t>
  </si>
  <si>
    <t>测量2</t>
  </si>
  <si>
    <t>测量3</t>
  </si>
  <si>
    <t>测量4</t>
  </si>
  <si>
    <t>测量5</t>
  </si>
  <si>
    <t>平均实测(s)</t>
  </si>
  <si>
    <t>标准工时(s)</t>
  </si>
  <si>
    <t>负荷ST(s)</t>
  </si>
  <si>
    <t>TT基准(s)</t>
  </si>
  <si>
    <t>状态</t>
  </si>
  <si>
    <t>备注</t>
  </si>
  <si>
    <t>负荷山积图</t>
  </si>
  <si>
    <t>柱形 = 负荷ST；折线 = TT基准。图表预设覆盖工序测量表前 140 个工序行。</t>
  </si>
  <si>
    <t>线平衡率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</si>
</sst>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工序负荷山积图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负荷ST</c:v>
          </c:tx>
          <c:invertIfNegative val="0"/>
          <c:cat>
            <c:numRef>
              <c:f>工序测量!$B$3:$B$142</c:f>
              <c:numCache>
                <c:formatCode>General</c:formatCode>
                <c:ptCount val="140"/>
              </c:numCache>
            </c:numRef>
          </c:cat>
          <c:val>
            <c:numRef>
              <c:f>工序测量!$L$3:$L$142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9-43C1-85CD-B351274AE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808820272"/>
        <c:axId val="1808820752"/>
      </c:barChart>
      <c:lineChart>
        <c:grouping val="standard"/>
        <c:varyColors val="0"/>
        <c:ser>
          <c:idx val="1"/>
          <c:order val="1"/>
          <c:tx>
            <c:v>TT基准</c:v>
          </c:tx>
          <c:marker>
            <c:symbol val="none"/>
          </c:marker>
          <c:cat>
            <c:numRef>
              <c:f>工序测量!$B$3:$B$142</c:f>
              <c:numCache>
                <c:formatCode>General</c:formatCode>
                <c:ptCount val="140"/>
              </c:numCache>
            </c:numRef>
          </c:cat>
          <c:val>
            <c:numRef>
              <c:f>工序测量!$M$3:$M$142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9-43C1-85CD-B351274AE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20272"/>
        <c:axId val="1808820752"/>
      </c:lineChart>
      <c:catAx>
        <c:axId val="180882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8820752"/>
        <c:crosses val="autoZero"/>
        <c:auto val="1"/>
        <c:lblAlgn val="ctr"/>
        <c:lblOffset val="100"/>
        <c:noMultiLvlLbl val="0"/>
      </c:catAx>
      <c:valAx>
        <c:axId val="1808820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秒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82027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6</xdr:row>
      <xdr:rowOff>7620</xdr:rowOff>
    </xdr:from>
    <xdr:to>
      <xdr:col>12</xdr:col>
      <xdr:colOff>304800</xdr:colOff>
      <xdr:row>39</xdr:row>
      <xdr:rowOff>66040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9ED76E-A9AB-C11C-1F4B-1A193E122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BB519-8E50-43A2-8737-494A5ACAF92A}" name="tblProcess" displayName="tblProcess" ref="A2:O12" totalsRowShown="0">
  <autoFilter ref="A2:O12" xr:uid="{34DBB519-8E50-43A2-8737-494A5ACAF92A}"/>
  <tableColumns count="15">
    <tableColumn id="1" xr3:uid="{D0FCE3AB-D09A-4FF3-82F3-91AC01EE1298}" name="工序号"/>
    <tableColumn id="2" xr3:uid="{78DEC5D2-613A-4DCF-900D-7E17530841FC}" name="工序名称"/>
    <tableColumn id="3" xr3:uid="{676199B9-A498-4782-B870-9CBACB815159}" name="作业要素"/>
    <tableColumn id="4" xr3:uid="{C41CA098-41D7-49C0-A0F1-9C2B88BCC8F3}" name="人员"/>
    <tableColumn id="5" xr3:uid="{80339FB3-1D13-4D30-B055-AC957359925D}" name="测量1"/>
    <tableColumn id="6" xr3:uid="{93490A54-3B75-4AFD-9773-2CE45A5F06EF}" name="测量2"/>
    <tableColumn id="7" xr3:uid="{572478A2-04CE-447F-BC12-BE981AE8A9F9}" name="测量3"/>
    <tableColumn id="8" xr3:uid="{C4DFC46A-74C7-470F-B146-DBE96F4779FE}" name="测量4"/>
    <tableColumn id="9" xr3:uid="{D25B1AE0-6133-4EA3-AB8C-BD9F7772A1AD}" name="测量5"/>
    <tableColumn id="10" xr3:uid="{1AF7A4AA-D663-4D81-B62B-B88C475C3F90}" name="平均实测(s)" dataDxfId="4">
      <calculatedColumnFormula>IF(COUNT(E3:I3)=0,"",AVERAGE(E3:I3))</calculatedColumnFormula>
    </tableColumn>
    <tableColumn id="11" xr3:uid="{5E3A4338-5A8C-4D0A-B306-A618EFAAA2B7}" name="标准工时(s)" dataDxfId="3">
      <calculatedColumnFormula>IF(J3="","",J3*(1+参数设置!$B$11)*(1+参数设置!$B$6))</calculatedColumnFormula>
    </tableColumn>
    <tableColumn id="12" xr3:uid="{1A343395-DC1C-4D79-8B76-C6BA6FD72CB4}" name="负荷ST(s)" dataDxfId="2">
      <calculatedColumnFormula>IF(OR(K3="",D3=""),"",K3/D3)</calculatedColumnFormula>
    </tableColumn>
    <tableColumn id="13" xr3:uid="{3CD6D69D-6C0E-4AAD-A41A-10859A73BB7C}" name="TT基准(s)" dataDxfId="1">
      <calculatedColumnFormula>IF(A3="","",参数设置!$B$12)</calculatedColumnFormula>
    </tableColumn>
    <tableColumn id="14" xr3:uid="{13D8C5FC-2F7A-49CD-9547-D91319FB0A46}" name="状态" dataDxfId="0">
      <calculatedColumnFormula>IF(L3="","",IF(L3&gt;M3,"超节拍",IF(L3&gt;=M3*0.9,"接近上限","正常")))</calculatedColumnFormula>
    </tableColumn>
    <tableColumn id="15" xr3:uid="{E2DFE910-CB02-4F21-AE4E-C6C45CF40EC8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6B8F-6575-4339-BD5D-E311A89B0BBD}">
  <dimension ref="A1:H7"/>
  <sheetViews>
    <sheetView workbookViewId="0"/>
  </sheetViews>
  <sheetFormatPr defaultRowHeight="13.8" x14ac:dyDescent="0.25"/>
  <cols>
    <col min="1" max="1" width="18.77734375" customWidth="1"/>
    <col min="2" max="2" width="90.77734375" customWidth="1"/>
  </cols>
  <sheetData>
    <row r="1" spans="1:8" ht="22.8" x14ac:dyDescent="0.25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4" t="s">
        <v>2</v>
      </c>
    </row>
    <row r="4" spans="1:8" x14ac:dyDescent="0.25">
      <c r="A4" s="3" t="s">
        <v>3</v>
      </c>
      <c r="B4" s="4" t="s">
        <v>4</v>
      </c>
    </row>
    <row r="5" spans="1:8" ht="27.6" x14ac:dyDescent="0.25">
      <c r="A5" s="3" t="s">
        <v>5</v>
      </c>
      <c r="B5" s="4" t="s">
        <v>6</v>
      </c>
    </row>
    <row r="6" spans="1:8" x14ac:dyDescent="0.25">
      <c r="A6" s="3" t="s">
        <v>7</v>
      </c>
      <c r="B6" s="4" t="s">
        <v>8</v>
      </c>
    </row>
    <row r="7" spans="1:8" x14ac:dyDescent="0.25">
      <c r="A7" s="3" t="s">
        <v>9</v>
      </c>
      <c r="B7" s="4" t="s">
        <v>10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6E5-BA51-4031-9F68-4FB8D7E6ADBF}">
  <dimension ref="A1:D12"/>
  <sheetViews>
    <sheetView workbookViewId="0"/>
  </sheetViews>
  <sheetFormatPr defaultRowHeight="13.8" x14ac:dyDescent="0.25"/>
  <cols>
    <col min="1" max="1" width="24.77734375" customWidth="1"/>
    <col min="2" max="2" width="16.77734375" customWidth="1"/>
    <col min="3" max="3" width="48.77734375" customWidth="1"/>
  </cols>
  <sheetData>
    <row r="1" spans="1:4" ht="20.399999999999999" x14ac:dyDescent="0.25">
      <c r="A1" s="5" t="s">
        <v>11</v>
      </c>
      <c r="B1" s="2"/>
      <c r="C1" s="2"/>
      <c r="D1" s="2"/>
    </row>
    <row r="2" spans="1:4" x14ac:dyDescent="0.25">
      <c r="A2" s="11" t="s">
        <v>12</v>
      </c>
      <c r="B2" s="11" t="s">
        <v>13</v>
      </c>
      <c r="C2" s="11" t="s">
        <v>14</v>
      </c>
    </row>
    <row r="3" spans="1:4" x14ac:dyDescent="0.25">
      <c r="A3" s="8" t="s">
        <v>15</v>
      </c>
      <c r="B3" s="8"/>
      <c r="C3" s="8" t="s">
        <v>16</v>
      </c>
    </row>
    <row r="4" spans="1:4" x14ac:dyDescent="0.25">
      <c r="A4" s="8" t="s">
        <v>17</v>
      </c>
      <c r="B4" s="8">
        <v>11</v>
      </c>
      <c r="C4" s="8" t="s">
        <v>18</v>
      </c>
    </row>
    <row r="5" spans="1:4" x14ac:dyDescent="0.25">
      <c r="A5" s="8" t="s">
        <v>19</v>
      </c>
      <c r="B5" s="9">
        <v>1</v>
      </c>
      <c r="C5" s="8" t="s">
        <v>20</v>
      </c>
    </row>
    <row r="6" spans="1:4" x14ac:dyDescent="0.25">
      <c r="A6" s="8" t="s">
        <v>21</v>
      </c>
      <c r="B6" s="9">
        <v>0.05</v>
      </c>
      <c r="C6" s="8" t="s">
        <v>22</v>
      </c>
    </row>
    <row r="7" spans="1:4" x14ac:dyDescent="0.25">
      <c r="A7" s="8" t="s">
        <v>23</v>
      </c>
      <c r="B7" s="10">
        <v>0</v>
      </c>
      <c r="C7" s="8" t="s">
        <v>24</v>
      </c>
    </row>
    <row r="8" spans="1:4" x14ac:dyDescent="0.25">
      <c r="A8" s="8" t="s">
        <v>25</v>
      </c>
      <c r="B8" s="10">
        <v>0</v>
      </c>
      <c r="C8" s="8" t="s">
        <v>24</v>
      </c>
    </row>
    <row r="9" spans="1:4" x14ac:dyDescent="0.25">
      <c r="A9" s="8" t="s">
        <v>26</v>
      </c>
      <c r="B9" s="10">
        <v>0</v>
      </c>
      <c r="C9" s="8" t="s">
        <v>24</v>
      </c>
    </row>
    <row r="10" spans="1:4" x14ac:dyDescent="0.25">
      <c r="A10" s="8" t="s">
        <v>27</v>
      </c>
      <c r="B10" s="10">
        <v>0</v>
      </c>
      <c r="C10" s="8" t="s">
        <v>24</v>
      </c>
    </row>
    <row r="11" spans="1:4" x14ac:dyDescent="0.25">
      <c r="A11" s="8" t="s">
        <v>28</v>
      </c>
      <c r="B11" s="10">
        <f>SUM(B7:B10)</f>
        <v>0</v>
      </c>
      <c r="C11" s="8" t="s">
        <v>29</v>
      </c>
    </row>
    <row r="12" spans="1:4" x14ac:dyDescent="0.25">
      <c r="A12" s="8" t="s">
        <v>30</v>
      </c>
      <c r="B12" s="10" t="str">
        <f>IFERROR(B4*3600*B5/B3,"")</f>
        <v/>
      </c>
      <c r="C12" s="8" t="s">
        <v>31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E69-88D2-4220-9367-BB98F44F5765}">
  <dimension ref="A1:O1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10.77734375" customWidth="1"/>
    <col min="2" max="2" width="18.77734375" customWidth="1"/>
    <col min="3" max="3" width="28.77734375" customWidth="1"/>
    <col min="4" max="4" width="8.77734375" customWidth="1"/>
    <col min="5" max="9" width="10.77734375" customWidth="1"/>
    <col min="10" max="14" width="14.77734375" customWidth="1"/>
    <col min="15" max="15" width="20.77734375" customWidth="1"/>
  </cols>
  <sheetData>
    <row r="1" spans="1:15" ht="20.399999999999999" x14ac:dyDescent="0.25">
      <c r="A1" s="5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</row>
    <row r="3" spans="1:15" x14ac:dyDescent="0.25">
      <c r="A3">
        <v>1</v>
      </c>
      <c r="D3">
        <v>1</v>
      </c>
      <c r="J3" t="str">
        <f t="shared" ref="J3:J12" si="0">IF(COUNT(E3:I3)=0,"",AVERAGE(E3:I3))</f>
        <v/>
      </c>
      <c r="K3" t="str">
        <f>IF(J3="","",J3*(1+参数设置!$B$11)*(1+参数设置!$B$6))</f>
        <v/>
      </c>
      <c r="L3" t="str">
        <f t="shared" ref="L3:L12" si="1">IF(OR(K3="",D3=""),"",K3/D3)</f>
        <v/>
      </c>
      <c r="M3" t="str">
        <f>IF(A3="","",参数设置!$B$12)</f>
        <v/>
      </c>
      <c r="N3" t="str">
        <f t="shared" ref="N3:N12" si="2">IF(L3="","",IF(L3&gt;M3,"超节拍",IF(L3&gt;=M3*0.9,"接近上限","正常")))</f>
        <v/>
      </c>
    </row>
    <row r="4" spans="1:15" x14ac:dyDescent="0.25">
      <c r="A4">
        <v>2</v>
      </c>
      <c r="D4">
        <v>1</v>
      </c>
      <c r="J4" t="str">
        <f t="shared" si="0"/>
        <v/>
      </c>
      <c r="K4" t="str">
        <f>IF(J4="","",J4*(1+参数设置!$B$11)*(1+参数设置!$B$6))</f>
        <v/>
      </c>
      <c r="L4" t="str">
        <f t="shared" si="1"/>
        <v/>
      </c>
      <c r="M4" t="str">
        <f>IF(A4="","",参数设置!$B$12)</f>
        <v/>
      </c>
      <c r="N4" t="str">
        <f t="shared" si="2"/>
        <v/>
      </c>
    </row>
    <row r="5" spans="1:15" x14ac:dyDescent="0.25">
      <c r="A5">
        <v>3</v>
      </c>
      <c r="D5">
        <v>1</v>
      </c>
      <c r="J5" t="str">
        <f t="shared" si="0"/>
        <v/>
      </c>
      <c r="K5" t="str">
        <f>IF(J5="","",J5*(1+参数设置!$B$11)*(1+参数设置!$B$6))</f>
        <v/>
      </c>
      <c r="L5" t="str">
        <f t="shared" si="1"/>
        <v/>
      </c>
      <c r="M5" t="str">
        <f>IF(A5="","",参数设置!$B$12)</f>
        <v/>
      </c>
      <c r="N5" t="str">
        <f t="shared" si="2"/>
        <v/>
      </c>
    </row>
    <row r="6" spans="1:15" x14ac:dyDescent="0.25">
      <c r="A6">
        <v>4</v>
      </c>
      <c r="D6">
        <v>1</v>
      </c>
      <c r="J6" t="str">
        <f t="shared" si="0"/>
        <v/>
      </c>
      <c r="K6" t="str">
        <f>IF(J6="","",J6*(1+参数设置!$B$11)*(1+参数设置!$B$6))</f>
        <v/>
      </c>
      <c r="L6" t="str">
        <f t="shared" si="1"/>
        <v/>
      </c>
      <c r="M6" t="str">
        <f>IF(A6="","",参数设置!$B$12)</f>
        <v/>
      </c>
      <c r="N6" t="str">
        <f t="shared" si="2"/>
        <v/>
      </c>
    </row>
    <row r="7" spans="1:15" x14ac:dyDescent="0.25">
      <c r="A7">
        <v>5</v>
      </c>
      <c r="D7">
        <v>1</v>
      </c>
      <c r="J7" t="str">
        <f t="shared" si="0"/>
        <v/>
      </c>
      <c r="K7" t="str">
        <f>IF(J7="","",J7*(1+参数设置!$B$11)*(1+参数设置!$B$6))</f>
        <v/>
      </c>
      <c r="L7" t="str">
        <f t="shared" si="1"/>
        <v/>
      </c>
      <c r="M7" t="str">
        <f>IF(A7="","",参数设置!$B$12)</f>
        <v/>
      </c>
      <c r="N7" t="str">
        <f t="shared" si="2"/>
        <v/>
      </c>
    </row>
    <row r="8" spans="1:15" x14ac:dyDescent="0.25">
      <c r="A8">
        <v>6</v>
      </c>
      <c r="D8">
        <v>1</v>
      </c>
      <c r="J8" t="str">
        <f t="shared" si="0"/>
        <v/>
      </c>
      <c r="K8" t="str">
        <f>IF(J8="","",J8*(1+参数设置!$B$11)*(1+参数设置!$B$6))</f>
        <v/>
      </c>
      <c r="L8" t="str">
        <f t="shared" si="1"/>
        <v/>
      </c>
      <c r="M8" t="str">
        <f>IF(A8="","",参数设置!$B$12)</f>
        <v/>
      </c>
      <c r="N8" t="str">
        <f t="shared" si="2"/>
        <v/>
      </c>
    </row>
    <row r="9" spans="1:15" x14ac:dyDescent="0.25">
      <c r="A9">
        <v>7</v>
      </c>
      <c r="D9">
        <v>1</v>
      </c>
      <c r="J9" t="str">
        <f t="shared" si="0"/>
        <v/>
      </c>
      <c r="K9" t="str">
        <f>IF(J9="","",J9*(1+参数设置!$B$11)*(1+参数设置!$B$6))</f>
        <v/>
      </c>
      <c r="L9" t="str">
        <f t="shared" si="1"/>
        <v/>
      </c>
      <c r="M9" t="str">
        <f>IF(A9="","",参数设置!$B$12)</f>
        <v/>
      </c>
      <c r="N9" t="str">
        <f t="shared" si="2"/>
        <v/>
      </c>
    </row>
    <row r="10" spans="1:15" x14ac:dyDescent="0.25">
      <c r="A10">
        <v>8</v>
      </c>
      <c r="D10">
        <v>1</v>
      </c>
      <c r="J10" t="str">
        <f t="shared" si="0"/>
        <v/>
      </c>
      <c r="K10" t="str">
        <f>IF(J10="","",J10*(1+参数设置!$B$11)*(1+参数设置!$B$6))</f>
        <v/>
      </c>
      <c r="L10" t="str">
        <f t="shared" si="1"/>
        <v/>
      </c>
      <c r="M10" t="str">
        <f>IF(A10="","",参数设置!$B$12)</f>
        <v/>
      </c>
      <c r="N10" t="str">
        <f t="shared" si="2"/>
        <v/>
      </c>
    </row>
    <row r="11" spans="1:15" x14ac:dyDescent="0.25">
      <c r="A11">
        <v>9</v>
      </c>
      <c r="D11">
        <v>1</v>
      </c>
      <c r="J11" t="str">
        <f t="shared" si="0"/>
        <v/>
      </c>
      <c r="K11" t="str">
        <f>IF(J11="","",J11*(1+参数设置!$B$11)*(1+参数设置!$B$6))</f>
        <v/>
      </c>
      <c r="L11" t="str">
        <f t="shared" si="1"/>
        <v/>
      </c>
      <c r="M11" t="str">
        <f>IF(A11="","",参数设置!$B$12)</f>
        <v/>
      </c>
      <c r="N11" t="str">
        <f t="shared" si="2"/>
        <v/>
      </c>
    </row>
    <row r="12" spans="1:15" x14ac:dyDescent="0.25">
      <c r="A12">
        <v>10</v>
      </c>
      <c r="D12" s="12">
        <v>1</v>
      </c>
      <c r="E12" s="7"/>
      <c r="J12" t="str">
        <f t="shared" si="0"/>
        <v/>
      </c>
      <c r="K12" t="str">
        <f>IF(J12="","",J12*(1+参数设置!$B$11)*(1+参数设置!$B$6))</f>
        <v/>
      </c>
      <c r="L12" t="str">
        <f t="shared" si="1"/>
        <v/>
      </c>
      <c r="M12" t="str">
        <f>IF(A12="","",参数设置!$B$12)</f>
        <v/>
      </c>
      <c r="N12" t="str">
        <f t="shared" si="2"/>
        <v/>
      </c>
    </row>
  </sheetData>
  <mergeCells count="1">
    <mergeCell ref="A1:O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7C38-83D2-4F67-90B5-AE3AC540AD49}">
  <dimension ref="A1:H3"/>
  <sheetViews>
    <sheetView workbookViewId="0"/>
  </sheetViews>
  <sheetFormatPr defaultRowHeight="13.8" x14ac:dyDescent="0.25"/>
  <cols>
    <col min="1" max="1" width="14.77734375" customWidth="1"/>
    <col min="2" max="2" width="80.77734375" customWidth="1"/>
  </cols>
  <sheetData>
    <row r="1" spans="1:8" ht="20.399999999999999" x14ac:dyDescent="0.25">
      <c r="A1" s="5" t="s">
        <v>48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14</v>
      </c>
      <c r="B3" t="s">
        <v>49</v>
      </c>
      <c r="D3" t="s">
        <v>50</v>
      </c>
      <c r="E3" s="6" t="str">
        <f>IFERROR(SUM(工序测量!L3:L142)/(MAX(工序测量!L3:L142)*COUNT(工序测量!L3:L142)),"")</f>
        <v/>
      </c>
    </row>
  </sheetData>
  <mergeCells count="1">
    <mergeCell ref="A1:H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参数设置</vt:lpstr>
      <vt:lpstr>工序测量</vt:lpstr>
      <vt:lpstr>山积分析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祥宇 李</dc:creator>
  <cp:lastModifiedBy>祥宇 李</cp:lastModifiedBy>
  <dcterms:created xsi:type="dcterms:W3CDTF">2026-05-13T09:03:46Z</dcterms:created>
  <dcterms:modified xsi:type="dcterms:W3CDTF">2026-05-13T09:03:48Z</dcterms:modified>
</cp:coreProperties>
</file>